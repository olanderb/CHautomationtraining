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Test\"/>
    </mc:Choice>
  </mc:AlternateContent>
  <xr:revisionPtr revIDLastSave="57560" documentId="13_ncr:1_{8FBD789A-0702-4AC2-96ED-8A335308EB26}" xr6:coauthVersionLast="44" xr6:coauthVersionMax="44" xr10:uidLastSave="{B5AFD1A5-9BD4-4226-A652-3CB679086676}"/>
  <bookViews>
    <workbookView xWindow="20370" yWindow="-120" windowWidth="25440" windowHeight="15390" tabRatio="930" firstSheet="2" activeTab="6" xr2:uid="{00000000-000D-0000-FFFF-FFFF00000000}"/>
  </bookViews>
  <sheets>
    <sheet name="Tabl 1-A Relevé des sources" sheetId="11" r:id="rId1"/>
    <sheet name="Tableau 1-B Analyse du Contexte" sheetId="4" r:id="rId2"/>
    <sheet name="Tableau 1-C fact Cont" sheetId="1" r:id="rId3"/>
    <sheet name="Tableau 1-D-Résultats" sheetId="13" r:id="rId4"/>
    <sheet name="Tableau 2-A-Analyse FC" sheetId="5" r:id="rId5"/>
    <sheet name="Tableau 2 -B - Analy résult" sheetId="6" r:id="rId6"/>
    <sheet name="Tableau 3 - Synthèse &amp; Classif" sheetId="14" r:id="rId7"/>
    <sheet name="Tableau 4 - Estimation Pop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" i="14" l="1"/>
  <c r="K16" i="14"/>
  <c r="L16" i="14"/>
  <c r="M16" i="14"/>
  <c r="N16" i="14"/>
  <c r="I16" i="14"/>
  <c r="AH43" i="14" l="1"/>
  <c r="AI43" i="14"/>
  <c r="AJ43" i="14"/>
  <c r="AK43" i="14"/>
  <c r="AL43" i="14"/>
  <c r="AG43" i="14"/>
  <c r="AB43" i="14"/>
  <c r="AC43" i="14"/>
  <c r="AD43" i="14"/>
  <c r="AE43" i="14"/>
  <c r="AF43" i="14"/>
  <c r="AA43" i="14"/>
  <c r="V43" i="14"/>
  <c r="W43" i="14"/>
  <c r="X43" i="14"/>
  <c r="Y43" i="14"/>
  <c r="Z43" i="14"/>
  <c r="U43" i="14"/>
  <c r="P43" i="14"/>
  <c r="Q43" i="14"/>
  <c r="R43" i="14"/>
  <c r="S43" i="14"/>
  <c r="T43" i="14"/>
  <c r="O43" i="14"/>
  <c r="J43" i="14"/>
  <c r="K43" i="14"/>
  <c r="L43" i="14"/>
  <c r="M43" i="14"/>
  <c r="N43" i="14"/>
  <c r="I43" i="14"/>
  <c r="AH42" i="14"/>
  <c r="AI42" i="14"/>
  <c r="AJ42" i="14"/>
  <c r="AK42" i="14"/>
  <c r="AL42" i="14"/>
  <c r="AG42" i="14"/>
  <c r="AB42" i="14"/>
  <c r="AC42" i="14"/>
  <c r="AD42" i="14"/>
  <c r="AE42" i="14"/>
  <c r="AF42" i="14"/>
  <c r="AA42" i="14"/>
  <c r="V42" i="14"/>
  <c r="W42" i="14"/>
  <c r="X42" i="14"/>
  <c r="Y42" i="14"/>
  <c r="Z42" i="14"/>
  <c r="U42" i="14"/>
  <c r="P42" i="14"/>
  <c r="Q42" i="14"/>
  <c r="R42" i="14"/>
  <c r="S42" i="14"/>
  <c r="T42" i="14"/>
  <c r="O42" i="14"/>
  <c r="J42" i="14"/>
  <c r="K42" i="14"/>
  <c r="L42" i="14"/>
  <c r="M42" i="14"/>
  <c r="N42" i="14"/>
  <c r="I42" i="14"/>
  <c r="AH41" i="14"/>
  <c r="AI41" i="14"/>
  <c r="AJ41" i="14"/>
  <c r="AK41" i="14"/>
  <c r="AL41" i="14"/>
  <c r="AG41" i="14"/>
  <c r="AB41" i="14"/>
  <c r="AC41" i="14"/>
  <c r="AD41" i="14"/>
  <c r="AE41" i="14"/>
  <c r="AF41" i="14"/>
  <c r="AA41" i="14"/>
  <c r="V41" i="14"/>
  <c r="W41" i="14"/>
  <c r="X41" i="14"/>
  <c r="Y41" i="14"/>
  <c r="Z41" i="14"/>
  <c r="U41" i="14"/>
  <c r="P41" i="14"/>
  <c r="Q41" i="14"/>
  <c r="R41" i="14"/>
  <c r="S41" i="14"/>
  <c r="T41" i="14"/>
  <c r="O41" i="14"/>
  <c r="I41" i="14"/>
  <c r="J41" i="14"/>
  <c r="K41" i="14"/>
  <c r="L41" i="14"/>
  <c r="M41" i="14"/>
  <c r="N41" i="14"/>
  <c r="AH40" i="14"/>
  <c r="AI40" i="14"/>
  <c r="AJ40" i="14"/>
  <c r="AK40" i="14"/>
  <c r="AL40" i="14"/>
  <c r="AG40" i="14"/>
  <c r="AB40" i="14"/>
  <c r="AC40" i="14"/>
  <c r="AD40" i="14"/>
  <c r="AE40" i="14"/>
  <c r="AF40" i="14"/>
  <c r="AA40" i="14"/>
  <c r="V40" i="14"/>
  <c r="W40" i="14"/>
  <c r="X40" i="14"/>
  <c r="Y40" i="14"/>
  <c r="Z40" i="14"/>
  <c r="U40" i="14"/>
  <c r="P40" i="14"/>
  <c r="Q40" i="14"/>
  <c r="R40" i="14"/>
  <c r="S40" i="14"/>
  <c r="T40" i="14"/>
  <c r="O40" i="14"/>
  <c r="J40" i="14"/>
  <c r="K40" i="14"/>
  <c r="L40" i="14"/>
  <c r="M40" i="14"/>
  <c r="N40" i="14"/>
  <c r="I40" i="14"/>
  <c r="AH18" i="14"/>
  <c r="AI18" i="14"/>
  <c r="AJ18" i="14"/>
  <c r="AK18" i="14"/>
  <c r="AL18" i="14"/>
  <c r="AG18" i="14"/>
  <c r="AH17" i="14"/>
  <c r="AI17" i="14"/>
  <c r="AJ17" i="14"/>
  <c r="AK17" i="14"/>
  <c r="AL17" i="14"/>
  <c r="AG17" i="14"/>
  <c r="AB18" i="14"/>
  <c r="AC18" i="14"/>
  <c r="AD18" i="14"/>
  <c r="AE18" i="14"/>
  <c r="AF18" i="14"/>
  <c r="AA18" i="14"/>
  <c r="AB17" i="14"/>
  <c r="AC17" i="14"/>
  <c r="AD17" i="14"/>
  <c r="AE17" i="14"/>
  <c r="AF17" i="14"/>
  <c r="AA17" i="14"/>
  <c r="V18" i="14"/>
  <c r="W18" i="14"/>
  <c r="X18" i="14"/>
  <c r="Y18" i="14"/>
  <c r="Z18" i="14"/>
  <c r="U18" i="14"/>
  <c r="P18" i="14"/>
  <c r="Q18" i="14"/>
  <c r="R18" i="14"/>
  <c r="S18" i="14"/>
  <c r="T18" i="14"/>
  <c r="O18" i="14"/>
  <c r="J18" i="14"/>
  <c r="K18" i="14"/>
  <c r="L18" i="14"/>
  <c r="M18" i="14"/>
  <c r="N18" i="14"/>
  <c r="I18" i="14"/>
  <c r="V17" i="14"/>
  <c r="W17" i="14"/>
  <c r="X17" i="14"/>
  <c r="Y17" i="14"/>
  <c r="Z17" i="14"/>
  <c r="U17" i="14"/>
  <c r="P17" i="14"/>
  <c r="Q17" i="14"/>
  <c r="R17" i="14"/>
  <c r="S17" i="14"/>
  <c r="T17" i="14"/>
  <c r="P16" i="14"/>
  <c r="Q16" i="14"/>
  <c r="R16" i="14"/>
  <c r="S16" i="14"/>
  <c r="T16" i="14"/>
  <c r="O16" i="14"/>
  <c r="O17" i="14"/>
  <c r="J17" i="14"/>
  <c r="K17" i="14"/>
  <c r="L17" i="14"/>
  <c r="M17" i="14"/>
  <c r="N17" i="14"/>
  <c r="I17" i="14"/>
  <c r="AH16" i="14"/>
  <c r="AI16" i="14"/>
  <c r="AJ16" i="14"/>
  <c r="AK16" i="14"/>
  <c r="AL16" i="14"/>
  <c r="AG16" i="14"/>
  <c r="AB16" i="14"/>
  <c r="AC16" i="14"/>
  <c r="AD16" i="14"/>
  <c r="AE16" i="14"/>
  <c r="AF16" i="14"/>
  <c r="AA16" i="14"/>
  <c r="V16" i="14"/>
  <c r="W16" i="14"/>
  <c r="X16" i="14"/>
  <c r="Y16" i="14"/>
  <c r="Z16" i="14"/>
  <c r="U16" i="14"/>
  <c r="AH15" i="14"/>
  <c r="AI15" i="14"/>
  <c r="AJ15" i="14"/>
  <c r="AK15" i="14"/>
  <c r="AL15" i="14"/>
  <c r="AG15" i="14"/>
  <c r="AB15" i="14"/>
  <c r="AC15" i="14"/>
  <c r="AD15" i="14"/>
  <c r="AE15" i="14"/>
  <c r="AF15" i="14"/>
  <c r="AA15" i="14"/>
  <c r="V15" i="14"/>
  <c r="W15" i="14"/>
  <c r="X15" i="14"/>
  <c r="Y15" i="14"/>
  <c r="Z15" i="14"/>
  <c r="U15" i="14"/>
  <c r="P15" i="14"/>
  <c r="Q15" i="14"/>
  <c r="R15" i="14"/>
  <c r="S15" i="14"/>
  <c r="T15" i="14"/>
  <c r="O15" i="14"/>
  <c r="J15" i="14"/>
  <c r="K15" i="14"/>
  <c r="L15" i="14"/>
  <c r="M15" i="14"/>
  <c r="N15" i="14"/>
  <c r="I15" i="14"/>
  <c r="V77" i="6" l="1"/>
  <c r="T77" i="6"/>
  <c r="R77" i="6"/>
  <c r="P77" i="6"/>
  <c r="N77" i="6"/>
  <c r="V61" i="6"/>
  <c r="T61" i="6"/>
  <c r="R61" i="6"/>
  <c r="P61" i="6"/>
  <c r="N61" i="6"/>
  <c r="V42" i="6"/>
  <c r="T42" i="6"/>
  <c r="R42" i="6"/>
  <c r="P42" i="6"/>
  <c r="N42" i="6"/>
  <c r="V27" i="6"/>
  <c r="T27" i="6"/>
  <c r="R27" i="6"/>
  <c r="P27" i="6"/>
  <c r="N27" i="6"/>
  <c r="K27" i="6"/>
  <c r="I27" i="6"/>
  <c r="G27" i="6"/>
  <c r="E27" i="6"/>
  <c r="C27" i="6"/>
  <c r="K42" i="6"/>
  <c r="I42" i="6"/>
  <c r="G42" i="6"/>
  <c r="E42" i="6"/>
  <c r="C42" i="6"/>
  <c r="K61" i="6"/>
  <c r="I61" i="6"/>
  <c r="G61" i="6"/>
  <c r="E61" i="6"/>
  <c r="C61" i="6"/>
  <c r="K77" i="6"/>
  <c r="I77" i="6"/>
  <c r="G77" i="6"/>
  <c r="E77" i="6"/>
  <c r="C77" i="6"/>
  <c r="N56" i="6" l="1"/>
  <c r="D69" i="12"/>
  <c r="C74" i="6"/>
  <c r="C73" i="6"/>
  <c r="C58" i="6"/>
  <c r="C56" i="6"/>
  <c r="C55" i="6"/>
  <c r="C54" i="6"/>
  <c r="C24" i="6"/>
  <c r="H39" i="6"/>
  <c r="I39" i="6"/>
  <c r="J39" i="6"/>
  <c r="G39" i="6"/>
  <c r="O22" i="6"/>
  <c r="P22" i="6"/>
  <c r="Q22" i="6"/>
  <c r="N22" i="6"/>
  <c r="O21" i="6"/>
  <c r="P21" i="6"/>
  <c r="Q21" i="6"/>
  <c r="N21" i="6"/>
  <c r="O20" i="6"/>
  <c r="P20" i="6"/>
  <c r="Q20" i="6"/>
  <c r="N20" i="6"/>
  <c r="O19" i="6"/>
  <c r="P19" i="6"/>
  <c r="Q19" i="6"/>
  <c r="N19" i="6"/>
  <c r="D22" i="6"/>
  <c r="E22" i="6"/>
  <c r="F22" i="6"/>
  <c r="C22" i="6"/>
  <c r="D21" i="6"/>
  <c r="E21" i="6"/>
  <c r="F21" i="6"/>
  <c r="C21" i="6"/>
  <c r="D20" i="6"/>
  <c r="E20" i="6"/>
  <c r="F20" i="6"/>
  <c r="C20" i="6"/>
  <c r="D19" i="6"/>
  <c r="E19" i="6"/>
  <c r="F19" i="6"/>
  <c r="C19" i="6"/>
  <c r="I17" i="6"/>
  <c r="H17" i="6"/>
  <c r="G17" i="6"/>
  <c r="H16" i="6"/>
  <c r="I16" i="6"/>
  <c r="J16" i="6"/>
  <c r="K16" i="6"/>
  <c r="G16" i="6"/>
  <c r="H15" i="6"/>
  <c r="I15" i="6"/>
  <c r="J15" i="6"/>
  <c r="K15" i="6"/>
  <c r="G15" i="6"/>
  <c r="J14" i="6"/>
  <c r="I14" i="6"/>
  <c r="G14" i="6"/>
  <c r="D5" i="12" l="1"/>
  <c r="D4" i="12"/>
  <c r="C34" i="14"/>
  <c r="C32" i="14"/>
  <c r="C31" i="14"/>
  <c r="C8" i="14"/>
  <c r="C6" i="14"/>
  <c r="C5" i="14"/>
  <c r="C6" i="6"/>
  <c r="C5" i="6"/>
  <c r="D6" i="5"/>
  <c r="D5" i="5"/>
  <c r="D6" i="13"/>
  <c r="D5" i="13"/>
  <c r="D5" i="1"/>
  <c r="D6" i="1"/>
  <c r="C9" i="4"/>
  <c r="D62" i="12" s="1"/>
  <c r="C5" i="4"/>
  <c r="D3" i="12" s="1"/>
  <c r="D8" i="1" l="1"/>
  <c r="D8" i="5"/>
  <c r="D8" i="13"/>
  <c r="C7" i="14"/>
  <c r="C33" i="14"/>
  <c r="D6" i="12"/>
  <c r="C7" i="6"/>
  <c r="D4" i="1"/>
  <c r="D4" i="13"/>
  <c r="D4" i="5"/>
  <c r="C4" i="6"/>
  <c r="C4" i="14"/>
  <c r="C30" i="14"/>
  <c r="D61" i="12"/>
  <c r="E69" i="12"/>
  <c r="O33" i="12"/>
  <c r="P33" i="12"/>
  <c r="N33" i="12"/>
  <c r="M33" i="12"/>
  <c r="O27" i="12"/>
  <c r="P27" i="12"/>
  <c r="Q27" i="12"/>
  <c r="F27" i="12"/>
  <c r="G27" i="12"/>
  <c r="H27" i="12"/>
  <c r="I27" i="12"/>
  <c r="E27" i="12"/>
  <c r="P24" i="12"/>
  <c r="O24" i="12"/>
  <c r="G24" i="12"/>
  <c r="H24" i="12"/>
  <c r="P23" i="12"/>
  <c r="O23" i="12"/>
  <c r="H23" i="12"/>
  <c r="G23" i="12"/>
  <c r="P22" i="12"/>
  <c r="O22" i="12"/>
  <c r="H22" i="12"/>
  <c r="G22" i="12"/>
  <c r="P21" i="12"/>
  <c r="O21" i="12"/>
  <c r="N24" i="12"/>
  <c r="F24" i="12"/>
  <c r="N23" i="12"/>
  <c r="F23" i="12"/>
  <c r="N22" i="12"/>
  <c r="F22" i="12"/>
  <c r="N21" i="12"/>
  <c r="F21" i="12"/>
  <c r="N27" i="12" l="1"/>
  <c r="O55" i="12" l="1"/>
  <c r="E55" i="12"/>
  <c r="F55" i="12"/>
  <c r="M27" i="12" l="1"/>
  <c r="N47" i="12" l="1"/>
  <c r="M42" i="12"/>
  <c r="Q42" i="12"/>
  <c r="E39" i="14"/>
  <c r="D39" i="14"/>
  <c r="F39" i="14"/>
  <c r="G39" i="14"/>
  <c r="G14" i="14"/>
  <c r="F14" i="14"/>
  <c r="E14" i="14"/>
  <c r="D14" i="14"/>
  <c r="F13" i="1"/>
  <c r="F14" i="1"/>
  <c r="F15" i="1"/>
  <c r="D14" i="1"/>
  <c r="O47" i="12"/>
  <c r="P47" i="12"/>
  <c r="Q47" i="12"/>
  <c r="M47" i="12"/>
  <c r="O42" i="12"/>
  <c r="P42" i="12"/>
  <c r="N42" i="12"/>
  <c r="I55" i="12"/>
  <c r="H55" i="12"/>
  <c r="G55" i="12"/>
  <c r="Q55" i="12"/>
  <c r="P55" i="12"/>
  <c r="N55" i="12"/>
  <c r="M55" i="12"/>
  <c r="V69" i="12"/>
  <c r="U69" i="12"/>
  <c r="T69" i="12"/>
  <c r="S69" i="12"/>
  <c r="M56" i="12"/>
  <c r="R56" i="12" s="1"/>
  <c r="Q69" i="12"/>
  <c r="M28" i="12"/>
  <c r="R28" i="12" s="1"/>
  <c r="E28" i="12"/>
  <c r="Q39" i="12"/>
  <c r="M39" i="12"/>
  <c r="E56" i="12"/>
  <c r="J55" i="12" s="1"/>
  <c r="I48" i="12"/>
  <c r="H48" i="12"/>
  <c r="E48" i="12"/>
  <c r="I47" i="12"/>
  <c r="F47" i="12"/>
  <c r="I42" i="12"/>
  <c r="H42" i="12"/>
  <c r="G42" i="12"/>
  <c r="E42" i="12"/>
  <c r="I40" i="12"/>
  <c r="F40" i="12"/>
  <c r="E40" i="12"/>
  <c r="I39" i="12"/>
  <c r="G39" i="12"/>
  <c r="F39" i="12"/>
  <c r="E39" i="12"/>
  <c r="F38" i="12"/>
  <c r="E38" i="12"/>
  <c r="O82" i="1"/>
  <c r="B152" i="5" s="1"/>
  <c r="J82" i="1"/>
  <c r="I82" i="1"/>
  <c r="F82" i="1"/>
  <c r="D82" i="1"/>
  <c r="C82" i="1"/>
  <c r="O81" i="1"/>
  <c r="B151" i="5" s="1"/>
  <c r="J81" i="1"/>
  <c r="I81" i="1"/>
  <c r="F81" i="1"/>
  <c r="D81" i="1"/>
  <c r="C81" i="1"/>
  <c r="O80" i="1"/>
  <c r="B150" i="5" s="1"/>
  <c r="J80" i="1"/>
  <c r="I80" i="1"/>
  <c r="F80" i="1"/>
  <c r="D80" i="1"/>
  <c r="C80" i="1"/>
  <c r="O79" i="1"/>
  <c r="B149" i="5" s="1"/>
  <c r="J79" i="1"/>
  <c r="I79" i="1"/>
  <c r="F79" i="1"/>
  <c r="D79" i="1"/>
  <c r="C79" i="1"/>
  <c r="O78" i="1"/>
  <c r="B148" i="5" s="1"/>
  <c r="J78" i="1"/>
  <c r="I78" i="1"/>
  <c r="F78" i="1"/>
  <c r="D78" i="1"/>
  <c r="C78" i="1"/>
  <c r="O66" i="1"/>
  <c r="B120" i="5" s="1"/>
  <c r="J66" i="1"/>
  <c r="I66" i="1"/>
  <c r="F66" i="1"/>
  <c r="D66" i="1"/>
  <c r="C66" i="1"/>
  <c r="O65" i="1"/>
  <c r="B119" i="5" s="1"/>
  <c r="J65" i="1"/>
  <c r="I65" i="1"/>
  <c r="F65" i="1"/>
  <c r="D65" i="1"/>
  <c r="C65" i="1"/>
  <c r="O64" i="1"/>
  <c r="B118" i="5" s="1"/>
  <c r="J64" i="1"/>
  <c r="I64" i="1"/>
  <c r="F64" i="1"/>
  <c r="D64" i="1"/>
  <c r="C64" i="1"/>
  <c r="O63" i="1"/>
  <c r="B117" i="5" s="1"/>
  <c r="J63" i="1"/>
  <c r="I63" i="1"/>
  <c r="F63" i="1"/>
  <c r="D63" i="1"/>
  <c r="C63" i="1"/>
  <c r="O62" i="1"/>
  <c r="B116" i="5" s="1"/>
  <c r="J62" i="1"/>
  <c r="I62" i="1"/>
  <c r="F62" i="1"/>
  <c r="D62" i="1"/>
  <c r="C62" i="1"/>
  <c r="O50" i="1"/>
  <c r="B88" i="5" s="1"/>
  <c r="J50" i="1"/>
  <c r="I50" i="1"/>
  <c r="F50" i="1"/>
  <c r="D50" i="1"/>
  <c r="C50" i="1"/>
  <c r="O49" i="1"/>
  <c r="B87" i="5" s="1"/>
  <c r="J49" i="1"/>
  <c r="I49" i="1"/>
  <c r="F49" i="1"/>
  <c r="D49" i="1"/>
  <c r="C49" i="1"/>
  <c r="O48" i="1"/>
  <c r="B86" i="5" s="1"/>
  <c r="J48" i="1"/>
  <c r="I48" i="1"/>
  <c r="F48" i="1"/>
  <c r="D48" i="1"/>
  <c r="C48" i="1"/>
  <c r="O47" i="1"/>
  <c r="B85" i="5" s="1"/>
  <c r="J47" i="1"/>
  <c r="I47" i="1"/>
  <c r="F47" i="1"/>
  <c r="D47" i="1"/>
  <c r="C47" i="1"/>
  <c r="O46" i="1"/>
  <c r="B84" i="5" s="1"/>
  <c r="J46" i="1"/>
  <c r="I46" i="1"/>
  <c r="F46" i="1"/>
  <c r="D46" i="1"/>
  <c r="C46" i="1"/>
  <c r="O29" i="1"/>
  <c r="B50" i="5" s="1"/>
  <c r="J29" i="1"/>
  <c r="I29" i="1"/>
  <c r="F29" i="1"/>
  <c r="D29" i="1"/>
  <c r="C29" i="1"/>
  <c r="O28" i="1"/>
  <c r="B49" i="5" s="1"/>
  <c r="J28" i="1"/>
  <c r="I28" i="1"/>
  <c r="F28" i="1"/>
  <c r="D28" i="1"/>
  <c r="C28" i="1"/>
  <c r="O27" i="1"/>
  <c r="B48" i="5" s="1"/>
  <c r="J27" i="1"/>
  <c r="I27" i="1"/>
  <c r="F27" i="1"/>
  <c r="D27" i="1"/>
  <c r="C27" i="1"/>
  <c r="O26" i="1"/>
  <c r="B47" i="5" s="1"/>
  <c r="J26" i="1"/>
  <c r="I26" i="1"/>
  <c r="F26" i="1"/>
  <c r="D26" i="1"/>
  <c r="C26" i="1"/>
  <c r="O25" i="1"/>
  <c r="B46" i="5" s="1"/>
  <c r="J25" i="1"/>
  <c r="I25" i="1"/>
  <c r="F25" i="1"/>
  <c r="D25" i="1"/>
  <c r="C25" i="1"/>
  <c r="M15" i="13"/>
  <c r="M32" i="13"/>
  <c r="M18" i="13"/>
  <c r="M19" i="13"/>
  <c r="M17" i="13"/>
  <c r="V36" i="13"/>
  <c r="H39" i="12" s="1"/>
  <c r="K36" i="13"/>
  <c r="J36" i="13"/>
  <c r="G36" i="13"/>
  <c r="E36" i="13"/>
  <c r="C36" i="13"/>
  <c r="K43" i="13"/>
  <c r="K42" i="13"/>
  <c r="J43" i="13"/>
  <c r="J42" i="13"/>
  <c r="G43" i="13"/>
  <c r="G42" i="13"/>
  <c r="E43" i="13"/>
  <c r="E42" i="13"/>
  <c r="C43" i="13"/>
  <c r="C42" i="13"/>
  <c r="K37" i="13"/>
  <c r="K38" i="13"/>
  <c r="K39" i="13"/>
  <c r="J37" i="13"/>
  <c r="J38" i="13"/>
  <c r="J39" i="13"/>
  <c r="K35" i="13"/>
  <c r="J35" i="13"/>
  <c r="G37" i="13"/>
  <c r="G38" i="13"/>
  <c r="G39" i="13"/>
  <c r="E37" i="13"/>
  <c r="E38" i="13"/>
  <c r="E39" i="13"/>
  <c r="G35" i="13"/>
  <c r="E35" i="13"/>
  <c r="C37" i="13"/>
  <c r="C38" i="13"/>
  <c r="C39" i="13"/>
  <c r="C35" i="13"/>
  <c r="K31" i="13"/>
  <c r="J31" i="13"/>
  <c r="G31" i="13"/>
  <c r="E31" i="13"/>
  <c r="C31" i="13"/>
  <c r="K29" i="13"/>
  <c r="K20" i="13"/>
  <c r="K18" i="13"/>
  <c r="K19" i="13"/>
  <c r="K17" i="13"/>
  <c r="K14" i="13"/>
  <c r="J29" i="13"/>
  <c r="J20" i="13"/>
  <c r="J18" i="13"/>
  <c r="J19" i="13"/>
  <c r="J17" i="13"/>
  <c r="J14" i="13"/>
  <c r="G29" i="13"/>
  <c r="G20" i="13"/>
  <c r="G19" i="13"/>
  <c r="G18" i="13"/>
  <c r="G17" i="13"/>
  <c r="G14" i="13"/>
  <c r="E29" i="13"/>
  <c r="E20" i="13"/>
  <c r="E19" i="13"/>
  <c r="E18" i="13"/>
  <c r="E17" i="13"/>
  <c r="E14" i="13"/>
  <c r="C29" i="13"/>
  <c r="C20" i="13"/>
  <c r="C18" i="13"/>
  <c r="C19" i="13"/>
  <c r="C17" i="13"/>
  <c r="C14" i="13"/>
  <c r="J13" i="1"/>
  <c r="J14" i="1"/>
  <c r="J15" i="1"/>
  <c r="J16" i="1"/>
  <c r="J12" i="1"/>
  <c r="I13" i="1"/>
  <c r="I14" i="1"/>
  <c r="I15" i="1"/>
  <c r="I16" i="1"/>
  <c r="I12" i="1"/>
  <c r="F16" i="1"/>
  <c r="F12" i="1"/>
  <c r="D13" i="1"/>
  <c r="D15" i="1"/>
  <c r="D16" i="1"/>
  <c r="D12" i="1"/>
  <c r="J19" i="1"/>
  <c r="J20" i="1"/>
  <c r="J21" i="1"/>
  <c r="J22" i="1"/>
  <c r="J18" i="1"/>
  <c r="I19" i="1"/>
  <c r="I20" i="1"/>
  <c r="I21" i="1"/>
  <c r="I22" i="1"/>
  <c r="I18" i="1"/>
  <c r="F19" i="1"/>
  <c r="F20" i="1"/>
  <c r="F21" i="1"/>
  <c r="F22" i="1"/>
  <c r="F18" i="1"/>
  <c r="D19" i="1"/>
  <c r="D20" i="1"/>
  <c r="D21" i="1"/>
  <c r="D22" i="1"/>
  <c r="D18" i="1"/>
  <c r="C19" i="1"/>
  <c r="C20" i="1"/>
  <c r="C21" i="1"/>
  <c r="C22" i="1"/>
  <c r="C18" i="1"/>
  <c r="J30" i="1"/>
  <c r="J31" i="1"/>
  <c r="J32" i="1"/>
  <c r="J33" i="1"/>
  <c r="J34" i="1"/>
  <c r="J35" i="1"/>
  <c r="J36" i="1"/>
  <c r="J37" i="1"/>
  <c r="J38" i="1"/>
  <c r="J24" i="1"/>
  <c r="I30" i="1"/>
  <c r="I31" i="1"/>
  <c r="I32" i="1"/>
  <c r="I33" i="1"/>
  <c r="I34" i="1"/>
  <c r="I35" i="1"/>
  <c r="I36" i="1"/>
  <c r="I37" i="1"/>
  <c r="I38" i="1"/>
  <c r="I24" i="1"/>
  <c r="F30" i="1"/>
  <c r="F31" i="1"/>
  <c r="F32" i="1"/>
  <c r="F33" i="1"/>
  <c r="F34" i="1"/>
  <c r="F35" i="1"/>
  <c r="F36" i="1"/>
  <c r="F37" i="1"/>
  <c r="F38" i="1"/>
  <c r="F24" i="1"/>
  <c r="D30" i="1"/>
  <c r="D31" i="1"/>
  <c r="D32" i="1"/>
  <c r="D33" i="1"/>
  <c r="D34" i="1"/>
  <c r="D35" i="1"/>
  <c r="D36" i="1"/>
  <c r="D37" i="1"/>
  <c r="D38" i="1"/>
  <c r="D24" i="1"/>
  <c r="C30" i="1"/>
  <c r="C31" i="1"/>
  <c r="C32" i="1"/>
  <c r="C33" i="1"/>
  <c r="C34" i="1"/>
  <c r="C35" i="1"/>
  <c r="C36" i="1"/>
  <c r="C37" i="1"/>
  <c r="C38" i="1"/>
  <c r="C24" i="1"/>
  <c r="J41" i="1"/>
  <c r="J42" i="1"/>
  <c r="J43" i="1"/>
  <c r="J44" i="1"/>
  <c r="J45" i="1"/>
  <c r="J51" i="1"/>
  <c r="J52" i="1"/>
  <c r="J53" i="1"/>
  <c r="J54" i="1"/>
  <c r="J40" i="1"/>
  <c r="I41" i="1"/>
  <c r="I42" i="1"/>
  <c r="I43" i="1"/>
  <c r="I44" i="1"/>
  <c r="I45" i="1"/>
  <c r="I51" i="1"/>
  <c r="I52" i="1"/>
  <c r="I53" i="1"/>
  <c r="I54" i="1"/>
  <c r="I40" i="1"/>
  <c r="F41" i="1"/>
  <c r="F42" i="1"/>
  <c r="F43" i="1"/>
  <c r="F44" i="1"/>
  <c r="F45" i="1"/>
  <c r="F51" i="1"/>
  <c r="F52" i="1"/>
  <c r="F53" i="1"/>
  <c r="F54" i="1"/>
  <c r="F40" i="1"/>
  <c r="D41" i="1"/>
  <c r="D42" i="1"/>
  <c r="D43" i="1"/>
  <c r="D44" i="1"/>
  <c r="D45" i="1"/>
  <c r="D51" i="1"/>
  <c r="D52" i="1"/>
  <c r="D53" i="1"/>
  <c r="D54" i="1"/>
  <c r="D40" i="1"/>
  <c r="C41" i="1"/>
  <c r="C42" i="1"/>
  <c r="C43" i="1"/>
  <c r="C44" i="1"/>
  <c r="C45" i="1"/>
  <c r="C51" i="1"/>
  <c r="C52" i="1"/>
  <c r="C53" i="1"/>
  <c r="C54" i="1"/>
  <c r="C40" i="1"/>
  <c r="J57" i="1"/>
  <c r="J58" i="1"/>
  <c r="J59" i="1"/>
  <c r="J60" i="1"/>
  <c r="J61" i="1"/>
  <c r="J67" i="1"/>
  <c r="J68" i="1"/>
  <c r="J69" i="1"/>
  <c r="J70" i="1"/>
  <c r="J56" i="1"/>
  <c r="I57" i="1"/>
  <c r="I58" i="1"/>
  <c r="I59" i="1"/>
  <c r="I60" i="1"/>
  <c r="I61" i="1"/>
  <c r="I67" i="1"/>
  <c r="I68" i="1"/>
  <c r="I69" i="1"/>
  <c r="I70" i="1"/>
  <c r="I56" i="1"/>
  <c r="F57" i="1"/>
  <c r="F58" i="1"/>
  <c r="F59" i="1"/>
  <c r="F60" i="1"/>
  <c r="F61" i="1"/>
  <c r="F67" i="1"/>
  <c r="F68" i="1"/>
  <c r="F69" i="1"/>
  <c r="F70" i="1"/>
  <c r="F56" i="1"/>
  <c r="D57" i="1"/>
  <c r="D58" i="1"/>
  <c r="D59" i="1"/>
  <c r="D60" i="1"/>
  <c r="D61" i="1"/>
  <c r="D67" i="1"/>
  <c r="D68" i="1"/>
  <c r="D69" i="1"/>
  <c r="D70" i="1"/>
  <c r="D56" i="1"/>
  <c r="C57" i="1"/>
  <c r="C58" i="1"/>
  <c r="C59" i="1"/>
  <c r="C60" i="1"/>
  <c r="C61" i="1"/>
  <c r="C67" i="1"/>
  <c r="C68" i="1"/>
  <c r="C69" i="1"/>
  <c r="C70" i="1"/>
  <c r="C56" i="1"/>
  <c r="J73" i="1"/>
  <c r="J74" i="1"/>
  <c r="J75" i="1"/>
  <c r="J76" i="1"/>
  <c r="J77" i="1"/>
  <c r="J83" i="1"/>
  <c r="J84" i="1"/>
  <c r="J85" i="1"/>
  <c r="J86" i="1"/>
  <c r="J72" i="1"/>
  <c r="I73" i="1"/>
  <c r="I74" i="1"/>
  <c r="I75" i="1"/>
  <c r="I76" i="1"/>
  <c r="I77" i="1"/>
  <c r="I83" i="1"/>
  <c r="I84" i="1"/>
  <c r="I85" i="1"/>
  <c r="I86" i="1"/>
  <c r="I72" i="1"/>
  <c r="F73" i="1"/>
  <c r="F74" i="1"/>
  <c r="F75" i="1"/>
  <c r="F76" i="1"/>
  <c r="F77" i="1"/>
  <c r="F83" i="1"/>
  <c r="F84" i="1"/>
  <c r="F85" i="1"/>
  <c r="F86" i="1"/>
  <c r="F72" i="1"/>
  <c r="D73" i="1"/>
  <c r="D74" i="1"/>
  <c r="D75" i="1"/>
  <c r="D76" i="1"/>
  <c r="D77" i="1"/>
  <c r="D83" i="1"/>
  <c r="D84" i="1"/>
  <c r="D85" i="1"/>
  <c r="D86" i="1"/>
  <c r="D72" i="1"/>
  <c r="C73" i="1"/>
  <c r="C74" i="1"/>
  <c r="C75" i="1"/>
  <c r="C76" i="1"/>
  <c r="C77" i="1"/>
  <c r="C83" i="1"/>
  <c r="C84" i="1"/>
  <c r="C85" i="1"/>
  <c r="C72" i="1"/>
  <c r="C13" i="1"/>
  <c r="C14" i="1"/>
  <c r="C15" i="1"/>
  <c r="C16" i="1"/>
  <c r="C12" i="1"/>
  <c r="O84" i="1"/>
  <c r="B154" i="5" s="1"/>
  <c r="O83" i="1"/>
  <c r="B153" i="5" s="1"/>
  <c r="O77" i="1"/>
  <c r="B147" i="5" s="1"/>
  <c r="O76" i="1"/>
  <c r="B146" i="5" s="1"/>
  <c r="O75" i="1"/>
  <c r="B145" i="5" s="1"/>
  <c r="O68" i="1"/>
  <c r="B122" i="5" s="1"/>
  <c r="O51" i="1"/>
  <c r="B89" i="5" s="1"/>
  <c r="O45" i="1"/>
  <c r="B83" i="5" s="1"/>
  <c r="O44" i="1"/>
  <c r="B82" i="5" s="1"/>
  <c r="O37" i="1"/>
  <c r="B58" i="5" s="1"/>
  <c r="O36" i="1"/>
  <c r="B57" i="5" s="1"/>
  <c r="B14" i="14"/>
  <c r="B39" i="14" s="1"/>
  <c r="A14" i="14"/>
  <c r="A39" i="14" s="1"/>
  <c r="Y69" i="12"/>
  <c r="Y70" i="12" s="1"/>
  <c r="B69" i="12"/>
  <c r="A69" i="12"/>
  <c r="C14" i="14"/>
  <c r="C39" i="14" s="1"/>
  <c r="V37" i="13"/>
  <c r="P39" i="12" s="1"/>
  <c r="N39" i="12"/>
  <c r="O18" i="1"/>
  <c r="D21" i="5" s="1"/>
  <c r="O16" i="1"/>
  <c r="D17" i="5" s="1"/>
  <c r="V43" i="13"/>
  <c r="G48" i="12" s="1"/>
  <c r="V42" i="13"/>
  <c r="G47" i="12" s="1"/>
  <c r="H47" i="12"/>
  <c r="V39" i="13"/>
  <c r="F42" i="12" s="1"/>
  <c r="V38" i="13"/>
  <c r="G40" i="12" s="1"/>
  <c r="H40" i="12"/>
  <c r="V35" i="13"/>
  <c r="H38" i="12" s="1"/>
  <c r="G38" i="12"/>
  <c r="V17" i="13"/>
  <c r="F16" i="12" s="1"/>
  <c r="V14" i="13"/>
  <c r="E15" i="12" s="1"/>
  <c r="V31" i="13"/>
  <c r="G33" i="12" s="1"/>
  <c r="V20" i="13"/>
  <c r="V29" i="13"/>
  <c r="O24" i="6" s="1"/>
  <c r="V18" i="13"/>
  <c r="H17" i="12" s="1"/>
  <c r="V19" i="13"/>
  <c r="G18" i="12" s="1"/>
  <c r="C86" i="1"/>
  <c r="O12" i="1"/>
  <c r="D13" i="5" s="1"/>
  <c r="H15" i="12"/>
  <c r="J69" i="12"/>
  <c r="I69" i="12"/>
  <c r="H69" i="12"/>
  <c r="G69" i="12"/>
  <c r="O14" i="1"/>
  <c r="D15" i="5" s="1"/>
  <c r="O73" i="1"/>
  <c r="B143" i="5" s="1"/>
  <c r="O74" i="1"/>
  <c r="B144" i="5" s="1"/>
  <c r="O85" i="1"/>
  <c r="B155" i="5" s="1"/>
  <c r="O86" i="1"/>
  <c r="B156" i="5" s="1"/>
  <c r="O72" i="1"/>
  <c r="B142" i="5" s="1"/>
  <c r="O57" i="1"/>
  <c r="B111" i="5" s="1"/>
  <c r="O58" i="1"/>
  <c r="B112" i="5" s="1"/>
  <c r="O59" i="1"/>
  <c r="B113" i="5" s="1"/>
  <c r="O60" i="1"/>
  <c r="B114" i="5" s="1"/>
  <c r="O61" i="1"/>
  <c r="B115" i="5" s="1"/>
  <c r="O67" i="1"/>
  <c r="B121" i="5" s="1"/>
  <c r="O69" i="1"/>
  <c r="B123" i="5" s="1"/>
  <c r="O70" i="1"/>
  <c r="B124" i="5" s="1"/>
  <c r="O56" i="1"/>
  <c r="B110" i="5" s="1"/>
  <c r="O41" i="1"/>
  <c r="B79" i="5" s="1"/>
  <c r="O42" i="1"/>
  <c r="B80" i="5" s="1"/>
  <c r="O43" i="1"/>
  <c r="B81" i="5" s="1"/>
  <c r="O52" i="1"/>
  <c r="B90" i="5" s="1"/>
  <c r="O53" i="1"/>
  <c r="B91" i="5" s="1"/>
  <c r="O54" i="1"/>
  <c r="B92" i="5" s="1"/>
  <c r="O40" i="1"/>
  <c r="B78" i="5" s="1"/>
  <c r="O30" i="1"/>
  <c r="B51" i="5" s="1"/>
  <c r="O31" i="1"/>
  <c r="B52" i="5" s="1"/>
  <c r="O32" i="1"/>
  <c r="B53" i="5" s="1"/>
  <c r="O33" i="1"/>
  <c r="B54" i="5" s="1"/>
  <c r="O34" i="1"/>
  <c r="B55" i="5" s="1"/>
  <c r="O35" i="1"/>
  <c r="B56" i="5" s="1"/>
  <c r="O38" i="1"/>
  <c r="B59" i="5" s="1"/>
  <c r="O24" i="1"/>
  <c r="B45" i="5" s="1"/>
  <c r="O15" i="1"/>
  <c r="D16" i="5" s="1"/>
  <c r="O19" i="1"/>
  <c r="D22" i="5" s="1"/>
  <c r="O20" i="1"/>
  <c r="D23" i="5" s="1"/>
  <c r="O21" i="1"/>
  <c r="D24" i="5" s="1"/>
  <c r="O22" i="1"/>
  <c r="D25" i="5" s="1"/>
  <c r="O13" i="1"/>
  <c r="D14" i="5" s="1"/>
  <c r="O39" i="12" l="1"/>
  <c r="I38" i="12"/>
  <c r="E47" i="12"/>
  <c r="F48" i="12"/>
  <c r="E17" i="12"/>
  <c r="G15" i="12"/>
  <c r="I16" i="12"/>
  <c r="G17" i="12"/>
  <c r="H16" i="12"/>
  <c r="F17" i="12"/>
  <c r="E18" i="12"/>
  <c r="F33" i="12"/>
  <c r="R69" i="12"/>
  <c r="W69" i="12" s="1"/>
  <c r="W70" i="12" s="1"/>
  <c r="F69" i="12"/>
  <c r="K69" i="12" s="1"/>
  <c r="K70" i="12" s="1"/>
  <c r="M69" i="12"/>
  <c r="M70" i="12" s="1"/>
  <c r="E21" i="12"/>
  <c r="M24" i="12"/>
  <c r="G16" i="12"/>
  <c r="I17" i="12"/>
  <c r="F18" i="12"/>
  <c r="G21" i="12"/>
  <c r="E23" i="12"/>
  <c r="M23" i="12"/>
  <c r="H33" i="12"/>
  <c r="M21" i="12"/>
  <c r="H21" i="12"/>
  <c r="E24" i="12"/>
  <c r="E33" i="12"/>
  <c r="Z69" i="12"/>
  <c r="Z70" i="12" s="1"/>
  <c r="E16" i="12"/>
  <c r="E22" i="12"/>
  <c r="M22" i="12"/>
  <c r="N69" i="12"/>
  <c r="N70" i="12" s="1"/>
  <c r="D70" i="12"/>
  <c r="AA69" i="12"/>
  <c r="AA70" i="12" s="1"/>
  <c r="X69" i="12"/>
  <c r="X70" i="12" s="1"/>
  <c r="L69" i="12"/>
  <c r="L70" i="12" s="1"/>
  <c r="O69" i="12"/>
  <c r="O70" i="12" s="1"/>
  <c r="AB69" i="12" l="1"/>
  <c r="AB70" i="12" s="1"/>
  <c r="P69" i="12"/>
  <c r="P70" i="12" s="1"/>
</calcChain>
</file>

<file path=xl/sharedStrings.xml><?xml version="1.0" encoding="utf-8"?>
<sst xmlns="http://schemas.openxmlformats.org/spreadsheetml/2006/main" count="836" uniqueCount="271">
  <si>
    <t>1er Niveau administratif</t>
  </si>
  <si>
    <t>2e Niveau administratif</t>
  </si>
  <si>
    <t>3e Niveau administratif</t>
  </si>
  <si>
    <t>Date du cycle</t>
  </si>
  <si>
    <t>Danger et Vulnérabilité</t>
  </si>
  <si>
    <t>Source</t>
  </si>
  <si>
    <t>Date de collecte de données</t>
  </si>
  <si>
    <t xml:space="preserve">Date de publication ou partage </t>
  </si>
  <si>
    <t>Score de Fiabilité</t>
  </si>
  <si>
    <t>Libélé de la Preuve</t>
  </si>
  <si>
    <t>Brève description de la méthodologie</t>
  </si>
  <si>
    <t>Disponiblité</t>
  </si>
  <si>
    <t>Accessibilité</t>
  </si>
  <si>
    <t>Utilisation y compris l'accès à l'eau potable</t>
  </si>
  <si>
    <t>Stabilité</t>
  </si>
  <si>
    <t>Facteurs</t>
  </si>
  <si>
    <t>Evolution des Moyens d'Existence</t>
  </si>
  <si>
    <t>Statut nutritionnelle</t>
  </si>
  <si>
    <t>SCA</t>
  </si>
  <si>
    <t>Pauvre</t>
  </si>
  <si>
    <t>Limite</t>
  </si>
  <si>
    <t>Acceptable</t>
  </si>
  <si>
    <t>HDDS</t>
  </si>
  <si>
    <t>HHS</t>
  </si>
  <si>
    <t>rCSI</t>
  </si>
  <si>
    <t>HEA</t>
  </si>
  <si>
    <t>DS</t>
  </si>
  <si>
    <t>DPME</t>
  </si>
  <si>
    <t>IMC</t>
  </si>
  <si>
    <t>MUAC</t>
  </si>
  <si>
    <t>TBM</t>
  </si>
  <si>
    <t>TMM5</t>
  </si>
  <si>
    <t>Projetée</t>
  </si>
  <si>
    <t>Accessible</t>
  </si>
  <si>
    <t>Zones de Moyen d'existence</t>
  </si>
  <si>
    <t>Rappel de la classification CH de la zone</t>
  </si>
  <si>
    <t>Phase de la zone</t>
  </si>
  <si>
    <t xml:space="preserve">Période d'analyse : </t>
  </si>
  <si>
    <t>Courante</t>
  </si>
  <si>
    <t>Population totale</t>
  </si>
  <si>
    <t>Moyens</t>
  </si>
  <si>
    <t>Natis</t>
  </si>
  <si>
    <t>Pauvres</t>
  </si>
  <si>
    <t>Très pauvres</t>
  </si>
  <si>
    <t>Observations</t>
  </si>
  <si>
    <t>Répartition des catégrories de ménages de la zone en %</t>
  </si>
  <si>
    <t>Caratérisation du contexte conjoncturel de la zone</t>
  </si>
  <si>
    <t xml:space="preserve">Conclusions sur les facteurs CONTRIBUTIFS de la sécurité alimentaire et nutritionnelle </t>
  </si>
  <si>
    <t>Elément d'analyse</t>
  </si>
  <si>
    <t>Danger</t>
  </si>
  <si>
    <t>Vulnérabilité</t>
  </si>
  <si>
    <t>Conclusion</t>
  </si>
  <si>
    <t>Appréciation des impacts</t>
  </si>
  <si>
    <t>Négatifs</t>
  </si>
  <si>
    <t>Léger</t>
  </si>
  <si>
    <t>Moyen</t>
  </si>
  <si>
    <t>Fort</t>
  </si>
  <si>
    <t>Positifs</t>
  </si>
  <si>
    <t>CA</t>
  </si>
  <si>
    <t>EME</t>
  </si>
  <si>
    <t>Nut</t>
  </si>
  <si>
    <t>Mort</t>
  </si>
  <si>
    <t>Plus mauvaise que d'habitude</t>
  </si>
  <si>
    <t>Similaire à l'habituelle</t>
  </si>
  <si>
    <t>Meilleure que l'habituelle</t>
  </si>
  <si>
    <t xml:space="preserve">Situation projetée : </t>
  </si>
  <si>
    <t xml:space="preserve">Situation courante : </t>
  </si>
  <si>
    <t>Dispobilité</t>
  </si>
  <si>
    <t>Phase 1</t>
  </si>
  <si>
    <t>Phase 2</t>
  </si>
  <si>
    <t>Phase 3</t>
  </si>
  <si>
    <t>Phase 4</t>
  </si>
  <si>
    <t>Phase 5</t>
  </si>
  <si>
    <t>Situation courante :</t>
  </si>
  <si>
    <t xml:space="preserve">Situation projetée: </t>
  </si>
  <si>
    <t>Résultat</t>
  </si>
  <si>
    <t>Consommation alimentaire</t>
  </si>
  <si>
    <t>Indicateur</t>
  </si>
  <si>
    <t>Valeur</t>
  </si>
  <si>
    <t>Proxy calorique</t>
  </si>
  <si>
    <t>Preuves directes</t>
  </si>
  <si>
    <t>Preuve indirecte</t>
  </si>
  <si>
    <t>Conclusion sur le résultat consommation alimentaire</t>
  </si>
  <si>
    <t>Conclusion sur le phasage du résultat CA</t>
  </si>
  <si>
    <t>Classification des indicateurs sur 'Evolution des Moyens d'Existence</t>
  </si>
  <si>
    <t>Conclusion sur le résultat sur l'Evolution des Moyens d'Existence</t>
  </si>
  <si>
    <t>Conclusion sur le phasage du résultat EME</t>
  </si>
  <si>
    <t>Classification des indicateurs de résultat de le Statut nutritionnel (Nut)</t>
  </si>
  <si>
    <t>Médiane MAG Historique</t>
  </si>
  <si>
    <t>Conclusion sur le phasage du résultat Nut</t>
  </si>
  <si>
    <t>Classification des indicateurs de résultat de la Mortalité</t>
  </si>
  <si>
    <t>Conclusion sur le résultat Mortalité</t>
  </si>
  <si>
    <t>Conclusion sur le phasage du résultat Mortalité</t>
  </si>
  <si>
    <t>Conclusion sur le résultat Statut Nutritionnel</t>
  </si>
  <si>
    <t>Classification de l'Evolution des Moyens d'Existence sur la base des hypothèses spécifique pour la zone analysée</t>
  </si>
  <si>
    <t>Classification des indicateurs de résultat de la Consommation alimentaire (CA)</t>
  </si>
  <si>
    <t>Classification du résultat de le Statut nutritionnel (Nut) sur la base des hypothèses spécifique pour la zone analysée</t>
  </si>
  <si>
    <t>Statut Nutritionnel</t>
  </si>
  <si>
    <t>Evolution des moyens d'Existence</t>
  </si>
  <si>
    <t>Tableau 2-B - Analyse des preuves de résultats</t>
  </si>
  <si>
    <t>Classe</t>
  </si>
  <si>
    <t>Admin 1</t>
  </si>
  <si>
    <t>Admin 2</t>
  </si>
  <si>
    <t>Zone de moyens d’existence</t>
  </si>
  <si>
    <t>INDICATEURS DE RESULTATS</t>
  </si>
  <si>
    <t>Consommation</t>
  </si>
  <si>
    <t>alimentaire</t>
  </si>
  <si>
    <t>Evolution des moyens d’existence</t>
  </si>
  <si>
    <t>Etat nutritionnel</t>
  </si>
  <si>
    <t>Mortalité</t>
  </si>
  <si>
    <t>Danger et vulnérabilité</t>
  </si>
  <si>
    <t>Disponibilité alimentaire</t>
  </si>
  <si>
    <t>Accès aux aliments</t>
  </si>
  <si>
    <t>Utilisation des aliments, y compris l’eau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</si>
  <si>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</si>
  <si>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</si>
  <si>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</si>
  <si>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SITUATION COURANTE</t>
  </si>
  <si>
    <t>SITUATION PROJETEE</t>
  </si>
  <si>
    <t>Classification de la zone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</si>
  <si>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</si>
  <si>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</si>
  <si>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</si>
  <si>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</si>
  <si>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</si>
  <si>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</si>
  <si>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</si>
  <si>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</si>
  <si>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</si>
  <si>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Total</t>
  </si>
  <si>
    <t>Brève description de la situation conjoncturelle de la période d'analyse</t>
  </si>
  <si>
    <t>Hypothèses sur l'évolution probable des évidences</t>
  </si>
  <si>
    <t>ETAPE 3, TABLEAU 3 - Synthèse et Classification</t>
  </si>
  <si>
    <t>Description générale de la situation de référence de la zone - éléments caractéristiques habituels</t>
  </si>
  <si>
    <t>Reporter le numéro  de référence</t>
  </si>
  <si>
    <t>Zone 1</t>
  </si>
  <si>
    <t>Zone 2</t>
  </si>
  <si>
    <t>Zone 3</t>
  </si>
  <si>
    <t>Zone 4</t>
  </si>
  <si>
    <t>Proxy calorique :</t>
  </si>
  <si>
    <t>CSI-ISAME</t>
  </si>
  <si>
    <t>Valeurs</t>
  </si>
  <si>
    <t>Titre</t>
  </si>
  <si>
    <t>ETAPE 2, TABLEAU 2 - A – ANALYSE DES PREUVES de Facteurs contributifs</t>
  </si>
  <si>
    <t>ETAPE 1, TABLEAU 1-B – Analyse du Contexte de la Zone</t>
  </si>
  <si>
    <t>ETAPE 1, TABLEAU 1-C – INVENTAIRE DES PREUVES des Facteurs Contributifs</t>
  </si>
  <si>
    <t>Date de de collecte des données</t>
  </si>
  <si>
    <t>MAG-P/T</t>
  </si>
  <si>
    <t>MAG-MUAC</t>
  </si>
  <si>
    <t>Classification du résultat de la CA sur la base des hypothèses spécifiques pour la zone analysée</t>
  </si>
  <si>
    <t>Pays:</t>
  </si>
  <si>
    <t>ETAPE 1, TABLEAU 1-A– relevé des sources de preuves</t>
  </si>
  <si>
    <t>Caractéristique générale de la zone</t>
  </si>
  <si>
    <t>Principaux chocs affectant la zone</t>
  </si>
  <si>
    <t>3 derniers Cycles de la même période</t>
  </si>
  <si>
    <t>Temporalité (T1, T2, T3)</t>
  </si>
  <si>
    <t>Validité (V1, V2, V3)</t>
  </si>
  <si>
    <t>Zone 1 (courrant)</t>
  </si>
  <si>
    <t>Zone 1 (projetee)</t>
  </si>
  <si>
    <t>Zone 2 (courrant)</t>
  </si>
  <si>
    <t>Zone 2 (projetee)</t>
  </si>
  <si>
    <t>Zone 3 (courrant)</t>
  </si>
  <si>
    <t>Zone 3 (projetee)</t>
  </si>
  <si>
    <t>Zone 4 (courrant)</t>
  </si>
  <si>
    <t>Zone 4 (projetee)</t>
  </si>
  <si>
    <t>Considérant les impacts des éléments de Stabilité, comment  la situation alimentaire et nutritionnelle de la zone pourrait être appréciée comparée aux conditions habituelles pour la période d'analyse</t>
  </si>
  <si>
    <t>Considérant les impacts des éléments sur l'Utilisation, comment  la situation alimentaire et nutritionnelle de la zone pourrait être appréciée comparée aux conditions habituelles pour la période d'analyse</t>
  </si>
  <si>
    <t>Considérant les impacts des éléments d'Accès, comment  la situation alimentaire et nutritionnelle de la zone pourrait être appréciée comparée aux conditions habituelles pour la période d'analyse</t>
  </si>
  <si>
    <t>Considérant les impacts des éléments de Disponibilité, comment  la situation alimentaire et nutritionnelle de la zone pourrait être appréciée comparée aux conditions habituelles pour la période d'analyse</t>
  </si>
  <si>
    <t>Considérant les impacts des éléments de Danger et Vulnérabilité, comment  la situation alimentaire et nutritionnelle de la zone pourrait être appréciée comparée aux conditions habituelles pour la période d'analyse</t>
  </si>
  <si>
    <t>Zone</t>
  </si>
  <si>
    <t>ETAPE 4-A, TABLEAU 4 : synthèse des données chiffrées</t>
  </si>
  <si>
    <t>Situation Projetée :</t>
  </si>
  <si>
    <t>Conclusion sur la CA</t>
  </si>
  <si>
    <t>Classification des indicateurs sur l'Evolution des Moyens d'Existence</t>
  </si>
  <si>
    <t>Rappel de la Classification</t>
  </si>
  <si>
    <t>MAG</t>
  </si>
  <si>
    <t>MAG-médiane</t>
  </si>
  <si>
    <t>Dangers et Vulnérabilité (nombre ou % de personnes affectées/touchées par type de choc)</t>
  </si>
  <si>
    <t>X% à ulitiser éventuellement dans la convergence de preuves</t>
  </si>
  <si>
    <t>Rappel des hypothèses formulées</t>
  </si>
  <si>
    <t>Utilisation des aliments y compris l’eau</t>
  </si>
  <si>
    <r>
      <t>Population estimée</t>
    </r>
    <r>
      <rPr>
        <sz val="8"/>
        <color theme="1"/>
        <rFont val="Times New Roman"/>
        <family val="1"/>
      </rPr>
      <t> </t>
    </r>
  </si>
  <si>
    <t>ETAPE 4-B, TABLEAU 5 - Estimation des Populations</t>
  </si>
  <si>
    <t>Rappel de la Classification CA</t>
  </si>
  <si>
    <t>Inventaire des preuves disponibles sur les Indicateurs de Résultat</t>
  </si>
  <si>
    <r>
      <t xml:space="preserve">Inventaire des preuves disponibles sur les Facteurs </t>
    </r>
    <r>
      <rPr>
        <b/>
        <u/>
        <sz val="16"/>
        <color theme="0"/>
        <rFont val="Calibri"/>
        <family val="2"/>
      </rPr>
      <t>contributifs</t>
    </r>
  </si>
  <si>
    <t>Libélé et valeur de la Preuve</t>
  </si>
  <si>
    <t>ISAME</t>
  </si>
  <si>
    <t>ISAME (Indice de stratégie d'adaptation basé sur les moyens d'existence)</t>
  </si>
  <si>
    <t>Classe 1</t>
  </si>
  <si>
    <t>Classe 2</t>
  </si>
  <si>
    <t>Classe 3</t>
  </si>
  <si>
    <t>Classe 4</t>
  </si>
  <si>
    <t>Classe 5</t>
  </si>
  <si>
    <t>Classes</t>
  </si>
  <si>
    <t>ND</t>
  </si>
  <si>
    <t xml:space="preserve">Conclusions sur les indicateurs de résultat de la sécurité alimentaire et nutritionnelle </t>
  </si>
  <si>
    <t xml:space="preserve"> / </t>
  </si>
  <si>
    <t>ETAPE 4-A, TABLEAU 4 - Estimation des Populations</t>
  </si>
  <si>
    <t>Dimensions</t>
  </si>
  <si>
    <t>Synthèse et Classification de la phase courante</t>
  </si>
  <si>
    <t>Conclusions sur le phasage de la zone en situation courante</t>
  </si>
  <si>
    <t>Conclusions sur le phasage de la zone en situation projetée</t>
  </si>
  <si>
    <t>Non</t>
  </si>
  <si>
    <t>Oui</t>
  </si>
  <si>
    <t>Non accessible</t>
  </si>
  <si>
    <t>Accessibilté limitée/partielle</t>
  </si>
  <si>
    <t>Accessibilité de la zone</t>
  </si>
  <si>
    <t>Protocole zone inaccessible</t>
  </si>
  <si>
    <t>Protocole famine</t>
  </si>
  <si>
    <t>Evidences fiables (F1, F2 ou F3)</t>
  </si>
  <si>
    <t xml:space="preserve">Phasage </t>
  </si>
  <si>
    <t>Niveau de représentativité (N0, 1,2,3)</t>
  </si>
  <si>
    <t>MAG-Médiane soudure</t>
  </si>
  <si>
    <t>Période projétée</t>
  </si>
  <si>
    <t>Numéro  d'ordre</t>
  </si>
  <si>
    <t>mois année n-1</t>
  </si>
  <si>
    <t>mois année n-2</t>
  </si>
  <si>
    <t>mois année n-3</t>
  </si>
  <si>
    <t>MAG-Médian</t>
  </si>
  <si>
    <t>Vérification Total</t>
  </si>
  <si>
    <t>Synthèse et Classification de la période projetée</t>
  </si>
  <si>
    <t>Période courante</t>
  </si>
  <si>
    <t>Leger</t>
  </si>
  <si>
    <t>Disponibilité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</si>
  <si>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</si>
  <si>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</si>
  <si>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Ph 1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</si>
  <si>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</si>
  <si>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</si>
  <si>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</si>
  <si>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</si>
  <si>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</si>
  <si>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</si>
  <si>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</si>
  <si>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Ph 2</t>
  </si>
  <si>
    <t>Ph 3</t>
  </si>
  <si>
    <t>Ph 4</t>
  </si>
  <si>
    <t>Ph 5</t>
  </si>
  <si>
    <t>-F</t>
  </si>
  <si>
    <t>-M</t>
  </si>
  <si>
    <t>-L</t>
  </si>
  <si>
    <t>+L</t>
  </si>
  <si>
    <t>+M</t>
  </si>
  <si>
    <t>+F</t>
  </si>
  <si>
    <t>Rappel de la Classification de la zone en phase courant</t>
  </si>
  <si>
    <t>Rappel de la Classification de la zone en phase projétée</t>
  </si>
  <si>
    <t>n/10000/jr</t>
  </si>
  <si>
    <t>Valeur (N/10000/jr)</t>
  </si>
  <si>
    <t>Assistance humanitaire en cours</t>
  </si>
  <si>
    <t>ddddd</t>
  </si>
  <si>
    <t>Niveau  administratif (N0,N1, N2, N3)</t>
  </si>
  <si>
    <t>%Pop DPME</t>
  </si>
  <si>
    <t>%Pop DS</t>
  </si>
  <si>
    <t>Pop DPME</t>
  </si>
  <si>
    <t>Pop DS</t>
  </si>
  <si>
    <t>ETAPE 1, TABLEAU 1-D– INVENTAIRE DES PREUVES sur les indicateurs de Résultat</t>
  </si>
  <si>
    <t xml:space="preserve"> Bahr El Gazal Sud</t>
  </si>
  <si>
    <t>Geocode</t>
  </si>
  <si>
    <t>Impact des facteurs contributifs</t>
  </si>
  <si>
    <t xml:space="preserve">Accès </t>
  </si>
  <si>
    <t>Utilisation</t>
  </si>
  <si>
    <t>Acceptable, limite, pauvre</t>
  </si>
  <si>
    <t>Fevrier 2020</t>
  </si>
  <si>
    <t>Sur CA</t>
  </si>
  <si>
    <t>Sur EME</t>
  </si>
  <si>
    <t>Sur Nut</t>
  </si>
  <si>
    <t>Sur Mort.</t>
  </si>
  <si>
    <t xml:space="preserve"> </t>
  </si>
  <si>
    <t>TCHAD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</si>
</sst>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[$-40C]d\ mmmm\ yyyy;@"/>
    <numFmt numFmtId="167" formatCode="[$-40C]d\-mmm\-yyyy;@"/>
    <numFmt numFmtId="168" formatCode="0.0%"/>
    <numFmt numFmtId="169" formatCode="0.0"/>
    <numFmt numFmtId="170" formatCode="d/m;@"/>
  </numFmts>
  <fonts count="6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7"/>
      <color theme="0" tint="-0.249977111117893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Times New Roman"/>
      <family val="1"/>
    </font>
    <font>
      <sz val="9"/>
      <name val="Calibri"/>
      <family val="2"/>
      <scheme val="minor"/>
    </font>
    <font>
      <b/>
      <sz val="16"/>
      <color theme="0"/>
      <name val="Calibri"/>
      <family val="2"/>
    </font>
    <font>
      <b/>
      <u/>
      <sz val="16"/>
      <color theme="0"/>
      <name val="Calibri"/>
      <family val="2"/>
    </font>
    <font>
      <b/>
      <sz val="10"/>
      <name val="Calibri"/>
      <family val="2"/>
      <scheme val="minor"/>
    </font>
    <font>
      <sz val="11.5"/>
      <color rgb="FF000000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9"/>
      <name val="Calibri"/>
      <family val="2"/>
      <scheme val="minor"/>
    </font>
    <font>
      <sz val="18"/>
      <color rgb="FF3366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rgb="FFCACAC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/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/>
      <right style="dotted">
        <color rgb="FFC2D69B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A8D08D"/>
      </top>
      <bottom style="thick">
        <color rgb="FFA8D08D"/>
      </bottom>
      <diagonal/>
    </border>
    <border>
      <left/>
      <right style="thick">
        <color rgb="FF000000"/>
      </right>
      <top style="thick">
        <color rgb="FFA8D08D"/>
      </top>
      <bottom style="thick">
        <color rgb="FFA8D08D"/>
      </bottom>
      <diagonal/>
    </border>
    <border>
      <left/>
      <right/>
      <top style="thick">
        <color rgb="FFA8D08D"/>
      </top>
      <bottom style="thick">
        <color rgb="FF000000"/>
      </bottom>
      <diagonal/>
    </border>
    <border>
      <left/>
      <right style="thick">
        <color rgb="FF000000"/>
      </right>
      <top style="thick">
        <color rgb="FFA8D08D"/>
      </top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Dashed">
        <color rgb="FFC2D69B"/>
      </left>
      <right/>
      <top/>
      <bottom/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/>
      <bottom/>
      <diagonal/>
    </border>
    <border>
      <left/>
      <right style="thick">
        <color rgb="FFBFBFBF"/>
      </right>
      <top/>
      <bottom/>
      <diagonal/>
    </border>
    <border>
      <left/>
      <right style="thick">
        <color rgb="FFC2D69B"/>
      </right>
      <top/>
      <bottom/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92D050"/>
      </right>
      <top/>
      <bottom/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/>
      <right style="medium">
        <color rgb="FFC2D69B"/>
      </right>
      <top/>
      <bottom style="medium">
        <color indexed="64"/>
      </bottom>
      <diagonal/>
    </border>
    <border>
      <left style="medium">
        <color rgb="FFC2D69B"/>
      </left>
      <right/>
      <top/>
      <bottom style="medium">
        <color indexed="64"/>
      </bottom>
      <diagonal/>
    </border>
    <border>
      <left/>
      <right style="dotted">
        <color rgb="FFC2D69B"/>
      </right>
      <top/>
      <bottom style="medium">
        <color indexed="64"/>
      </bottom>
      <diagonal/>
    </border>
    <border>
      <left/>
      <right/>
      <top style="thick">
        <color rgb="FFA8D08D"/>
      </top>
      <bottom/>
      <diagonal/>
    </border>
    <border>
      <left/>
      <right style="thick">
        <color rgb="FF000000"/>
      </right>
      <top style="thick">
        <color rgb="FFA8D08D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92D05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104">
    <xf numFmtId="0" fontId="0" fillId="0" borderId="0" xfId="0"/>
    <xf numFmtId="0" fontId="0" fillId="2" borderId="1" xfId="0" applyFill="1" applyBorder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0" borderId="1" xfId="0" applyFont="1" applyBorder="1"/>
    <xf numFmtId="0" fontId="6" fillId="2" borderId="1" xfId="0" applyFont="1" applyFill="1" applyBorder="1"/>
    <xf numFmtId="0" fontId="6" fillId="5" borderId="1" xfId="0" applyFont="1" applyFill="1" applyBorder="1"/>
    <xf numFmtId="0" fontId="4" fillId="0" borderId="0" xfId="0" applyFont="1" applyBorder="1" applyAlignment="1">
      <alignment horizontal="center" vertical="center"/>
    </xf>
    <xf numFmtId="0" fontId="6" fillId="2" borderId="2" xfId="0" applyFont="1" applyFill="1" applyBorder="1"/>
    <xf numFmtId="0" fontId="6" fillId="5" borderId="24" xfId="0" applyFont="1" applyFill="1" applyBorder="1" applyAlignment="1">
      <alignment horizontal="center"/>
    </xf>
    <xf numFmtId="0" fontId="6" fillId="7" borderId="2" xfId="0" applyFont="1" applyFill="1" applyBorder="1" applyAlignment="1">
      <alignment vertical="center" wrapText="1"/>
    </xf>
    <xf numFmtId="0" fontId="6" fillId="7" borderId="14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5" borderId="24" xfId="0" applyFont="1" applyFill="1" applyBorder="1"/>
    <xf numFmtId="0" fontId="6" fillId="5" borderId="22" xfId="0" applyFont="1" applyFill="1" applyBorder="1" applyAlignment="1">
      <alignment horizontal="center" vertical="center" textRotation="90" wrapText="1"/>
    </xf>
    <xf numFmtId="0" fontId="7" fillId="7" borderId="14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34" xfId="0" applyFont="1" applyFill="1" applyBorder="1"/>
    <xf numFmtId="0" fontId="7" fillId="4" borderId="35" xfId="0" applyFont="1" applyFill="1" applyBorder="1" applyAlignment="1">
      <alignment horizontal="center"/>
    </xf>
    <xf numFmtId="0" fontId="0" fillId="8" borderId="0" xfId="0" applyFill="1"/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6" fillId="7" borderId="1" xfId="0" applyFont="1" applyFill="1" applyBorder="1" applyAlignment="1">
      <alignment horizontal="center"/>
    </xf>
    <xf numFmtId="0" fontId="17" fillId="0" borderId="0" xfId="0" applyFont="1"/>
    <xf numFmtId="0" fontId="20" fillId="0" borderId="41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17" fillId="2" borderId="0" xfId="0" applyFont="1" applyFill="1"/>
    <xf numFmtId="0" fontId="21" fillId="2" borderId="8" xfId="0" applyFont="1" applyFill="1" applyBorder="1" applyAlignment="1">
      <alignment vertical="center" wrapText="1"/>
    </xf>
    <xf numFmtId="0" fontId="21" fillId="2" borderId="9" xfId="0" applyFont="1" applyFill="1" applyBorder="1" applyAlignment="1">
      <alignment vertical="center" wrapText="1"/>
    </xf>
    <xf numFmtId="0" fontId="21" fillId="2" borderId="39" xfId="0" applyFont="1" applyFill="1" applyBorder="1" applyAlignment="1">
      <alignment vertical="center" wrapText="1"/>
    </xf>
    <xf numFmtId="0" fontId="21" fillId="2" borderId="40" xfId="0" applyFont="1" applyFill="1" applyBorder="1" applyAlignment="1">
      <alignment vertical="center" wrapText="1"/>
    </xf>
    <xf numFmtId="0" fontId="17" fillId="2" borderId="0" xfId="0" applyFont="1" applyFill="1" applyBorder="1" applyAlignment="1">
      <alignment horizontal="center" vertical="center" textRotation="90"/>
    </xf>
    <xf numFmtId="0" fontId="21" fillId="11" borderId="10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2" fillId="13" borderId="10" xfId="0" applyFont="1" applyFill="1" applyBorder="1" applyAlignment="1">
      <alignment horizontal="center" vertical="center" wrapText="1"/>
    </xf>
    <xf numFmtId="0" fontId="17" fillId="17" borderId="29" xfId="0" applyFont="1" applyFill="1" applyBorder="1"/>
    <xf numFmtId="0" fontId="7" fillId="18" borderId="46" xfId="0" applyFont="1" applyFill="1" applyBorder="1" applyAlignment="1">
      <alignment horizontal="center" vertical="center" wrapText="1"/>
    </xf>
    <xf numFmtId="0" fontId="3" fillId="9" borderId="79" xfId="0" applyFont="1" applyFill="1" applyBorder="1" applyAlignment="1">
      <alignment vertical="center" wrapText="1"/>
    </xf>
    <xf numFmtId="0" fontId="0" fillId="25" borderId="80" xfId="0" applyFill="1" applyBorder="1" applyAlignment="1">
      <alignment vertical="center" wrapText="1"/>
    </xf>
    <xf numFmtId="165" fontId="0" fillId="0" borderId="77" xfId="1" applyNumberFormat="1" applyFont="1" applyBorder="1" applyAlignment="1">
      <alignment vertical="center" wrapText="1"/>
    </xf>
    <xf numFmtId="165" fontId="0" fillId="0" borderId="77" xfId="0" applyNumberFormat="1" applyBorder="1" applyAlignment="1">
      <alignment vertical="center" wrapText="1"/>
    </xf>
    <xf numFmtId="165" fontId="3" fillId="0" borderId="81" xfId="1" applyNumberFormat="1" applyFont="1" applyBorder="1" applyAlignment="1">
      <alignment vertical="center" wrapText="1"/>
    </xf>
    <xf numFmtId="165" fontId="27" fillId="0" borderId="81" xfId="1" applyNumberFormat="1" applyFont="1" applyBorder="1" applyAlignment="1">
      <alignment vertical="center" wrapText="1"/>
    </xf>
    <xf numFmtId="165" fontId="13" fillId="0" borderId="77" xfId="1" applyNumberFormat="1" applyFont="1" applyBorder="1" applyAlignment="1">
      <alignment vertical="center" wrapText="1"/>
    </xf>
    <xf numFmtId="165" fontId="13" fillId="0" borderId="78" xfId="1" applyNumberFormat="1" applyFont="1" applyBorder="1" applyAlignment="1">
      <alignment vertical="center" wrapText="1"/>
    </xf>
    <xf numFmtId="165" fontId="27" fillId="0" borderId="40" xfId="1" applyNumberFormat="1" applyFont="1" applyBorder="1" applyAlignment="1">
      <alignment vertical="center" wrapText="1"/>
    </xf>
    <xf numFmtId="0" fontId="7" fillId="26" borderId="1" xfId="0" applyFont="1" applyFill="1" applyBorder="1" applyAlignment="1">
      <alignment horizontal="center"/>
    </xf>
    <xf numFmtId="0" fontId="7" fillId="27" borderId="1" xfId="0" applyFont="1" applyFill="1" applyBorder="1" applyAlignment="1">
      <alignment horizontal="center"/>
    </xf>
    <xf numFmtId="0" fontId="28" fillId="28" borderId="15" xfId="0" applyFont="1" applyFill="1" applyBorder="1" applyAlignment="1">
      <alignment horizontal="center"/>
    </xf>
    <xf numFmtId="0" fontId="7" fillId="29" borderId="1" xfId="0" applyFont="1" applyFill="1" applyBorder="1" applyAlignment="1">
      <alignment horizontal="center"/>
    </xf>
    <xf numFmtId="0" fontId="21" fillId="11" borderId="7" xfId="0" applyFont="1" applyFill="1" applyBorder="1" applyAlignment="1">
      <alignment vertical="center" wrapText="1"/>
    </xf>
    <xf numFmtId="0" fontId="22" fillId="12" borderId="7" xfId="0" applyFont="1" applyFill="1" applyBorder="1" applyAlignment="1">
      <alignment vertical="center" wrapText="1"/>
    </xf>
    <xf numFmtId="0" fontId="22" fillId="13" borderId="7" xfId="0" applyFont="1" applyFill="1" applyBorder="1" applyAlignment="1">
      <alignment vertical="center" wrapText="1"/>
    </xf>
    <xf numFmtId="0" fontId="21" fillId="30" borderId="1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1" fillId="24" borderId="1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/>
    </xf>
    <xf numFmtId="0" fontId="6" fillId="7" borderId="14" xfId="0" applyFont="1" applyFill="1" applyBorder="1" applyAlignment="1">
      <alignment vertical="top"/>
    </xf>
    <xf numFmtId="0" fontId="6" fillId="7" borderId="14" xfId="0" applyFont="1" applyFill="1" applyBorder="1" applyAlignment="1">
      <alignment horizontal="center" vertical="top"/>
    </xf>
    <xf numFmtId="0" fontId="6" fillId="5" borderId="16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vertical="top"/>
    </xf>
    <xf numFmtId="0" fontId="6" fillId="5" borderId="15" xfId="0" applyFont="1" applyFill="1" applyBorder="1" applyAlignment="1">
      <alignment horizontal="center" vertical="top"/>
    </xf>
    <xf numFmtId="0" fontId="6" fillId="7" borderId="1" xfId="0" applyFont="1" applyFill="1" applyBorder="1" applyAlignment="1">
      <alignment horizontal="left" vertical="top"/>
    </xf>
    <xf numFmtId="0" fontId="6" fillId="5" borderId="1" xfId="0" applyFont="1" applyFill="1" applyBorder="1" applyAlignment="1">
      <alignment horizontal="left" vertical="top"/>
    </xf>
    <xf numFmtId="0" fontId="6" fillId="7" borderId="14" xfId="0" applyFont="1" applyFill="1" applyBorder="1" applyAlignment="1">
      <alignment horizontal="left" vertical="top"/>
    </xf>
    <xf numFmtId="0" fontId="33" fillId="31" borderId="6" xfId="0" applyFont="1" applyFill="1" applyBorder="1"/>
    <xf numFmtId="0" fontId="33" fillId="31" borderId="0" xfId="0" applyFont="1" applyFill="1" applyBorder="1"/>
    <xf numFmtId="0" fontId="34" fillId="31" borderId="0" xfId="0" applyFont="1" applyFill="1" applyBorder="1" applyAlignment="1">
      <alignment vertical="top"/>
    </xf>
    <xf numFmtId="0" fontId="33" fillId="31" borderId="0" xfId="0" applyFont="1" applyFill="1" applyBorder="1" applyAlignment="1">
      <alignment vertical="top"/>
    </xf>
    <xf numFmtId="0" fontId="33" fillId="31" borderId="11" xfId="0" applyFont="1" applyFill="1" applyBorder="1" applyAlignment="1"/>
    <xf numFmtId="0" fontId="33" fillId="31" borderId="12" xfId="0" applyFont="1" applyFill="1" applyBorder="1" applyAlignment="1"/>
    <xf numFmtId="0" fontId="33" fillId="31" borderId="13" xfId="0" applyFont="1" applyFill="1" applyBorder="1" applyAlignment="1"/>
    <xf numFmtId="0" fontId="33" fillId="31" borderId="14" xfId="0" applyFont="1" applyFill="1" applyBorder="1" applyAlignment="1"/>
    <xf numFmtId="0" fontId="33" fillId="31" borderId="7" xfId="0" applyFont="1" applyFill="1" applyBorder="1"/>
    <xf numFmtId="0" fontId="14" fillId="31" borderId="0" xfId="0" applyFont="1" applyFill="1"/>
    <xf numFmtId="0" fontId="38" fillId="31" borderId="11" xfId="0" applyFont="1" applyFill="1" applyBorder="1" applyAlignment="1"/>
    <xf numFmtId="0" fontId="38" fillId="31" borderId="12" xfId="0" applyFont="1" applyFill="1" applyBorder="1" applyAlignment="1"/>
    <xf numFmtId="0" fontId="2" fillId="3" borderId="2" xfId="0" applyFont="1" applyFill="1" applyBorder="1" applyAlignment="1">
      <alignment horizontal="center" vertical="center" wrapText="1"/>
    </xf>
    <xf numFmtId="0" fontId="38" fillId="31" borderId="0" xfId="0" applyFont="1" applyFill="1" applyBorder="1" applyAlignment="1"/>
    <xf numFmtId="0" fontId="20" fillId="0" borderId="1" xfId="0" applyFont="1" applyBorder="1" applyAlignment="1">
      <alignment vertical="center" wrapText="1"/>
    </xf>
    <xf numFmtId="0" fontId="42" fillId="0" borderId="0" xfId="0" applyFont="1"/>
    <xf numFmtId="0" fontId="33" fillId="31" borderId="0" xfId="0" applyFont="1" applyFill="1" applyBorder="1" applyAlignment="1"/>
    <xf numFmtId="0" fontId="7" fillId="3" borderId="2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33" fillId="31" borderId="0" xfId="0" applyFont="1" applyFill="1" applyBorder="1" applyAlignment="1">
      <alignment horizontal="left"/>
    </xf>
    <xf numFmtId="0" fontId="33" fillId="31" borderId="12" xfId="0" applyFont="1" applyFill="1" applyBorder="1" applyAlignment="1">
      <alignment horizontal="left"/>
    </xf>
    <xf numFmtId="0" fontId="33" fillId="31" borderId="14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 vertical="top"/>
    </xf>
    <xf numFmtId="0" fontId="6" fillId="5" borderId="25" xfId="0" applyFont="1" applyFill="1" applyBorder="1" applyAlignment="1">
      <alignment horizontal="left" vertical="top"/>
    </xf>
    <xf numFmtId="0" fontId="6" fillId="5" borderId="2" xfId="0" applyFont="1" applyFill="1" applyBorder="1" applyAlignment="1">
      <alignment horizontal="left" vertical="top"/>
    </xf>
    <xf numFmtId="0" fontId="6" fillId="5" borderId="24" xfId="0" applyFont="1" applyFill="1" applyBorder="1" applyAlignment="1">
      <alignment horizontal="left"/>
    </xf>
    <xf numFmtId="0" fontId="7" fillId="4" borderId="37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0" fontId="7" fillId="27" borderId="1" xfId="0" applyFont="1" applyFill="1" applyBorder="1" applyAlignment="1">
      <alignment horizontal="left"/>
    </xf>
    <xf numFmtId="0" fontId="28" fillId="28" borderId="15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8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22" xfId="0" applyFont="1" applyBorder="1" applyAlignment="1">
      <alignment vertical="top" textRotation="90"/>
    </xf>
    <xf numFmtId="0" fontId="6" fillId="0" borderId="0" xfId="0" applyFont="1" applyBorder="1" applyAlignment="1">
      <alignment vertical="top" textRotation="90"/>
    </xf>
    <xf numFmtId="0" fontId="21" fillId="11" borderId="40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22" fillId="13" borderId="5" xfId="0" applyFont="1" applyFill="1" applyBorder="1" applyAlignment="1">
      <alignment horizontal="center" vertical="center" wrapText="1"/>
    </xf>
    <xf numFmtId="0" fontId="20" fillId="17" borderId="41" xfId="0" applyFont="1" applyFill="1" applyBorder="1" applyAlignment="1">
      <alignment vertical="center" wrapText="1"/>
    </xf>
    <xf numFmtId="10" fontId="44" fillId="17" borderId="1" xfId="2" applyNumberFormat="1" applyFont="1" applyFill="1" applyBorder="1" applyAlignment="1" applyProtection="1">
      <alignment horizontal="center" vertical="center"/>
      <protection locked="0"/>
    </xf>
    <xf numFmtId="10" fontId="44" fillId="17" borderId="15" xfId="2" applyNumberFormat="1" applyFont="1" applyFill="1" applyBorder="1" applyAlignment="1" applyProtection="1">
      <alignment vertical="center"/>
      <protection locked="0"/>
    </xf>
    <xf numFmtId="10" fontId="44" fillId="17" borderId="93" xfId="2" applyNumberFormat="1" applyFont="1" applyFill="1" applyBorder="1" applyAlignment="1" applyProtection="1">
      <alignment horizontal="center" vertical="center"/>
      <protection locked="0"/>
    </xf>
    <xf numFmtId="0" fontId="20" fillId="17" borderId="43" xfId="0" applyFont="1" applyFill="1" applyBorder="1" applyAlignment="1">
      <alignment vertical="center" wrapText="1"/>
    </xf>
    <xf numFmtId="0" fontId="17" fillId="2" borderId="0" xfId="0" applyFont="1" applyFill="1" applyAlignment="1">
      <alignment horizontal="center" vertical="center" textRotation="90"/>
    </xf>
    <xf numFmtId="0" fontId="47" fillId="0" borderId="41" xfId="0" applyFont="1" applyBorder="1" applyAlignment="1">
      <alignment vertical="center" wrapText="1"/>
    </xf>
    <xf numFmtId="0" fontId="21" fillId="0" borderId="98" xfId="0" applyFont="1" applyBorder="1" applyAlignment="1">
      <alignment vertical="center" wrapText="1"/>
    </xf>
    <xf numFmtId="0" fontId="42" fillId="0" borderId="6" xfId="0" applyFont="1" applyBorder="1"/>
    <xf numFmtId="0" fontId="42" fillId="17" borderId="6" xfId="0" applyFont="1" applyFill="1" applyBorder="1"/>
    <xf numFmtId="10" fontId="46" fillId="17" borderId="1" xfId="2" applyNumberFormat="1" applyFont="1" applyFill="1" applyBorder="1"/>
    <xf numFmtId="0" fontId="42" fillId="0" borderId="99" xfId="0" applyFont="1" applyBorder="1"/>
    <xf numFmtId="0" fontId="42" fillId="0" borderId="8" xfId="0" applyFont="1" applyBorder="1"/>
    <xf numFmtId="0" fontId="42" fillId="17" borderId="8" xfId="0" applyFont="1" applyFill="1" applyBorder="1"/>
    <xf numFmtId="0" fontId="42" fillId="0" borderId="29" xfId="0" applyFont="1" applyBorder="1"/>
    <xf numFmtId="0" fontId="20" fillId="0" borderId="3" xfId="0" applyFont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2" fontId="46" fillId="17" borderId="1" xfId="0" applyNumberFormat="1" applyFont="1" applyFill="1" applyBorder="1"/>
    <xf numFmtId="0" fontId="21" fillId="2" borderId="0" xfId="0" applyFont="1" applyFill="1" applyAlignment="1">
      <alignment vertical="center" wrapText="1"/>
    </xf>
    <xf numFmtId="0" fontId="51" fillId="0" borderId="0" xfId="0" applyFont="1" applyAlignment="1">
      <alignment vertical="center"/>
    </xf>
    <xf numFmtId="0" fontId="33" fillId="31" borderId="0" xfId="0" applyFont="1" applyFill="1"/>
    <xf numFmtId="0" fontId="34" fillId="31" borderId="0" xfId="0" applyFont="1" applyFill="1" applyAlignment="1">
      <alignment vertical="top"/>
    </xf>
    <xf numFmtId="0" fontId="33" fillId="31" borderId="0" xfId="0" applyFont="1" applyFill="1" applyAlignment="1">
      <alignment vertical="top"/>
    </xf>
    <xf numFmtId="0" fontId="33" fillId="31" borderId="11" xfId="0" applyFont="1" applyFill="1" applyBorder="1"/>
    <xf numFmtId="0" fontId="33" fillId="31" borderId="12" xfId="0" applyFont="1" applyFill="1" applyBorder="1"/>
    <xf numFmtId="0" fontId="0" fillId="22" borderId="0" xfId="0" applyFill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6" fillId="0" borderId="15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35" fillId="31" borderId="0" xfId="0" applyFont="1" applyFill="1" applyBorder="1" applyAlignment="1">
      <alignment horizontal="left" vertical="center" wrapText="1"/>
    </xf>
    <xf numFmtId="17" fontId="52" fillId="26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33" fillId="31" borderId="6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3" fillId="31" borderId="0" xfId="0" applyFont="1" applyFill="1" applyBorder="1" applyAlignment="1">
      <alignment horizontal="center"/>
    </xf>
    <xf numFmtId="0" fontId="33" fillId="31" borderId="12" xfId="0" applyFont="1" applyFill="1" applyBorder="1" applyAlignment="1">
      <alignment horizontal="center"/>
    </xf>
    <xf numFmtId="0" fontId="33" fillId="31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33" fillId="31" borderId="0" xfId="0" applyFont="1" applyFill="1" applyBorder="1" applyAlignment="1">
      <alignment horizontal="center" vertical="center"/>
    </xf>
    <xf numFmtId="0" fontId="33" fillId="31" borderId="7" xfId="0" applyFont="1" applyFill="1" applyBorder="1" applyAlignment="1">
      <alignment horizontal="center" vertical="center"/>
    </xf>
    <xf numFmtId="0" fontId="52" fillId="26" borderId="1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1" xfId="0" applyFont="1" applyFill="1" applyBorder="1" applyAlignment="1"/>
    <xf numFmtId="0" fontId="0" fillId="3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/>
    <xf numFmtId="0" fontId="16" fillId="36" borderId="1" xfId="0" applyFont="1" applyFill="1" applyBorder="1" applyAlignment="1"/>
    <xf numFmtId="0" fontId="1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5" fillId="36" borderId="18" xfId="0" applyFont="1" applyFill="1" applyBorder="1" applyAlignment="1">
      <alignment horizontal="center" vertical="center"/>
    </xf>
    <xf numFmtId="0" fontId="0" fillId="37" borderId="0" xfId="0" applyFill="1"/>
    <xf numFmtId="0" fontId="0" fillId="0" borderId="0" xfId="0" applyBorder="1"/>
    <xf numFmtId="0" fontId="0" fillId="37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/>
    <xf numFmtId="0" fontId="3" fillId="17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vertical="center" textRotation="90" wrapText="1"/>
    </xf>
    <xf numFmtId="0" fontId="0" fillId="26" borderId="1" xfId="0" applyFill="1" applyBorder="1"/>
    <xf numFmtId="0" fontId="0" fillId="0" borderId="0" xfId="0" applyAlignment="1">
      <alignment vertical="center"/>
    </xf>
    <xf numFmtId="0" fontId="33" fillId="31" borderId="12" xfId="0" applyFont="1" applyFill="1" applyBorder="1" applyAlignment="1">
      <alignment horizontal="center" vertical="center"/>
    </xf>
    <xf numFmtId="0" fontId="33" fillId="31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6" borderId="1" xfId="0" applyFill="1" applyBorder="1" applyAlignment="1">
      <alignment vertical="center"/>
    </xf>
    <xf numFmtId="0" fontId="0" fillId="26" borderId="1" xfId="0" applyFill="1" applyBorder="1" applyAlignment="1">
      <alignment horizontal="center" vertical="center"/>
    </xf>
    <xf numFmtId="0" fontId="7" fillId="38" borderId="16" xfId="0" applyFont="1" applyFill="1" applyBorder="1" applyAlignment="1">
      <alignment horizontal="center" vertical="center"/>
    </xf>
    <xf numFmtId="0" fontId="7" fillId="38" borderId="16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15" fillId="39" borderId="1" xfId="0" applyFont="1" applyFill="1" applyBorder="1" applyAlignment="1">
      <alignment horizontal="center"/>
    </xf>
    <xf numFmtId="17" fontId="52" fillId="39" borderId="1" xfId="0" applyNumberFormat="1" applyFont="1" applyFill="1" applyBorder="1" applyAlignment="1">
      <alignment horizontal="center" vertical="center" wrapText="1"/>
    </xf>
    <xf numFmtId="0" fontId="52" fillId="39" borderId="16" xfId="0" applyFont="1" applyFill="1" applyBorder="1" applyAlignment="1">
      <alignment horizontal="center" vertical="center" wrapText="1"/>
    </xf>
    <xf numFmtId="0" fontId="52" fillId="39" borderId="1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 vertical="center"/>
    </xf>
    <xf numFmtId="0" fontId="21" fillId="11" borderId="7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21" fillId="7" borderId="41" xfId="0" applyFont="1" applyFill="1" applyBorder="1" applyAlignment="1">
      <alignment vertical="center" wrapText="1"/>
    </xf>
    <xf numFmtId="0" fontId="0" fillId="37" borderId="1" xfId="0" applyFill="1" applyBorder="1" applyAlignment="1">
      <alignment vertical="center"/>
    </xf>
    <xf numFmtId="0" fontId="5" fillId="26" borderId="1" xfId="0" applyFont="1" applyFill="1" applyBorder="1" applyAlignment="1"/>
    <xf numFmtId="0" fontId="22" fillId="12" borderId="40" xfId="0" applyFont="1" applyFill="1" applyBorder="1" applyAlignment="1">
      <alignment horizontal="center" vertical="center" wrapText="1"/>
    </xf>
    <xf numFmtId="0" fontId="22" fillId="13" borderId="40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1" fillId="7" borderId="8" xfId="0" applyFont="1" applyFill="1" applyBorder="1" applyAlignment="1">
      <alignment vertical="center" wrapText="1"/>
    </xf>
    <xf numFmtId="0" fontId="20" fillId="0" borderId="4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0" fillId="26" borderId="42" xfId="0" applyFont="1" applyFill="1" applyBorder="1" applyAlignment="1">
      <alignment horizontal="center" vertical="center" wrapText="1"/>
    </xf>
    <xf numFmtId="0" fontId="20" fillId="39" borderId="8" xfId="0" applyFont="1" applyFill="1" applyBorder="1" applyAlignment="1">
      <alignment vertical="center" wrapText="1"/>
    </xf>
    <xf numFmtId="0" fontId="20" fillId="39" borderId="10" xfId="0" applyFont="1" applyFill="1" applyBorder="1" applyAlignment="1">
      <alignment vertical="center" wrapText="1"/>
    </xf>
    <xf numFmtId="0" fontId="0" fillId="39" borderId="8" xfId="0" applyFill="1" applyBorder="1" applyAlignment="1"/>
    <xf numFmtId="0" fontId="0" fillId="39" borderId="10" xfId="0" applyFill="1" applyBorder="1" applyAlignment="1"/>
    <xf numFmtId="0" fontId="0" fillId="39" borderId="83" xfId="0" applyFill="1" applyBorder="1" applyAlignment="1"/>
    <xf numFmtId="0" fontId="20" fillId="39" borderId="3" xfId="0" applyFont="1" applyFill="1" applyBorder="1" applyAlignment="1">
      <alignment vertical="center" wrapText="1"/>
    </xf>
    <xf numFmtId="0" fontId="20" fillId="39" borderId="5" xfId="0" applyFont="1" applyFill="1" applyBorder="1" applyAlignment="1">
      <alignment vertical="center" wrapText="1"/>
    </xf>
    <xf numFmtId="0" fontId="0" fillId="39" borderId="3" xfId="0" applyFill="1" applyBorder="1" applyAlignment="1"/>
    <xf numFmtId="0" fontId="0" fillId="39" borderId="5" xfId="0" applyFill="1" applyBorder="1" applyAlignment="1"/>
    <xf numFmtId="0" fontId="0" fillId="39" borderId="82" xfId="0" applyFill="1" applyBorder="1" applyAlignment="1"/>
    <xf numFmtId="0" fontId="0" fillId="39" borderId="42" xfId="0" applyFill="1" applyBorder="1" applyAlignment="1"/>
    <xf numFmtId="0" fontId="0" fillId="39" borderId="41" xfId="0" applyFill="1" applyBorder="1" applyAlignment="1"/>
    <xf numFmtId="0" fontId="14" fillId="0" borderId="0" xfId="0" applyFont="1"/>
    <xf numFmtId="0" fontId="15" fillId="40" borderId="1" xfId="0" applyFont="1" applyFill="1" applyBorder="1" applyAlignment="1">
      <alignment horizontal="center" vertical="center" wrapText="1"/>
    </xf>
    <xf numFmtId="0" fontId="15" fillId="40" borderId="1" xfId="0" applyFont="1" applyFill="1" applyBorder="1" applyAlignment="1">
      <alignment vertical="center" wrapText="1"/>
    </xf>
    <xf numFmtId="17" fontId="15" fillId="40" borderId="1" xfId="0" applyNumberFormat="1" applyFont="1" applyFill="1" applyBorder="1" applyAlignment="1">
      <alignment horizontal="center" vertical="center" wrapText="1"/>
    </xf>
    <xf numFmtId="17" fontId="41" fillId="40" borderId="1" xfId="0" applyNumberFormat="1" applyFont="1" applyFill="1" applyBorder="1" applyAlignment="1">
      <alignment horizontal="center" vertical="center" wrapText="1"/>
    </xf>
    <xf numFmtId="0" fontId="15" fillId="40" borderId="13" xfId="0" applyFont="1" applyFill="1" applyBorder="1" applyAlignment="1">
      <alignment horizontal="center" vertical="center"/>
    </xf>
    <xf numFmtId="0" fontId="15" fillId="40" borderId="15" xfId="0" applyFont="1" applyFill="1" applyBorder="1" applyAlignment="1">
      <alignment horizontal="center" vertical="center"/>
    </xf>
    <xf numFmtId="0" fontId="15" fillId="40" borderId="1" xfId="0" applyFont="1" applyFill="1" applyBorder="1"/>
    <xf numFmtId="0" fontId="6" fillId="40" borderId="1" xfId="0" applyFont="1" applyFill="1" applyBorder="1"/>
    <xf numFmtId="0" fontId="41" fillId="40" borderId="1" xfId="0" applyFont="1" applyFill="1" applyBorder="1" applyAlignment="1">
      <alignment vertical="center" wrapText="1"/>
    </xf>
    <xf numFmtId="0" fontId="52" fillId="40" borderId="1" xfId="0" applyFont="1" applyFill="1" applyBorder="1" applyAlignment="1">
      <alignment horizontal="center" vertical="center" wrapText="1"/>
    </xf>
    <xf numFmtId="0" fontId="15" fillId="40" borderId="15" xfId="0" applyFont="1" applyFill="1" applyBorder="1" applyAlignment="1">
      <alignment horizontal="left" vertical="top" wrapText="1"/>
    </xf>
    <xf numFmtId="0" fontId="15" fillId="40" borderId="15" xfId="0" applyFont="1" applyFill="1" applyBorder="1" applyAlignment="1">
      <alignment horizontal="left" wrapText="1"/>
    </xf>
    <xf numFmtId="0" fontId="0" fillId="40" borderId="1" xfId="0" applyFill="1" applyBorder="1" applyAlignment="1">
      <alignment horizontal="center" vertical="center"/>
    </xf>
    <xf numFmtId="0" fontId="0" fillId="40" borderId="1" xfId="0" applyFont="1" applyFill="1" applyBorder="1" applyAlignment="1">
      <alignment horizontal="center" vertical="center"/>
    </xf>
    <xf numFmtId="0" fontId="7" fillId="40" borderId="0" xfId="0" applyFont="1" applyFill="1" applyBorder="1" applyAlignment="1">
      <alignment vertical="top"/>
    </xf>
    <xf numFmtId="0" fontId="33" fillId="31" borderId="13" xfId="0" applyFont="1" applyFill="1" applyBorder="1" applyAlignment="1">
      <alignment horizontal="left"/>
    </xf>
    <xf numFmtId="0" fontId="1" fillId="26" borderId="12" xfId="0" applyFont="1" applyFill="1" applyBorder="1"/>
    <xf numFmtId="167" fontId="1" fillId="26" borderId="12" xfId="0" applyNumberFormat="1" applyFont="1" applyFill="1" applyBorder="1"/>
    <xf numFmtId="9" fontId="46" fillId="0" borderId="1" xfId="2" applyNumberFormat="1" applyFont="1" applyBorder="1" applyAlignment="1">
      <alignment horizontal="center"/>
    </xf>
    <xf numFmtId="0" fontId="14" fillId="31" borderId="0" xfId="0" applyFont="1" applyFill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14" fillId="31" borderId="0" xfId="0" applyFont="1" applyFill="1" applyAlignment="1">
      <alignment horizontal="center" vertical="center"/>
    </xf>
    <xf numFmtId="0" fontId="38" fillId="31" borderId="0" xfId="0" applyFont="1" applyFill="1" applyBorder="1" applyAlignment="1">
      <alignment horizontal="center" vertical="center"/>
    </xf>
    <xf numFmtId="0" fontId="0" fillId="0" borderId="15" xfId="0" applyBorder="1"/>
    <xf numFmtId="0" fontId="30" fillId="31" borderId="0" xfId="0" applyFont="1" applyFill="1" applyBorder="1" applyAlignment="1">
      <alignment horizontal="center" vertical="center"/>
    </xf>
    <xf numFmtId="0" fontId="3" fillId="26" borderId="1" xfId="0" applyFont="1" applyFill="1" applyBorder="1" applyAlignment="1"/>
    <xf numFmtId="0" fontId="33" fillId="0" borderId="1" xfId="0" applyFont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0" fillId="0" borderId="113" xfId="0" applyBorder="1"/>
    <xf numFmtId="0" fontId="1" fillId="0" borderId="37" xfId="0" applyFont="1" applyBorder="1" applyAlignment="1">
      <alignment horizontal="center" vertical="center"/>
    </xf>
    <xf numFmtId="0" fontId="33" fillId="31" borderId="0" xfId="0" applyFont="1" applyFill="1" applyAlignment="1">
      <alignment horizontal="center"/>
    </xf>
    <xf numFmtId="0" fontId="21" fillId="2" borderId="39" xfId="0" applyFont="1" applyFill="1" applyBorder="1" applyAlignment="1">
      <alignment horizontal="center" vertical="center" wrapText="1"/>
    </xf>
    <xf numFmtId="0" fontId="21" fillId="2" borderId="40" xfId="0" applyFont="1" applyFill="1" applyBorder="1" applyAlignment="1">
      <alignment horizontal="center" vertical="center" wrapText="1"/>
    </xf>
    <xf numFmtId="10" fontId="46" fillId="33" borderId="1" xfId="2" applyNumberFormat="1" applyFont="1" applyFill="1" applyBorder="1" applyAlignment="1">
      <alignment horizontal="center"/>
    </xf>
    <xf numFmtId="0" fontId="21" fillId="10" borderId="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25" borderId="80" xfId="0" applyFill="1" applyBorder="1" applyAlignment="1">
      <alignment horizontal="center" vertical="center" wrapText="1"/>
    </xf>
    <xf numFmtId="0" fontId="20" fillId="17" borderId="8" xfId="0" applyFont="1" applyFill="1" applyBorder="1" applyAlignment="1">
      <alignment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15" fillId="40" borderId="1" xfId="0" applyFont="1" applyFill="1" applyBorder="1" applyAlignment="1">
      <alignment horizontal="center"/>
    </xf>
    <xf numFmtId="0" fontId="47" fillId="0" borderId="8" xfId="0" applyFont="1" applyBorder="1" applyAlignment="1">
      <alignment vertical="center" wrapText="1"/>
    </xf>
    <xf numFmtId="0" fontId="21" fillId="2" borderId="10" xfId="0" applyFont="1" applyFill="1" applyBorder="1" applyAlignment="1">
      <alignment vertical="center" wrapText="1"/>
    </xf>
    <xf numFmtId="167" fontId="5" fillId="26" borderId="0" xfId="0" applyNumberFormat="1" applyFont="1" applyFill="1" applyBorder="1" applyAlignment="1">
      <alignment horizontal="center"/>
    </xf>
    <xf numFmtId="0" fontId="21" fillId="7" borderId="0" xfId="0" applyFont="1" applyFill="1" applyBorder="1" applyAlignment="1">
      <alignment vertical="center" wrapText="1"/>
    </xf>
    <xf numFmtId="0" fontId="21" fillId="7" borderId="16" xfId="0" applyFont="1" applyFill="1" applyBorder="1" applyAlignment="1">
      <alignment vertical="center" wrapText="1"/>
    </xf>
    <xf numFmtId="0" fontId="20" fillId="26" borderId="0" xfId="0" applyFont="1" applyFill="1" applyBorder="1" applyAlignment="1">
      <alignment horizontal="center" vertical="center" wrapText="1"/>
    </xf>
    <xf numFmtId="0" fontId="0" fillId="39" borderId="4" xfId="0" applyFill="1" applyBorder="1" applyAlignment="1"/>
    <xf numFmtId="0" fontId="0" fillId="39" borderId="9" xfId="0" applyFill="1" applyBorder="1" applyAlignment="1"/>
    <xf numFmtId="0" fontId="52" fillId="40" borderId="1" xfId="0" applyFont="1" applyFill="1" applyBorder="1" applyAlignment="1">
      <alignment horizontal="center" vertical="center" wrapText="1"/>
    </xf>
    <xf numFmtId="0" fontId="6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35" fillId="31" borderId="0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23" fillId="39" borderId="40" xfId="0" applyFont="1" applyFill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21" fillId="9" borderId="10" xfId="0" applyFont="1" applyFill="1" applyBorder="1" applyAlignment="1">
      <alignment horizontal="left" vertical="center" wrapText="1"/>
    </xf>
    <xf numFmtId="0" fontId="55" fillId="17" borderId="4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vertical="center" wrapText="1"/>
    </xf>
    <xf numFmtId="1" fontId="0" fillId="40" borderId="1" xfId="0" applyNumberFormat="1" applyFill="1" applyBorder="1" applyAlignment="1" applyProtection="1">
      <alignment horizontal="center"/>
      <protection locked="0"/>
    </xf>
    <xf numFmtId="0" fontId="21" fillId="17" borderId="0" xfId="0" applyFont="1" applyFill="1" applyBorder="1" applyAlignment="1">
      <alignment vertical="center" wrapText="1"/>
    </xf>
    <xf numFmtId="0" fontId="15" fillId="17" borderId="0" xfId="0" applyFont="1" applyFill="1" applyBorder="1" applyAlignment="1">
      <alignment horizontal="center"/>
    </xf>
    <xf numFmtId="0" fontId="42" fillId="0" borderId="138" xfId="0" applyFont="1" applyBorder="1"/>
    <xf numFmtId="0" fontId="15" fillId="17" borderId="7" xfId="0" applyFont="1" applyFill="1" applyBorder="1" applyAlignment="1">
      <alignment horizontal="center"/>
    </xf>
    <xf numFmtId="0" fontId="21" fillId="2" borderId="0" xfId="0" applyFont="1" applyFill="1" applyBorder="1" applyAlignment="1">
      <alignment vertical="center" wrapText="1"/>
    </xf>
    <xf numFmtId="0" fontId="14" fillId="31" borderId="0" xfId="0" applyFont="1" applyFill="1" applyAlignment="1"/>
    <xf numFmtId="0" fontId="23" fillId="39" borderId="0" xfId="0" applyFont="1" applyFill="1" applyBorder="1" applyAlignment="1">
      <alignment horizontal="center" vertical="center" wrapText="1"/>
    </xf>
    <xf numFmtId="0" fontId="17" fillId="0" borderId="7" xfId="0" applyFont="1" applyBorder="1"/>
    <xf numFmtId="0" fontId="20" fillId="0" borderId="139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4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0" fillId="26" borderId="141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43" xfId="0" applyFont="1" applyFill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0" fillId="26" borderId="1" xfId="0" applyFill="1" applyBorder="1" applyAlignment="1">
      <alignment wrapText="1"/>
    </xf>
    <xf numFmtId="0" fontId="52" fillId="40" borderId="1" xfId="0" applyFont="1" applyFill="1" applyBorder="1" applyAlignment="1">
      <alignment horizontal="center"/>
    </xf>
    <xf numFmtId="0" fontId="6" fillId="40" borderId="1" xfId="0" applyFont="1" applyFill="1" applyBorder="1" applyAlignment="1">
      <alignment horizontal="center"/>
    </xf>
    <xf numFmtId="0" fontId="11" fillId="26" borderId="1" xfId="0" applyFont="1" applyFill="1" applyBorder="1" applyAlignment="1"/>
    <xf numFmtId="0" fontId="0" fillId="26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0" fontId="56" fillId="0" borderId="0" xfId="0" applyFont="1"/>
    <xf numFmtId="0" fontId="6" fillId="0" borderId="0" xfId="0" applyFont="1" applyAlignment="1">
      <alignment horizontal="left" wrapText="1"/>
    </xf>
    <xf numFmtId="0" fontId="33" fillId="31" borderId="0" xfId="0" applyFont="1" applyFill="1" applyBorder="1" applyAlignment="1">
      <alignment horizontal="left" vertical="top" wrapText="1"/>
    </xf>
    <xf numFmtId="0" fontId="33" fillId="31" borderId="0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vertical="center" wrapText="1"/>
    </xf>
    <xf numFmtId="0" fontId="52" fillId="40" borderId="1" xfId="0" applyFont="1" applyFill="1" applyBorder="1" applyAlignment="1">
      <alignment horizontal="left" vertical="center" wrapText="1"/>
    </xf>
    <xf numFmtId="0" fontId="52" fillId="40" borderId="1" xfId="0" applyFont="1" applyFill="1" applyBorder="1" applyAlignment="1">
      <alignment horizontal="left" wrapText="1"/>
    </xf>
    <xf numFmtId="0" fontId="15" fillId="39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20" fillId="0" borderId="25" xfId="0" applyFont="1" applyBorder="1" applyAlignment="1">
      <alignment vertical="center" wrapText="1"/>
    </xf>
    <xf numFmtId="0" fontId="21" fillId="0" borderId="15" xfId="0" applyFont="1" applyBorder="1" applyAlignment="1">
      <alignment vertical="center" wrapText="1"/>
    </xf>
    <xf numFmtId="0" fontId="7" fillId="38" borderId="16" xfId="0" applyFont="1" applyFill="1" applyBorder="1" applyAlignment="1">
      <alignment horizontal="left" vertical="center" wrapText="1"/>
    </xf>
    <xf numFmtId="0" fontId="7" fillId="38" borderId="16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3" fillId="26" borderId="42" xfId="0" applyFont="1" applyFill="1" applyBorder="1" applyAlignment="1">
      <alignment horizontal="center" vertical="center" wrapText="1"/>
    </xf>
    <xf numFmtId="0" fontId="0" fillId="26" borderId="50" xfId="0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21" fillId="41" borderId="10" xfId="0" applyFont="1" applyFill="1" applyBorder="1" applyAlignment="1">
      <alignment horizontal="center" vertical="center" wrapText="1"/>
    </xf>
    <xf numFmtId="0" fontId="21" fillId="41" borderId="9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52" fillId="40" borderId="1" xfId="0" applyFont="1" applyFill="1" applyBorder="1" applyAlignment="1">
      <alignment horizontal="center" vertical="center" wrapText="1"/>
    </xf>
    <xf numFmtId="0" fontId="6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7" fillId="15" borderId="1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21" fillId="41" borderId="7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42" xfId="0" applyFont="1" applyBorder="1" applyAlignment="1">
      <alignment vertical="center" wrapText="1"/>
    </xf>
    <xf numFmtId="0" fontId="21" fillId="10" borderId="5" xfId="0" applyFont="1" applyFill="1" applyBorder="1" applyAlignment="1">
      <alignment horizontal="center" vertical="center" wrapText="1"/>
    </xf>
    <xf numFmtId="0" fontId="21" fillId="7" borderId="138" xfId="0" applyFont="1" applyFill="1" applyBorder="1" applyAlignment="1">
      <alignment vertical="center" wrapText="1"/>
    </xf>
    <xf numFmtId="1" fontId="0" fillId="40" borderId="95" xfId="0" applyNumberFormat="1" applyFill="1" applyBorder="1" applyAlignment="1" applyProtection="1">
      <alignment horizontal="center"/>
      <protection locked="0"/>
    </xf>
    <xf numFmtId="1" fontId="0" fillId="40" borderId="96" xfId="0" applyNumberFormat="1" applyFill="1" applyBorder="1" applyAlignment="1" applyProtection="1">
      <alignment horizontal="center"/>
      <protection locked="0"/>
    </xf>
    <xf numFmtId="0" fontId="21" fillId="41" borderId="42" xfId="0" applyFont="1" applyFill="1" applyBorder="1" applyAlignment="1">
      <alignment horizontal="center" vertical="center" wrapText="1"/>
    </xf>
    <xf numFmtId="1" fontId="0" fillId="40" borderId="106" xfId="0" applyNumberFormat="1" applyFill="1" applyBorder="1" applyAlignment="1" applyProtection="1">
      <alignment horizontal="center"/>
      <protection locked="0"/>
    </xf>
    <xf numFmtId="0" fontId="17" fillId="0" borderId="0" xfId="0" applyFont="1" applyBorder="1"/>
    <xf numFmtId="168" fontId="11" fillId="40" borderId="1" xfId="2" applyNumberFormat="1" applyFont="1" applyFill="1" applyBorder="1" applyAlignment="1">
      <alignment horizontal="center" vertical="center"/>
    </xf>
    <xf numFmtId="0" fontId="21" fillId="17" borderId="133" xfId="0" applyNumberFormat="1" applyFont="1" applyFill="1" applyBorder="1" applyAlignment="1" applyProtection="1">
      <alignment horizontal="center" vertical="center" wrapText="1"/>
      <protection locked="0"/>
    </xf>
    <xf numFmtId="0" fontId="0" fillId="25" borderId="149" xfId="0" applyFill="1" applyBorder="1" applyAlignment="1">
      <alignment vertical="center" wrapText="1"/>
    </xf>
    <xf numFmtId="0" fontId="0" fillId="25" borderId="150" xfId="0" applyFill="1" applyBorder="1" applyAlignment="1">
      <alignment vertical="center" wrapText="1"/>
    </xf>
    <xf numFmtId="0" fontId="0" fillId="25" borderId="151" xfId="0" applyFill="1" applyBorder="1" applyAlignment="1">
      <alignment vertical="center" wrapText="1"/>
    </xf>
    <xf numFmtId="0" fontId="21" fillId="41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0" fillId="25" borderId="149" xfId="0" applyFill="1" applyBorder="1" applyAlignment="1">
      <alignment horizontal="center" vertical="center" wrapText="1"/>
    </xf>
    <xf numFmtId="9" fontId="58" fillId="38" borderId="104" xfId="0" applyNumberFormat="1" applyFont="1" applyFill="1" applyBorder="1" applyAlignment="1">
      <alignment horizontal="center" vertical="center" wrapText="1"/>
    </xf>
    <xf numFmtId="10" fontId="44" fillId="17" borderId="2" xfId="2" applyNumberFormat="1" applyFont="1" applyFill="1" applyBorder="1" applyAlignment="1" applyProtection="1">
      <alignment horizontal="center" vertical="center"/>
      <protection locked="0"/>
    </xf>
    <xf numFmtId="0" fontId="21" fillId="10" borderId="40" xfId="0" applyFont="1" applyFill="1" applyBorder="1" applyAlignment="1">
      <alignment horizontal="center" vertical="center" wrapText="1"/>
    </xf>
    <xf numFmtId="0" fontId="7" fillId="6" borderId="114" xfId="0" quotePrefix="1" applyFont="1" applyFill="1" applyBorder="1" applyAlignment="1">
      <alignment horizontal="center" vertical="center"/>
    </xf>
    <xf numFmtId="0" fontId="7" fillId="6" borderId="115" xfId="0" quotePrefix="1" applyFont="1" applyFill="1" applyBorder="1" applyAlignment="1">
      <alignment horizontal="center" vertical="center"/>
    </xf>
    <xf numFmtId="0" fontId="7" fillId="6" borderId="135" xfId="0" quotePrefix="1" applyFont="1" applyFill="1" applyBorder="1" applyAlignment="1">
      <alignment horizontal="center" vertical="center"/>
    </xf>
    <xf numFmtId="0" fontId="7" fillId="4" borderId="113" xfId="0" quotePrefix="1" applyFont="1" applyFill="1" applyBorder="1" applyAlignment="1">
      <alignment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3" fontId="0" fillId="26" borderId="50" xfId="0" applyNumberFormat="1" applyFill="1" applyBorder="1" applyAlignment="1">
      <alignment horizontal="center" vertical="center" wrapText="1"/>
    </xf>
    <xf numFmtId="3" fontId="3" fillId="0" borderId="81" xfId="0" applyNumberFormat="1" applyFont="1" applyBorder="1" applyAlignment="1">
      <alignment horizontal="center" vertical="center" wrapText="1"/>
    </xf>
    <xf numFmtId="9" fontId="58" fillId="38" borderId="154" xfId="0" applyNumberFormat="1" applyFont="1" applyFill="1" applyBorder="1" applyAlignment="1">
      <alignment horizontal="center" vertical="center" wrapText="1"/>
    </xf>
    <xf numFmtId="9" fontId="58" fillId="42" borderId="154" xfId="0" applyNumberFormat="1" applyFont="1" applyFill="1" applyBorder="1" applyAlignment="1">
      <alignment horizontal="center" vertical="center" wrapText="1"/>
    </xf>
    <xf numFmtId="9" fontId="58" fillId="42" borderId="10" xfId="0" applyNumberFormat="1" applyFont="1" applyFill="1" applyBorder="1" applyAlignment="1">
      <alignment horizontal="center" vertical="center" wrapText="1"/>
    </xf>
    <xf numFmtId="0" fontId="6" fillId="0" borderId="137" xfId="0" applyFont="1" applyBorder="1" applyAlignment="1">
      <alignment horizontal="center" vertical="center"/>
    </xf>
    <xf numFmtId="9" fontId="58" fillId="38" borderId="155" xfId="0" applyNumberFormat="1" applyFont="1" applyFill="1" applyBorder="1" applyAlignment="1">
      <alignment horizontal="center" vertical="center" wrapText="1"/>
    </xf>
    <xf numFmtId="9" fontId="58" fillId="42" borderId="155" xfId="0" applyNumberFormat="1" applyFont="1" applyFill="1" applyBorder="1" applyAlignment="1">
      <alignment horizontal="center" vertical="center" wrapText="1"/>
    </xf>
    <xf numFmtId="9" fontId="58" fillId="42" borderId="156" xfId="0" applyNumberFormat="1" applyFont="1" applyFill="1" applyBorder="1" applyAlignment="1">
      <alignment horizontal="center" vertical="center" wrapText="1"/>
    </xf>
    <xf numFmtId="9" fontId="58" fillId="38" borderId="160" xfId="0" applyNumberFormat="1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0" fillId="2" borderId="8" xfId="0" applyFont="1" applyFill="1" applyBorder="1" applyAlignment="1">
      <alignment vertical="center" wrapText="1"/>
    </xf>
    <xf numFmtId="9" fontId="11" fillId="2" borderId="133" xfId="2" applyFont="1" applyFill="1" applyBorder="1" applyAlignment="1" applyProtection="1">
      <alignment horizontal="center" vertical="center"/>
      <protection locked="0"/>
    </xf>
    <xf numFmtId="9" fontId="11" fillId="2" borderId="161" xfId="2" applyFont="1" applyFill="1" applyBorder="1" applyAlignment="1" applyProtection="1">
      <alignment horizontal="center" vertical="center"/>
      <protection locked="0"/>
    </xf>
    <xf numFmtId="9" fontId="11" fillId="2" borderId="162" xfId="2" applyFont="1" applyFill="1" applyBorder="1" applyAlignment="1" applyProtection="1">
      <alignment horizontal="center" vertical="center"/>
      <protection locked="0"/>
    </xf>
    <xf numFmtId="0" fontId="20" fillId="2" borderId="41" xfId="0" applyFont="1" applyFill="1" applyBorder="1" applyAlignment="1">
      <alignment vertical="center" wrapText="1"/>
    </xf>
    <xf numFmtId="10" fontId="44" fillId="2" borderId="0" xfId="2" applyNumberFormat="1" applyFont="1" applyFill="1" applyBorder="1" applyAlignment="1" applyProtection="1">
      <alignment horizontal="center" vertical="center"/>
      <protection locked="0"/>
    </xf>
    <xf numFmtId="10" fontId="44" fillId="2" borderId="20" xfId="2" applyNumberFormat="1" applyFont="1" applyFill="1" applyBorder="1" applyAlignment="1" applyProtection="1">
      <alignment horizontal="center" vertical="center"/>
      <protection locked="0"/>
    </xf>
    <xf numFmtId="10" fontId="44" fillId="2" borderId="165" xfId="2" applyNumberFormat="1" applyFont="1" applyFill="1" applyBorder="1" applyAlignment="1" applyProtection="1">
      <alignment horizontal="center" vertical="center"/>
      <protection locked="0"/>
    </xf>
    <xf numFmtId="0" fontId="30" fillId="31" borderId="0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wrapText="1"/>
    </xf>
    <xf numFmtId="0" fontId="57" fillId="2" borderId="2" xfId="0" applyFont="1" applyFill="1" applyBorder="1" applyAlignment="1">
      <alignment horizontal="center" vertical="center" wrapText="1"/>
    </xf>
    <xf numFmtId="0" fontId="17" fillId="2" borderId="1" xfId="0" applyFont="1" applyFill="1" applyBorder="1"/>
    <xf numFmtId="1" fontId="0" fillId="2" borderId="2" xfId="0" applyNumberFormat="1" applyFill="1" applyBorder="1" applyProtection="1">
      <protection locked="0"/>
    </xf>
    <xf numFmtId="1" fontId="0" fillId="2" borderId="24" xfId="0" applyNumberFormat="1" applyFill="1" applyBorder="1" applyProtection="1">
      <protection locked="0"/>
    </xf>
    <xf numFmtId="0" fontId="0" fillId="2" borderId="16" xfId="0" applyFill="1" applyBorder="1"/>
    <xf numFmtId="0" fontId="0" fillId="2" borderId="93" xfId="0" applyFill="1" applyBorder="1"/>
    <xf numFmtId="0" fontId="42" fillId="0" borderId="138" xfId="0" applyFont="1" applyBorder="1" applyAlignment="1">
      <alignment wrapText="1"/>
    </xf>
    <xf numFmtId="0" fontId="33" fillId="31" borderId="1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7" borderId="0" xfId="0" applyFont="1" applyFill="1"/>
    <xf numFmtId="0" fontId="59" fillId="40" borderId="1" xfId="0" applyFont="1" applyFill="1" applyBorder="1" applyAlignment="1">
      <alignment horizontal="center" vertical="center" wrapText="1"/>
    </xf>
    <xf numFmtId="0" fontId="59" fillId="40" borderId="17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0" fontId="1" fillId="2" borderId="0" xfId="0" applyFont="1" applyFill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9" fontId="62" fillId="41" borderId="1" xfId="2" applyFont="1" applyFill="1" applyBorder="1" applyAlignment="1">
      <alignment horizontal="center" vertical="center" wrapText="1"/>
    </xf>
    <xf numFmtId="9" fontId="62" fillId="10" borderId="1" xfId="2" applyFont="1" applyFill="1" applyBorder="1" applyAlignment="1">
      <alignment horizontal="center" vertical="center" wrapText="1"/>
    </xf>
    <xf numFmtId="9" fontId="15" fillId="11" borderId="1" xfId="2" applyFont="1" applyFill="1" applyBorder="1" applyAlignment="1">
      <alignment horizontal="center" vertical="center" wrapText="1"/>
    </xf>
    <xf numFmtId="9" fontId="63" fillId="14" borderId="1" xfId="0" applyNumberFormat="1" applyFont="1" applyFill="1" applyBorder="1" applyAlignment="1">
      <alignment horizontal="center" vertical="center" wrapText="1"/>
    </xf>
    <xf numFmtId="9" fontId="64" fillId="13" borderId="1" xfId="2" applyFont="1" applyFill="1" applyBorder="1" applyAlignment="1">
      <alignment horizontal="center" vertical="center" wrapText="1"/>
    </xf>
    <xf numFmtId="9" fontId="11" fillId="26" borderId="133" xfId="2" applyNumberFormat="1" applyFont="1" applyFill="1" applyBorder="1" applyAlignment="1" applyProtection="1">
      <alignment horizontal="center" vertical="center"/>
    </xf>
    <xf numFmtId="168" fontId="11" fillId="26" borderId="1" xfId="2" applyNumberFormat="1" applyFont="1" applyFill="1" applyBorder="1" applyAlignment="1" applyProtection="1">
      <alignment horizontal="center" vertical="center"/>
    </xf>
    <xf numFmtId="1" fontId="0" fillId="0" borderId="140" xfId="0" applyNumberFormat="1" applyFill="1" applyBorder="1" applyAlignment="1" applyProtection="1">
      <alignment horizontal="center"/>
    </xf>
    <xf numFmtId="10" fontId="46" fillId="33" borderId="16" xfId="2" applyNumberFormat="1" applyFont="1" applyFill="1" applyBorder="1" applyProtection="1"/>
    <xf numFmtId="1" fontId="0" fillId="0" borderId="105" xfId="0" applyNumberFormat="1" applyFill="1" applyBorder="1" applyAlignment="1" applyProtection="1">
      <alignment horizontal="center"/>
    </xf>
    <xf numFmtId="1" fontId="0" fillId="0" borderId="40" xfId="0" applyNumberFormat="1" applyFill="1" applyBorder="1" applyAlignment="1" applyProtection="1">
      <alignment horizontal="center"/>
    </xf>
    <xf numFmtId="0" fontId="16" fillId="43" borderId="15" xfId="0" applyFont="1" applyFill="1" applyBorder="1" applyAlignment="1">
      <alignment horizontal="center" vertical="center"/>
    </xf>
    <xf numFmtId="1" fontId="0" fillId="0" borderId="1" xfId="0" applyNumberFormat="1" applyFill="1" applyBorder="1" applyAlignment="1" applyProtection="1">
      <alignment horizontal="center"/>
    </xf>
    <xf numFmtId="0" fontId="33" fillId="0" borderId="16" xfId="0" applyFont="1" applyBorder="1" applyAlignment="1">
      <alignment horizontal="center" vertical="center"/>
    </xf>
    <xf numFmtId="0" fontId="33" fillId="0" borderId="170" xfId="0" applyFont="1" applyBorder="1" applyAlignment="1">
      <alignment horizontal="center" vertical="center"/>
    </xf>
    <xf numFmtId="0" fontId="7" fillId="6" borderId="171" xfId="0" quotePrefix="1" applyFont="1" applyFill="1" applyBorder="1" applyAlignment="1">
      <alignment horizontal="center" vertical="center"/>
    </xf>
    <xf numFmtId="0" fontId="7" fillId="6" borderId="172" xfId="0" quotePrefix="1" applyFont="1" applyFill="1" applyBorder="1" applyAlignment="1">
      <alignment horizontal="center" vertical="center"/>
    </xf>
    <xf numFmtId="0" fontId="7" fillId="6" borderId="173" xfId="0" quotePrefix="1" applyFont="1" applyFill="1" applyBorder="1" applyAlignment="1">
      <alignment horizontal="center" vertical="center"/>
    </xf>
    <xf numFmtId="0" fontId="7" fillId="4" borderId="169" xfId="0" quotePrefix="1" applyFont="1" applyFill="1" applyBorder="1" applyAlignment="1">
      <alignment vertical="center"/>
    </xf>
    <xf numFmtId="0" fontId="7" fillId="4" borderId="137" xfId="0" quotePrefix="1" applyFont="1" applyFill="1" applyBorder="1" applyAlignment="1">
      <alignment vertical="center"/>
    </xf>
    <xf numFmtId="0" fontId="0" fillId="40" borderId="1" xfId="0" applyFill="1" applyBorder="1" applyAlignment="1">
      <alignment horizontal="center"/>
    </xf>
    <xf numFmtId="0" fontId="15" fillId="40" borderId="1" xfId="0" applyFont="1" applyFill="1" applyBorder="1" applyAlignment="1" applyProtection="1">
      <alignment vertical="center" wrapText="1"/>
    </xf>
    <xf numFmtId="17" fontId="1" fillId="40" borderId="12" xfId="0" quotePrefix="1" applyNumberFormat="1" applyFont="1" applyFill="1" applyBorder="1" applyAlignment="1"/>
    <xf numFmtId="17" fontId="15" fillId="40" borderId="1" xfId="0" quotePrefix="1" applyNumberFormat="1" applyFont="1" applyFill="1" applyBorder="1" applyAlignment="1">
      <alignment horizontal="center" vertical="center" wrapText="1"/>
    </xf>
    <xf numFmtId="17" fontId="15" fillId="40" borderId="1" xfId="0" quotePrefix="1" applyNumberFormat="1" applyFont="1" applyFill="1" applyBorder="1" applyAlignment="1" applyProtection="1">
      <alignment horizontal="center" vertical="center" wrapText="1"/>
    </xf>
    <xf numFmtId="0" fontId="0" fillId="40" borderId="15" xfId="0" applyFill="1" applyBorder="1" applyAlignment="1">
      <alignment horizontal="left" vertical="top" wrapText="1"/>
    </xf>
    <xf numFmtId="0" fontId="0" fillId="40" borderId="1" xfId="0" applyFill="1" applyBorder="1" applyAlignment="1">
      <alignment horizontal="center" vertical="center"/>
    </xf>
    <xf numFmtId="0" fontId="0" fillId="40" borderId="15" xfId="0" applyFill="1" applyBorder="1" applyAlignment="1" applyProtection="1">
      <alignment horizontal="left" vertical="top" wrapText="1"/>
    </xf>
    <xf numFmtId="0" fontId="0" fillId="40" borderId="15" xfId="0" applyFont="1" applyFill="1" applyBorder="1" applyAlignment="1">
      <alignment horizontal="left" wrapText="1"/>
    </xf>
    <xf numFmtId="0" fontId="6" fillId="40" borderId="1" xfId="0" applyFont="1" applyFill="1" applyBorder="1" applyAlignment="1">
      <alignment horizontal="center" vertical="center"/>
    </xf>
    <xf numFmtId="0" fontId="52" fillId="40" borderId="1" xfId="0" applyFont="1" applyFill="1" applyBorder="1" applyAlignment="1" applyProtection="1">
      <alignment horizontal="left" wrapText="1"/>
    </xf>
    <xf numFmtId="0" fontId="1" fillId="0" borderId="1" xfId="0" applyFont="1" applyBorder="1" applyAlignment="1" applyProtection="1">
      <alignment horizontal="center" vertical="center"/>
    </xf>
    <xf numFmtId="0" fontId="16" fillId="8" borderId="1" xfId="0" applyFont="1" applyFill="1" applyBorder="1" applyAlignment="1">
      <alignment horizontal="center" wrapText="1"/>
    </xf>
    <xf numFmtId="168" fontId="52" fillId="26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0" xfId="0" applyFont="1" applyBorder="1" applyAlignment="1">
      <alignment horizontal="center" vertical="center" textRotation="90" wrapText="1"/>
    </xf>
    <xf numFmtId="0" fontId="17" fillId="2" borderId="6" xfId="0" applyFont="1" applyFill="1" applyBorder="1"/>
    <xf numFmtId="0" fontId="0" fillId="25" borderId="39" xfId="0" applyFill="1" applyBorder="1" applyAlignment="1">
      <alignment vertical="center" wrapText="1"/>
    </xf>
    <xf numFmtId="0" fontId="3" fillId="17" borderId="16" xfId="2" applyNumberFormat="1" applyFont="1" applyFill="1" applyBorder="1" applyAlignment="1">
      <alignment horizontal="center"/>
    </xf>
    <xf numFmtId="0" fontId="3" fillId="17" borderId="1" xfId="2" applyNumberFormat="1" applyFont="1" applyFill="1" applyBorder="1" applyAlignment="1">
      <alignment horizontal="center"/>
    </xf>
    <xf numFmtId="0" fontId="21" fillId="9" borderId="39" xfId="0" applyFont="1" applyFill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1" fontId="0" fillId="40" borderId="15" xfId="0" applyNumberFormat="1" applyFill="1" applyBorder="1" applyAlignment="1" applyProtection="1">
      <alignment horizontal="center"/>
      <protection locked="0"/>
    </xf>
    <xf numFmtId="0" fontId="21" fillId="9" borderId="9" xfId="0" applyFont="1" applyFill="1" applyBorder="1" applyAlignment="1">
      <alignment vertical="center" wrapText="1"/>
    </xf>
    <xf numFmtId="0" fontId="45" fillId="17" borderId="162" xfId="0" applyNumberFormat="1" applyFont="1" applyFill="1" applyBorder="1" applyAlignment="1" applyProtection="1">
      <alignment vertical="center" wrapText="1"/>
      <protection locked="0"/>
    </xf>
    <xf numFmtId="0" fontId="45" fillId="17" borderId="163" xfId="0" applyNumberFormat="1" applyFont="1" applyFill="1" applyBorder="1" applyAlignment="1" applyProtection="1">
      <alignment vertical="center" wrapText="1"/>
      <protection locked="0"/>
    </xf>
    <xf numFmtId="0" fontId="45" fillId="17" borderId="164" xfId="0" applyNumberFormat="1" applyFont="1" applyFill="1" applyBorder="1" applyAlignment="1" applyProtection="1">
      <alignment vertical="center" wrapText="1"/>
      <protection locked="0"/>
    </xf>
    <xf numFmtId="1" fontId="45" fillId="17" borderId="165" xfId="0" applyNumberFormat="1" applyFont="1" applyFill="1" applyBorder="1" applyAlignment="1" applyProtection="1">
      <alignment vertical="center" wrapText="1"/>
      <protection locked="0"/>
    </xf>
    <xf numFmtId="1" fontId="45" fillId="17" borderId="7" xfId="0" applyNumberFormat="1" applyFont="1" applyFill="1" applyBorder="1" applyAlignment="1" applyProtection="1">
      <alignment vertical="center" wrapText="1"/>
      <protection locked="0"/>
    </xf>
    <xf numFmtId="1" fontId="45" fillId="17" borderId="10" xfId="0" applyNumberFormat="1" applyFont="1" applyFill="1" applyBorder="1" applyAlignment="1" applyProtection="1">
      <alignment vertical="center" wrapText="1"/>
      <protection locked="0"/>
    </xf>
    <xf numFmtId="0" fontId="20" fillId="0" borderId="12" xfId="0" applyFont="1" applyBorder="1" applyAlignment="1">
      <alignment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left" vertical="center" wrapText="1"/>
    </xf>
    <xf numFmtId="0" fontId="20" fillId="0" borderId="174" xfId="0" applyFont="1" applyBorder="1" applyAlignment="1">
      <alignment vertical="center" wrapText="1"/>
    </xf>
    <xf numFmtId="168" fontId="11" fillId="40" borderId="155" xfId="2" applyNumberFormat="1" applyFont="1" applyFill="1" applyBorder="1" applyAlignment="1">
      <alignment horizontal="center" vertical="center"/>
    </xf>
    <xf numFmtId="168" fontId="11" fillId="40" borderId="156" xfId="2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vertical="center" wrapText="1"/>
    </xf>
    <xf numFmtId="169" fontId="11" fillId="26" borderId="1" xfId="2" applyNumberFormat="1" applyFont="1" applyFill="1" applyBorder="1" applyAlignment="1">
      <alignment horizontal="center"/>
    </xf>
    <xf numFmtId="168" fontId="11" fillId="26" borderId="1" xfId="2" applyNumberFormat="1" applyFont="1" applyFill="1" applyBorder="1" applyAlignment="1">
      <alignment horizontal="center" vertical="center"/>
    </xf>
    <xf numFmtId="168" fontId="0" fillId="26" borderId="1" xfId="2" applyNumberFormat="1" applyFont="1" applyFill="1" applyBorder="1" applyAlignment="1">
      <alignment horizontal="center" vertical="center"/>
    </xf>
    <xf numFmtId="168" fontId="11" fillId="26" borderId="133" xfId="2" applyNumberFormat="1" applyFont="1" applyFill="1" applyBorder="1" applyAlignment="1" applyProtection="1">
      <alignment horizontal="center" vertical="center"/>
    </xf>
    <xf numFmtId="168" fontId="11" fillId="26" borderId="1" xfId="2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6" fillId="31" borderId="3" xfId="0" applyFont="1" applyFill="1" applyBorder="1" applyAlignment="1" applyProtection="1">
      <protection locked="0"/>
    </xf>
    <xf numFmtId="0" fontId="29" fillId="31" borderId="4" xfId="0" applyFont="1" applyFill="1" applyBorder="1" applyAlignment="1" applyProtection="1">
      <protection locked="0"/>
    </xf>
    <xf numFmtId="0" fontId="0" fillId="40" borderId="12" xfId="0" applyFont="1" applyFill="1" applyBorder="1" applyAlignment="1" applyProtection="1">
      <protection locked="0"/>
    </xf>
    <xf numFmtId="0" fontId="29" fillId="31" borderId="5" xfId="0" applyFont="1" applyFill="1" applyBorder="1" applyAlignment="1" applyProtection="1">
      <protection locked="0"/>
    </xf>
    <xf numFmtId="0" fontId="29" fillId="31" borderId="6" xfId="0" applyFont="1" applyFill="1" applyBorder="1" applyAlignment="1" applyProtection="1">
      <protection locked="0"/>
    </xf>
    <xf numFmtId="0" fontId="29" fillId="31" borderId="0" xfId="0" applyFont="1" applyFill="1" applyBorder="1" applyAlignment="1" applyProtection="1">
      <protection locked="0"/>
    </xf>
    <xf numFmtId="0" fontId="14" fillId="31" borderId="6" xfId="0" applyFont="1" applyFill="1" applyBorder="1" applyProtection="1">
      <protection locked="0"/>
    </xf>
    <xf numFmtId="0" fontId="14" fillId="31" borderId="0" xfId="0" applyFont="1" applyFill="1" applyBorder="1" applyProtection="1">
      <protection locked="0"/>
    </xf>
    <xf numFmtId="0" fontId="31" fillId="28" borderId="3" xfId="0" applyFont="1" applyFill="1" applyBorder="1" applyAlignment="1" applyProtection="1">
      <alignment vertical="top"/>
      <protection locked="0"/>
    </xf>
    <xf numFmtId="0" fontId="14" fillId="28" borderId="4" xfId="0" applyFont="1" applyFill="1" applyBorder="1" applyAlignment="1" applyProtection="1">
      <alignment vertical="top"/>
      <protection locked="0"/>
    </xf>
    <xf numFmtId="0" fontId="14" fillId="28" borderId="5" xfId="0" applyFont="1" applyFill="1" applyBorder="1" applyAlignment="1" applyProtection="1">
      <alignment vertical="top"/>
      <protection locked="0"/>
    </xf>
    <xf numFmtId="0" fontId="14" fillId="31" borderId="11" xfId="0" applyFont="1" applyFill="1" applyBorder="1" applyAlignment="1" applyProtection="1">
      <protection locked="0"/>
    </xf>
    <xf numFmtId="0" fontId="14" fillId="31" borderId="12" xfId="0" applyFont="1" applyFill="1" applyBorder="1" applyAlignment="1" applyProtection="1">
      <protection locked="0"/>
    </xf>
    <xf numFmtId="0" fontId="14" fillId="31" borderId="0" xfId="0" applyFont="1" applyFill="1" applyBorder="1" applyAlignment="1" applyProtection="1">
      <protection locked="0"/>
    </xf>
    <xf numFmtId="0" fontId="14" fillId="31" borderId="85" xfId="0" applyFont="1" applyFill="1" applyBorder="1" applyAlignment="1" applyProtection="1">
      <protection locked="0"/>
    </xf>
    <xf numFmtId="0" fontId="14" fillId="28" borderId="6" xfId="0" applyFont="1" applyFill="1" applyBorder="1" applyAlignment="1" applyProtection="1">
      <alignment vertical="top"/>
      <protection locked="0"/>
    </xf>
    <xf numFmtId="0" fontId="14" fillId="28" borderId="0" xfId="0" applyFont="1" applyFill="1" applyBorder="1" applyAlignment="1" applyProtection="1">
      <alignment vertical="top"/>
      <protection locked="0"/>
    </xf>
    <xf numFmtId="0" fontId="14" fillId="28" borderId="7" xfId="0" applyFont="1" applyFill="1" applyBorder="1" applyAlignment="1" applyProtection="1">
      <alignment vertical="top"/>
      <protection locked="0"/>
    </xf>
    <xf numFmtId="0" fontId="14" fillId="31" borderId="13" xfId="0" applyFont="1" applyFill="1" applyBorder="1" applyAlignment="1" applyProtection="1">
      <protection locked="0"/>
    </xf>
    <xf numFmtId="0" fontId="14" fillId="31" borderId="14" xfId="0" applyFont="1" applyFill="1" applyBorder="1" applyAlignment="1" applyProtection="1">
      <protection locked="0"/>
    </xf>
    <xf numFmtId="165" fontId="0" fillId="40" borderId="12" xfId="1" applyNumberFormat="1" applyFont="1" applyFill="1" applyBorder="1" applyAlignment="1" applyProtection="1">
      <protection locked="0"/>
    </xf>
    <xf numFmtId="0" fontId="0" fillId="40" borderId="84" xfId="0" applyFont="1" applyFill="1" applyBorder="1" applyAlignment="1" applyProtection="1">
      <alignment vertical="top" wrapText="1"/>
      <protection locked="0"/>
    </xf>
    <xf numFmtId="0" fontId="14" fillId="31" borderId="90" xfId="0" applyFont="1" applyFill="1" applyBorder="1" applyAlignment="1" applyProtection="1">
      <protection locked="0"/>
    </xf>
    <xf numFmtId="0" fontId="0" fillId="40" borderId="84" xfId="0" applyFont="1" applyFill="1" applyBorder="1" applyAlignment="1" applyProtection="1">
      <alignment vertical="top"/>
      <protection locked="0"/>
    </xf>
    <xf numFmtId="0" fontId="14" fillId="28" borderId="8" xfId="0" applyFont="1" applyFill="1" applyBorder="1" applyAlignment="1" applyProtection="1">
      <alignment vertical="top"/>
      <protection locked="0"/>
    </xf>
    <xf numFmtId="0" fontId="14" fillId="28" borderId="9" xfId="0" applyFont="1" applyFill="1" applyBorder="1" applyAlignment="1" applyProtection="1">
      <alignment vertical="top"/>
      <protection locked="0"/>
    </xf>
    <xf numFmtId="0" fontId="14" fillId="31" borderId="6" xfId="0" applyFont="1" applyFill="1" applyBorder="1" applyAlignment="1" applyProtection="1">
      <alignment horizontal="left"/>
      <protection locked="0"/>
    </xf>
    <xf numFmtId="0" fontId="14" fillId="31" borderId="0" xfId="0" applyFont="1" applyFill="1" applyBorder="1" applyAlignment="1" applyProtection="1">
      <alignment horizontal="left"/>
      <protection locked="0"/>
    </xf>
    <xf numFmtId="0" fontId="14" fillId="31" borderId="87" xfId="0" applyFont="1" applyFill="1" applyBorder="1" applyAlignment="1" applyProtection="1">
      <alignment horizontal="left"/>
      <protection locked="0"/>
    </xf>
    <xf numFmtId="0" fontId="14" fillId="31" borderId="89" xfId="0" applyFont="1" applyFill="1" applyBorder="1" applyAlignment="1" applyProtection="1">
      <alignment horizontal="left"/>
      <protection locked="0"/>
    </xf>
    <xf numFmtId="0" fontId="14" fillId="31" borderId="88" xfId="0" applyFont="1" applyFill="1" applyBorder="1" applyAlignment="1" applyProtection="1">
      <alignment horizontal="left"/>
      <protection locked="0"/>
    </xf>
    <xf numFmtId="0" fontId="39" fillId="26" borderId="1" xfId="0" applyFont="1" applyFill="1" applyBorder="1" applyAlignment="1" applyProtection="1">
      <alignment horizontal="center" vertical="top"/>
      <protection locked="0"/>
    </xf>
    <xf numFmtId="0" fontId="39" fillId="26" borderId="84" xfId="0" applyFont="1" applyFill="1" applyBorder="1" applyProtection="1">
      <protection locked="0"/>
    </xf>
    <xf numFmtId="0" fontId="39" fillId="26" borderId="86" xfId="0" applyFont="1" applyFill="1" applyBorder="1" applyAlignment="1" applyProtection="1">
      <protection locked="0"/>
    </xf>
    <xf numFmtId="0" fontId="39" fillId="26" borderId="91" xfId="0" applyFont="1" applyFill="1" applyBorder="1" applyAlignment="1" applyProtection="1">
      <protection locked="0"/>
    </xf>
    <xf numFmtId="0" fontId="39" fillId="35" borderId="1" xfId="0" applyFont="1" applyFill="1" applyBorder="1" applyAlignment="1" applyProtection="1">
      <alignment horizontal="center"/>
      <protection locked="0"/>
    </xf>
    <xf numFmtId="0" fontId="39" fillId="26" borderId="0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40" borderId="1" xfId="0" applyFont="1" applyFill="1" applyBorder="1" applyAlignment="1" applyProtection="1">
      <alignment horizontal="center" vertical="center"/>
      <protection locked="0"/>
    </xf>
    <xf numFmtId="0" fontId="0" fillId="40" borderId="1" xfId="0" applyFont="1" applyFill="1" applyBorder="1" applyProtection="1">
      <protection locked="0"/>
    </xf>
    <xf numFmtId="9" fontId="0" fillId="40" borderId="1" xfId="0" applyNumberFormat="1" applyFont="1" applyFill="1" applyBorder="1" applyAlignment="1" applyProtection="1">
      <alignment horizontal="center" vertical="center"/>
      <protection locked="0"/>
    </xf>
    <xf numFmtId="0" fontId="0" fillId="40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Protection="1">
      <protection locked="0"/>
    </xf>
    <xf numFmtId="0" fontId="43" fillId="40" borderId="1" xfId="0" applyFont="1" applyFill="1" applyBorder="1" applyProtection="1">
      <protection locked="0"/>
    </xf>
    <xf numFmtId="9" fontId="17" fillId="40" borderId="1" xfId="0" applyNumberFormat="1" applyFont="1" applyFill="1" applyBorder="1" applyAlignment="1" applyProtection="1">
      <alignment horizontal="center" vertical="center"/>
      <protection locked="0"/>
    </xf>
    <xf numFmtId="0" fontId="17" fillId="40" borderId="1" xfId="0" applyFont="1" applyFill="1" applyBorder="1" applyAlignment="1" applyProtection="1">
      <alignment horizontal="center" vertical="center"/>
      <protection locked="0"/>
    </xf>
    <xf numFmtId="0" fontId="43" fillId="40" borderId="1" xfId="0" applyFont="1" applyFill="1" applyBorder="1" applyAlignment="1" applyProtection="1">
      <alignment horizontal="center" vertical="center"/>
      <protection locked="0"/>
    </xf>
    <xf numFmtId="0" fontId="3" fillId="42" borderId="1" xfId="0" applyFont="1" applyFill="1" applyBorder="1" applyAlignment="1" applyProtection="1">
      <alignment horizontal="center" vertical="center"/>
      <protection locked="0"/>
    </xf>
    <xf numFmtId="0" fontId="43" fillId="42" borderId="1" xfId="0" applyFont="1" applyFill="1" applyBorder="1" applyProtection="1">
      <protection locked="0"/>
    </xf>
    <xf numFmtId="0" fontId="43" fillId="42" borderId="1" xfId="0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3" fillId="26" borderId="12" xfId="0" applyFont="1" applyFill="1" applyBorder="1" applyAlignment="1" applyProtection="1"/>
    <xf numFmtId="17" fontId="0" fillId="40" borderId="12" xfId="0" quotePrefix="1" applyNumberFormat="1" applyFont="1" applyFill="1" applyBorder="1" applyAlignment="1" applyProtection="1"/>
    <xf numFmtId="9" fontId="15" fillId="40" borderId="1" xfId="2" applyFont="1" applyFill="1" applyBorder="1" applyAlignment="1">
      <alignment horizontal="center" vertical="center"/>
    </xf>
    <xf numFmtId="9" fontId="15" fillId="40" borderId="1" xfId="2" applyFont="1" applyFill="1" applyBorder="1" applyAlignment="1" applyProtection="1">
      <alignment horizontal="center" vertical="center"/>
    </xf>
    <xf numFmtId="168" fontId="15" fillId="40" borderId="1" xfId="2" applyNumberFormat="1" applyFont="1" applyFill="1" applyBorder="1" applyAlignment="1">
      <alignment horizontal="center" vertical="center"/>
    </xf>
    <xf numFmtId="0" fontId="23" fillId="39" borderId="0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7" fillId="19" borderId="126" xfId="0" applyFont="1" applyFill="1" applyBorder="1" applyAlignment="1">
      <alignment vertical="center" wrapText="1"/>
    </xf>
    <xf numFmtId="0" fontId="21" fillId="0" borderId="98" xfId="0" applyFont="1" applyFill="1" applyBorder="1" applyAlignment="1">
      <alignment vertical="center" wrapText="1"/>
    </xf>
    <xf numFmtId="0" fontId="1" fillId="40" borderId="1" xfId="0" applyFont="1" applyFill="1" applyBorder="1" applyAlignment="1">
      <alignment horizontal="center" vertical="center"/>
    </xf>
    <xf numFmtId="0" fontId="37" fillId="31" borderId="3" xfId="0" applyFont="1" applyFill="1" applyBorder="1" applyAlignment="1">
      <alignment horizontal="left"/>
    </xf>
    <xf numFmtId="0" fontId="37" fillId="31" borderId="4" xfId="0" applyFont="1" applyFill="1" applyBorder="1" applyAlignment="1">
      <alignment horizontal="left"/>
    </xf>
    <xf numFmtId="0" fontId="3" fillId="0" borderId="17" xfId="0" applyFont="1" applyBorder="1" applyAlignment="1" applyProtection="1">
      <alignment horizontal="center" vertical="center" textRotation="90" wrapText="1"/>
      <protection locked="0"/>
    </xf>
    <xf numFmtId="0" fontId="3" fillId="0" borderId="18" xfId="0" applyFont="1" applyBorder="1" applyAlignment="1" applyProtection="1">
      <alignment horizontal="center" vertical="center" textRotation="90" wrapText="1"/>
      <protection locked="0"/>
    </xf>
    <xf numFmtId="0" fontId="43" fillId="42" borderId="15" xfId="0" applyFont="1" applyFill="1" applyBorder="1" applyAlignment="1" applyProtection="1">
      <alignment horizontal="center" vertical="center"/>
      <protection locked="0"/>
    </xf>
    <xf numFmtId="0" fontId="43" fillId="42" borderId="14" xfId="0" applyFont="1" applyFill="1" applyBorder="1" applyAlignment="1" applyProtection="1">
      <alignment horizontal="center" vertical="center"/>
      <protection locked="0"/>
    </xf>
    <xf numFmtId="0" fontId="43" fillId="42" borderId="16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 applyProtection="1">
      <alignment horizontal="center" vertical="center" wrapText="1"/>
      <protection locked="0"/>
    </xf>
    <xf numFmtId="0" fontId="11" fillId="3" borderId="31" xfId="0" applyFont="1" applyFill="1" applyBorder="1" applyAlignment="1" applyProtection="1">
      <alignment horizontal="center" vertical="center" wrapText="1"/>
      <protection locked="0"/>
    </xf>
    <xf numFmtId="0" fontId="11" fillId="3" borderId="24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25" xfId="0" applyFont="1" applyFill="1" applyBorder="1" applyAlignment="1" applyProtection="1">
      <alignment horizontal="center" vertical="center" wrapText="1"/>
      <protection locked="0"/>
    </xf>
    <xf numFmtId="0" fontId="0" fillId="40" borderId="15" xfId="0" applyFill="1" applyBorder="1" applyAlignment="1" applyProtection="1">
      <alignment horizontal="left" vertical="top" wrapText="1"/>
      <protection locked="0"/>
    </xf>
    <xf numFmtId="0" fontId="0" fillId="40" borderId="14" xfId="0" applyFont="1" applyFill="1" applyBorder="1" applyAlignment="1" applyProtection="1">
      <alignment horizontal="left" vertical="top" wrapText="1"/>
      <protection locked="0"/>
    </xf>
    <xf numFmtId="0" fontId="43" fillId="40" borderId="15" xfId="0" applyFont="1" applyFill="1" applyBorder="1" applyAlignment="1" applyProtection="1">
      <alignment horizontal="center" vertical="center"/>
      <protection locked="0"/>
    </xf>
    <xf numFmtId="0" fontId="43" fillId="40" borderId="14" xfId="0" applyFont="1" applyFill="1" applyBorder="1" applyAlignment="1" applyProtection="1">
      <alignment horizontal="center" vertical="center"/>
      <protection locked="0"/>
    </xf>
    <xf numFmtId="0" fontId="43" fillId="40" borderId="16" xfId="0" applyFont="1" applyFill="1" applyBorder="1" applyAlignment="1" applyProtection="1">
      <alignment horizontal="center" vertical="center"/>
      <protection locked="0"/>
    </xf>
    <xf numFmtId="0" fontId="0" fillId="40" borderId="15" xfId="0" applyFont="1" applyFill="1" applyBorder="1" applyAlignment="1" applyProtection="1">
      <alignment horizontal="left" vertical="top" wrapText="1"/>
      <protection locked="0"/>
    </xf>
    <xf numFmtId="0" fontId="0" fillId="40" borderId="16" xfId="0" applyFont="1" applyFill="1" applyBorder="1" applyAlignment="1" applyProtection="1">
      <alignment horizontal="left" vertical="top" wrapText="1"/>
      <protection locked="0"/>
    </xf>
    <xf numFmtId="0" fontId="43" fillId="40" borderId="15" xfId="0" applyFont="1" applyFill="1" applyBorder="1" applyAlignment="1" applyProtection="1">
      <alignment horizontal="left" vertical="top" wrapText="1"/>
      <protection locked="0"/>
    </xf>
    <xf numFmtId="0" fontId="43" fillId="40" borderId="14" xfId="0" applyFont="1" applyFill="1" applyBorder="1" applyAlignment="1" applyProtection="1">
      <alignment horizontal="left" vertical="top" wrapText="1"/>
      <protection locked="0"/>
    </xf>
    <xf numFmtId="0" fontId="43" fillId="40" borderId="16" xfId="0" applyFont="1" applyFill="1" applyBorder="1" applyAlignment="1" applyProtection="1">
      <alignment horizontal="left" vertical="top" wrapText="1"/>
      <protection locked="0"/>
    </xf>
    <xf numFmtId="0" fontId="43" fillId="42" borderId="15" xfId="0" applyFont="1" applyFill="1" applyBorder="1" applyAlignment="1" applyProtection="1">
      <alignment horizontal="left" vertical="top" wrapText="1"/>
      <protection locked="0"/>
    </xf>
    <xf numFmtId="0" fontId="43" fillId="42" borderId="14" xfId="0" applyFont="1" applyFill="1" applyBorder="1" applyAlignment="1" applyProtection="1">
      <alignment horizontal="left" vertical="top" wrapText="1"/>
      <protection locked="0"/>
    </xf>
    <xf numFmtId="0" fontId="43" fillId="42" borderId="16" xfId="0" applyFont="1" applyFill="1" applyBorder="1" applyAlignment="1" applyProtection="1">
      <alignment horizontal="left" vertical="top" wrapText="1"/>
      <protection locked="0"/>
    </xf>
    <xf numFmtId="0" fontId="0" fillId="40" borderId="0" xfId="0" quotePrefix="1" applyFill="1" applyBorder="1" applyAlignment="1" applyProtection="1">
      <alignment horizontal="center" vertical="top" wrapText="1"/>
      <protection locked="0"/>
    </xf>
    <xf numFmtId="0" fontId="0" fillId="40" borderId="0" xfId="0" applyFont="1" applyFill="1" applyBorder="1" applyAlignment="1" applyProtection="1">
      <alignment horizontal="center" vertical="top"/>
      <protection locked="0"/>
    </xf>
    <xf numFmtId="0" fontId="0" fillId="40" borderId="12" xfId="0" applyFont="1" applyFill="1" applyBorder="1" applyAlignment="1" applyProtection="1">
      <alignment horizontal="center" vertical="top"/>
      <protection locked="0"/>
    </xf>
    <xf numFmtId="0" fontId="39" fillId="26" borderId="0" xfId="0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 applyProtection="1">
      <alignment horizontal="center"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11" fillId="3" borderId="3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6" xfId="0" applyFont="1" applyFill="1" applyBorder="1" applyAlignment="1" applyProtection="1">
      <alignment horizontal="center" vertical="center" wrapText="1"/>
      <protection locked="0"/>
    </xf>
    <xf numFmtId="0" fontId="11" fillId="3" borderId="27" xfId="0" applyFont="1" applyFill="1" applyBorder="1" applyAlignment="1" applyProtection="1">
      <alignment horizontal="center" vertical="center" wrapText="1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0" fontId="32" fillId="31" borderId="8" xfId="0" applyFont="1" applyFill="1" applyBorder="1" applyAlignment="1" applyProtection="1">
      <alignment horizontal="center" vertical="center"/>
      <protection locked="0"/>
    </xf>
    <xf numFmtId="0" fontId="32" fillId="31" borderId="9" xfId="0" applyFont="1" applyFill="1" applyBorder="1" applyAlignment="1" applyProtection="1">
      <alignment horizontal="center" vertical="center"/>
      <protection locked="0"/>
    </xf>
    <xf numFmtId="0" fontId="32" fillId="31" borderId="10" xfId="0" applyFont="1" applyFill="1" applyBorder="1" applyAlignment="1" applyProtection="1">
      <alignment horizontal="center" vertical="center"/>
      <protection locked="0"/>
    </xf>
    <xf numFmtId="0" fontId="52" fillId="26" borderId="15" xfId="0" applyFont="1" applyFill="1" applyBorder="1" applyAlignment="1">
      <alignment horizontal="center" vertical="center" wrapText="1"/>
    </xf>
    <xf numFmtId="0" fontId="52" fillId="26" borderId="16" xfId="0" applyFont="1" applyFill="1" applyBorder="1" applyAlignment="1">
      <alignment horizontal="center" vertical="center" wrapText="1"/>
    </xf>
    <xf numFmtId="0" fontId="52" fillId="26" borderId="14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textRotation="90"/>
    </xf>
    <xf numFmtId="0" fontId="6" fillId="0" borderId="18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textRotation="90"/>
    </xf>
    <xf numFmtId="0" fontId="6" fillId="0" borderId="1" xfId="0" applyFont="1" applyBorder="1" applyAlignment="1">
      <alignment horizontal="center" vertical="top" textRotation="90"/>
    </xf>
    <xf numFmtId="0" fontId="37" fillId="31" borderId="5" xfId="0" applyFont="1" applyFill="1" applyBorder="1" applyAlignment="1">
      <alignment horizontal="left"/>
    </xf>
    <xf numFmtId="0" fontId="53" fillId="31" borderId="8" xfId="0" applyFont="1" applyFill="1" applyBorder="1" applyAlignment="1">
      <alignment horizontal="center" vertical="center"/>
    </xf>
    <xf numFmtId="0" fontId="53" fillId="31" borderId="9" xfId="0" applyFont="1" applyFill="1" applyBorder="1" applyAlignment="1">
      <alignment horizontal="center" vertical="center"/>
    </xf>
    <xf numFmtId="0" fontId="53" fillId="31" borderId="10" xfId="0" applyFont="1" applyFill="1" applyBorder="1" applyAlignment="1">
      <alignment horizontal="center" vertical="center"/>
    </xf>
    <xf numFmtId="0" fontId="7" fillId="26" borderId="12" xfId="0" applyFont="1" applyFill="1" applyBorder="1" applyAlignment="1">
      <alignment horizontal="center"/>
    </xf>
    <xf numFmtId="0" fontId="1" fillId="26" borderId="14" xfId="0" applyFont="1" applyFill="1" applyBorder="1" applyAlignment="1">
      <alignment horizontal="center"/>
    </xf>
    <xf numFmtId="166" fontId="1" fillId="26" borderId="12" xfId="0" applyNumberFormat="1" applyFont="1" applyFill="1" applyBorder="1" applyAlignment="1">
      <alignment horizontal="center"/>
    </xf>
    <xf numFmtId="0" fontId="52" fillId="26" borderId="15" xfId="0" applyFont="1" applyFill="1" applyBorder="1" applyAlignment="1" applyProtection="1">
      <alignment horizontal="center" vertical="center" wrapText="1"/>
    </xf>
    <xf numFmtId="0" fontId="52" fillId="26" borderId="16" xfId="0" applyFont="1" applyFill="1" applyBorder="1" applyAlignment="1" applyProtection="1">
      <alignment horizontal="center" vertical="center" wrapText="1"/>
    </xf>
    <xf numFmtId="0" fontId="52" fillId="26" borderId="14" xfId="0" applyFont="1" applyFill="1" applyBorder="1" applyAlignment="1" applyProtection="1">
      <alignment horizontal="center" vertical="center" wrapText="1"/>
    </xf>
    <xf numFmtId="0" fontId="52" fillId="39" borderId="15" xfId="0" applyFont="1" applyFill="1" applyBorder="1" applyAlignment="1">
      <alignment horizontal="center" vertical="center" wrapText="1"/>
    </xf>
    <xf numFmtId="0" fontId="52" fillId="39" borderId="16" xfId="0" applyFont="1" applyFill="1" applyBorder="1" applyAlignment="1">
      <alignment horizontal="center" vertical="center" wrapText="1"/>
    </xf>
    <xf numFmtId="0" fontId="52" fillId="39" borderId="14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7" fillId="38" borderId="16" xfId="0" applyFont="1" applyFill="1" applyBorder="1" applyAlignment="1">
      <alignment horizontal="center"/>
    </xf>
    <xf numFmtId="0" fontId="7" fillId="38" borderId="16" xfId="0" applyFont="1" applyFill="1" applyBorder="1" applyAlignment="1">
      <alignment horizontal="center" vertical="top"/>
    </xf>
    <xf numFmtId="0" fontId="0" fillId="26" borderId="17" xfId="0" applyFill="1" applyBorder="1" applyAlignment="1">
      <alignment horizontal="center" wrapText="1"/>
    </xf>
    <xf numFmtId="0" fontId="0" fillId="26" borderId="2" xfId="0" applyFill="1" applyBorder="1" applyAlignment="1">
      <alignment horizontal="center" wrapText="1"/>
    </xf>
    <xf numFmtId="9" fontId="15" fillId="40" borderId="15" xfId="2" applyFont="1" applyFill="1" applyBorder="1" applyAlignment="1">
      <alignment horizontal="center" vertical="center"/>
    </xf>
    <xf numFmtId="9" fontId="15" fillId="40" borderId="16" xfId="2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wrapText="1"/>
    </xf>
    <xf numFmtId="168" fontId="15" fillId="40" borderId="15" xfId="2" applyNumberFormat="1" applyFont="1" applyFill="1" applyBorder="1" applyAlignment="1">
      <alignment horizontal="center" vertical="center"/>
    </xf>
    <xf numFmtId="168" fontId="15" fillId="40" borderId="16" xfId="2" applyNumberFormat="1" applyFont="1" applyFill="1" applyBorder="1" applyAlignment="1">
      <alignment horizontal="center" vertical="center"/>
    </xf>
    <xf numFmtId="168" fontId="15" fillId="40" borderId="14" xfId="2" applyNumberFormat="1" applyFont="1" applyFill="1" applyBorder="1" applyAlignment="1">
      <alignment horizontal="center" vertical="center"/>
    </xf>
    <xf numFmtId="0" fontId="37" fillId="31" borderId="6" xfId="0" applyFont="1" applyFill="1" applyBorder="1" applyAlignment="1">
      <alignment horizontal="center"/>
    </xf>
    <xf numFmtId="0" fontId="37" fillId="31" borderId="0" xfId="0" applyFont="1" applyFill="1" applyBorder="1" applyAlignment="1">
      <alignment horizontal="center"/>
    </xf>
    <xf numFmtId="0" fontId="53" fillId="31" borderId="6" xfId="0" applyFont="1" applyFill="1" applyBorder="1" applyAlignment="1">
      <alignment horizontal="center" vertical="center"/>
    </xf>
    <xf numFmtId="0" fontId="53" fillId="31" borderId="0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7" fillId="38" borderId="1" xfId="0" applyFont="1" applyFill="1" applyBorder="1" applyAlignment="1">
      <alignment horizontal="center" vertical="center" wrapText="1"/>
    </xf>
    <xf numFmtId="0" fontId="15" fillId="17" borderId="15" xfId="0" applyFont="1" applyFill="1" applyBorder="1" applyAlignment="1">
      <alignment horizontal="center"/>
    </xf>
    <xf numFmtId="0" fontId="15" fillId="17" borderId="1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0" fillId="40" borderId="17" xfId="0" applyFill="1" applyBorder="1" applyAlignment="1">
      <alignment horizontal="center" vertical="center"/>
    </xf>
    <xf numFmtId="0" fontId="0" fillId="40" borderId="2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wrapText="1"/>
    </xf>
    <xf numFmtId="0" fontId="0" fillId="26" borderId="21" xfId="0" applyFill="1" applyBorder="1" applyAlignment="1">
      <alignment horizontal="center" wrapText="1"/>
    </xf>
    <xf numFmtId="0" fontId="0" fillId="26" borderId="24" xfId="0" applyFill="1" applyBorder="1" applyAlignment="1">
      <alignment horizontal="center" wrapText="1"/>
    </xf>
    <xf numFmtId="0" fontId="0" fillId="26" borderId="25" xfId="0" applyFill="1" applyBorder="1" applyAlignment="1">
      <alignment horizontal="center" wrapText="1"/>
    </xf>
    <xf numFmtId="0" fontId="0" fillId="40" borderId="1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 wrapText="1"/>
    </xf>
    <xf numFmtId="0" fontId="0" fillId="26" borderId="2" xfId="0" applyFill="1" applyBorder="1" applyAlignment="1">
      <alignment horizontal="center" vertical="center" wrapText="1"/>
    </xf>
    <xf numFmtId="0" fontId="0" fillId="26" borderId="19" xfId="0" applyFill="1" applyBorder="1" applyAlignment="1">
      <alignment horizontal="center" vertical="center" wrapText="1"/>
    </xf>
    <xf numFmtId="0" fontId="0" fillId="26" borderId="21" xfId="0" applyFill="1" applyBorder="1" applyAlignment="1">
      <alignment horizontal="center" vertical="center" wrapText="1"/>
    </xf>
    <xf numFmtId="0" fontId="0" fillId="26" borderId="24" xfId="0" applyFill="1" applyBorder="1" applyAlignment="1">
      <alignment horizontal="center" vertical="center" wrapText="1"/>
    </xf>
    <xf numFmtId="0" fontId="0" fillId="26" borderId="25" xfId="0" applyFill="1" applyBorder="1" applyAlignment="1">
      <alignment horizontal="center" vertical="center" wrapText="1"/>
    </xf>
    <xf numFmtId="0" fontId="1" fillId="40" borderId="1" xfId="0" applyFont="1" applyFill="1" applyBorder="1" applyAlignment="1">
      <alignment horizontal="center" vertical="center"/>
    </xf>
    <xf numFmtId="0" fontId="59" fillId="40" borderId="17" xfId="0" applyFont="1" applyFill="1" applyBorder="1" applyAlignment="1">
      <alignment horizontal="center" vertical="center" wrapText="1"/>
    </xf>
    <xf numFmtId="0" fontId="59" fillId="40" borderId="2" xfId="0" applyFont="1" applyFill="1" applyBorder="1" applyAlignment="1">
      <alignment horizontal="center" vertical="center" wrapText="1"/>
    </xf>
    <xf numFmtId="0" fontId="5" fillId="26" borderId="1" xfId="0" applyFont="1" applyFill="1" applyBorder="1" applyAlignment="1">
      <alignment horizontal="center" vertical="center"/>
    </xf>
    <xf numFmtId="0" fontId="59" fillId="40" borderId="1" xfId="0" applyFont="1" applyFill="1" applyBorder="1" applyAlignment="1">
      <alignment horizontal="center" vertical="center" wrapText="1"/>
    </xf>
    <xf numFmtId="0" fontId="16" fillId="36" borderId="1" xfId="0" applyFont="1" applyFill="1" applyBorder="1" applyAlignment="1">
      <alignment horizontal="center"/>
    </xf>
    <xf numFmtId="0" fontId="7" fillId="38" borderId="1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textRotation="90"/>
    </xf>
    <xf numFmtId="0" fontId="0" fillId="26" borderId="20" xfId="0" applyFill="1" applyBorder="1" applyAlignment="1">
      <alignment horizontal="center" wrapText="1"/>
    </xf>
    <xf numFmtId="0" fontId="0" fillId="26" borderId="12" xfId="0" applyFill="1" applyBorder="1" applyAlignment="1">
      <alignment horizontal="center" wrapText="1"/>
    </xf>
    <xf numFmtId="0" fontId="1" fillId="0" borderId="17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textRotation="90" wrapText="1"/>
    </xf>
    <xf numFmtId="0" fontId="6" fillId="40" borderId="20" xfId="0" applyFont="1" applyFill="1" applyBorder="1" applyAlignment="1">
      <alignment horizontal="left" vertical="top"/>
    </xf>
    <xf numFmtId="0" fontId="6" fillId="40" borderId="21" xfId="0" applyFont="1" applyFill="1" applyBorder="1" applyAlignment="1">
      <alignment horizontal="left" vertical="top"/>
    </xf>
    <xf numFmtId="0" fontId="6" fillId="26" borderId="15" xfId="0" applyFont="1" applyFill="1" applyBorder="1" applyAlignment="1">
      <alignment horizontal="left" vertical="top"/>
    </xf>
    <xf numFmtId="0" fontId="6" fillId="26" borderId="14" xfId="0" applyFont="1" applyFill="1" applyBorder="1" applyAlignment="1">
      <alignment horizontal="left" vertical="top"/>
    </xf>
    <xf numFmtId="0" fontId="6" fillId="26" borderId="16" xfId="0" applyFont="1" applyFill="1" applyBorder="1" applyAlignment="1">
      <alignment horizontal="left" vertical="top"/>
    </xf>
    <xf numFmtId="0" fontId="1" fillId="40" borderId="20" xfId="0" applyFont="1" applyFill="1" applyBorder="1" applyAlignment="1">
      <alignment horizontal="left" vertical="top"/>
    </xf>
    <xf numFmtId="0" fontId="7" fillId="4" borderId="130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31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32" xfId="0" applyFont="1" applyFill="1" applyBorder="1" applyAlignment="1">
      <alignment horizontal="center"/>
    </xf>
    <xf numFmtId="0" fontId="35" fillId="31" borderId="0" xfId="0" applyFont="1" applyFill="1" applyBorder="1" applyAlignment="1">
      <alignment horizontal="left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32" fillId="31" borderId="8" xfId="0" applyFont="1" applyFill="1" applyBorder="1" applyAlignment="1">
      <alignment horizontal="center" vertical="center"/>
    </xf>
    <xf numFmtId="0" fontId="32" fillId="31" borderId="9" xfId="0" applyFont="1" applyFill="1" applyBorder="1" applyAlignment="1">
      <alignment horizontal="center" vertical="center"/>
    </xf>
    <xf numFmtId="0" fontId="32" fillId="31" borderId="1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 textRotation="90" wrapText="1"/>
    </xf>
    <xf numFmtId="0" fontId="15" fillId="0" borderId="1" xfId="0" applyFont="1" applyBorder="1" applyAlignment="1">
      <alignment horizontal="left" vertical="center" wrapText="1"/>
    </xf>
    <xf numFmtId="0" fontId="7" fillId="6" borderId="1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6" fillId="40" borderId="20" xfId="0" applyFont="1" applyFill="1" applyBorder="1" applyAlignment="1">
      <alignment horizontal="center" vertical="top"/>
    </xf>
    <xf numFmtId="0" fontId="6" fillId="40" borderId="21" xfId="0" applyFont="1" applyFill="1" applyBorder="1" applyAlignment="1">
      <alignment horizontal="center" vertical="top"/>
    </xf>
    <xf numFmtId="0" fontId="6" fillId="0" borderId="20" xfId="0" applyFont="1" applyBorder="1" applyAlignment="1">
      <alignment horizontal="center" vertical="top"/>
    </xf>
    <xf numFmtId="0" fontId="6" fillId="0" borderId="21" xfId="0" applyFont="1" applyBorder="1" applyAlignment="1">
      <alignment horizontal="center" vertical="top"/>
    </xf>
    <xf numFmtId="0" fontId="7" fillId="6" borderId="3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1" fillId="3" borderId="22" xfId="0" applyFont="1" applyFill="1" applyBorder="1" applyAlignment="1">
      <alignment horizontal="left" vertical="center" wrapText="1"/>
    </xf>
    <xf numFmtId="0" fontId="6" fillId="3" borderId="0" xfId="0" applyFont="1" applyFill="1" applyBorder="1" applyAlignment="1">
      <alignment horizontal="left" vertical="center" wrapText="1"/>
    </xf>
    <xf numFmtId="0" fontId="6" fillId="3" borderId="23" xfId="0" applyFont="1" applyFill="1" applyBorder="1" applyAlignment="1">
      <alignment horizontal="left" vertical="center" wrapText="1"/>
    </xf>
    <xf numFmtId="0" fontId="6" fillId="26" borderId="13" xfId="0" applyFont="1" applyFill="1" applyBorder="1" applyAlignment="1">
      <alignment horizontal="left" vertical="top" wrapText="1"/>
    </xf>
    <xf numFmtId="0" fontId="6" fillId="26" borderId="14" xfId="0" applyFont="1" applyFill="1" applyBorder="1" applyAlignment="1">
      <alignment horizontal="left" vertical="top" wrapText="1"/>
    </xf>
    <xf numFmtId="0" fontId="6" fillId="0" borderId="17" xfId="0" applyFont="1" applyBorder="1" applyAlignment="1">
      <alignment horizontal="center" vertical="center" textRotation="90"/>
    </xf>
    <xf numFmtId="0" fontId="6" fillId="0" borderId="22" xfId="0" applyFont="1" applyBorder="1" applyAlignment="1">
      <alignment horizontal="center" vertical="center" textRotation="90"/>
    </xf>
    <xf numFmtId="0" fontId="6" fillId="0" borderId="23" xfId="0" applyFont="1" applyBorder="1" applyAlignment="1">
      <alignment horizontal="center" vertical="center" textRotation="90"/>
    </xf>
    <xf numFmtId="0" fontId="1" fillId="40" borderId="19" xfId="0" applyFont="1" applyFill="1" applyBorder="1" applyAlignment="1">
      <alignment horizontal="left" vertical="top" wrapText="1"/>
    </xf>
    <xf numFmtId="0" fontId="6" fillId="40" borderId="20" xfId="0" applyFont="1" applyFill="1" applyBorder="1" applyAlignment="1">
      <alignment horizontal="left" vertical="top" wrapText="1"/>
    </xf>
    <xf numFmtId="0" fontId="6" fillId="40" borderId="22" xfId="0" applyFont="1" applyFill="1" applyBorder="1" applyAlignment="1">
      <alignment horizontal="left" vertical="top" wrapText="1"/>
    </xf>
    <xf numFmtId="0" fontId="6" fillId="40" borderId="0" xfId="0" applyFont="1" applyFill="1" applyBorder="1" applyAlignment="1">
      <alignment horizontal="left" vertical="top" wrapText="1"/>
    </xf>
    <xf numFmtId="0" fontId="1" fillId="40" borderId="20" xfId="0" applyFont="1" applyFill="1" applyBorder="1" applyAlignment="1">
      <alignment horizontal="left" vertical="top" wrapText="1"/>
    </xf>
    <xf numFmtId="0" fontId="6" fillId="40" borderId="21" xfId="0" applyFont="1" applyFill="1" applyBorder="1" applyAlignment="1">
      <alignment horizontal="left" vertical="top" wrapText="1"/>
    </xf>
    <xf numFmtId="0" fontId="6" fillId="40" borderId="23" xfId="0" applyFont="1" applyFill="1" applyBorder="1" applyAlignment="1">
      <alignment horizontal="left" vertical="top" wrapText="1"/>
    </xf>
    <xf numFmtId="0" fontId="6" fillId="40" borderId="9" xfId="0" applyFont="1" applyFill="1" applyBorder="1" applyAlignment="1">
      <alignment horizontal="left" vertical="top" wrapText="1"/>
    </xf>
    <xf numFmtId="0" fontId="6" fillId="40" borderId="36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left" vertical="top"/>
    </xf>
    <xf numFmtId="0" fontId="6" fillId="0" borderId="21" xfId="0" applyFont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6" fillId="0" borderId="19" xfId="0" applyFont="1" applyBorder="1" applyAlignment="1">
      <alignment horizontal="left" vertical="top" textRotation="90"/>
    </xf>
    <xf numFmtId="0" fontId="6" fillId="0" borderId="20" xfId="0" applyFont="1" applyBorder="1" applyAlignment="1">
      <alignment horizontal="left" vertical="top" textRotation="90"/>
    </xf>
    <xf numFmtId="0" fontId="1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40" borderId="20" xfId="0" applyFont="1" applyFill="1" applyBorder="1" applyAlignment="1">
      <alignment horizontal="center" vertical="top" wrapText="1"/>
    </xf>
    <xf numFmtId="0" fontId="6" fillId="40" borderId="20" xfId="0" applyFont="1" applyFill="1" applyBorder="1" applyAlignment="1">
      <alignment horizontal="center" vertical="top" wrapText="1"/>
    </xf>
    <xf numFmtId="0" fontId="6" fillId="40" borderId="21" xfId="0" applyFont="1" applyFill="1" applyBorder="1" applyAlignment="1">
      <alignment horizontal="center" vertical="top" wrapText="1"/>
    </xf>
    <xf numFmtId="0" fontId="6" fillId="40" borderId="0" xfId="0" applyFont="1" applyFill="1" applyBorder="1" applyAlignment="1">
      <alignment horizontal="center" vertical="top" wrapText="1"/>
    </xf>
    <xf numFmtId="0" fontId="6" fillId="40" borderId="23" xfId="0" applyFont="1" applyFill="1" applyBorder="1" applyAlignment="1">
      <alignment horizontal="center" vertical="top" wrapText="1"/>
    </xf>
    <xf numFmtId="0" fontId="6" fillId="40" borderId="9" xfId="0" applyFont="1" applyFill="1" applyBorder="1" applyAlignment="1">
      <alignment horizontal="center" vertical="top" wrapText="1"/>
    </xf>
    <xf numFmtId="0" fontId="6" fillId="40" borderId="36" xfId="0" applyFont="1" applyFill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center" textRotation="90"/>
    </xf>
    <xf numFmtId="0" fontId="6" fillId="0" borderId="19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left" vertical="top"/>
    </xf>
    <xf numFmtId="0" fontId="1" fillId="40" borderId="19" xfId="0" applyFont="1" applyFill="1" applyBorder="1" applyAlignment="1">
      <alignment horizontal="center" vertical="top" wrapText="1"/>
    </xf>
    <xf numFmtId="0" fontId="6" fillId="40" borderId="22" xfId="0" applyFont="1" applyFill="1" applyBorder="1" applyAlignment="1">
      <alignment horizontal="center" vertical="top" wrapText="1"/>
    </xf>
    <xf numFmtId="0" fontId="6" fillId="40" borderId="24" xfId="0" applyFont="1" applyFill="1" applyBorder="1" applyAlignment="1">
      <alignment horizontal="center" vertical="top" wrapText="1"/>
    </xf>
    <xf numFmtId="0" fontId="6" fillId="40" borderId="12" xfId="0" applyFont="1" applyFill="1" applyBorder="1" applyAlignment="1">
      <alignment horizontal="center" vertical="top" wrapText="1"/>
    </xf>
    <xf numFmtId="0" fontId="6" fillId="40" borderId="25" xfId="0" applyFont="1" applyFill="1" applyBorder="1" applyAlignment="1">
      <alignment horizontal="center" vertical="top" wrapText="1"/>
    </xf>
    <xf numFmtId="0" fontId="6" fillId="26" borderId="15" xfId="0" applyFont="1" applyFill="1" applyBorder="1" applyAlignment="1">
      <alignment horizontal="left" vertical="top" wrapText="1"/>
    </xf>
    <xf numFmtId="0" fontId="6" fillId="26" borderId="16" xfId="0" applyFont="1" applyFill="1" applyBorder="1" applyAlignment="1">
      <alignment horizontal="left" vertical="top" wrapText="1"/>
    </xf>
    <xf numFmtId="0" fontId="1" fillId="40" borderId="20" xfId="0" applyFont="1" applyFill="1" applyBorder="1" applyAlignment="1">
      <alignment horizontal="center" vertical="top"/>
    </xf>
    <xf numFmtId="0" fontId="1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1" fillId="0" borderId="19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1" fillId="0" borderId="3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1" fillId="40" borderId="14" xfId="0" applyFont="1" applyFill="1" applyBorder="1" applyAlignment="1">
      <alignment horizontal="center" vertical="center" wrapText="1"/>
    </xf>
    <xf numFmtId="0" fontId="6" fillId="40" borderId="14" xfId="0" applyFont="1" applyFill="1" applyBorder="1" applyAlignment="1">
      <alignment horizontal="center" vertical="center" wrapText="1"/>
    </xf>
    <xf numFmtId="0" fontId="6" fillId="40" borderId="16" xfId="0" applyFont="1" applyFill="1" applyBorder="1" applyAlignment="1">
      <alignment horizontal="center" vertical="center" wrapText="1"/>
    </xf>
    <xf numFmtId="0" fontId="1" fillId="40" borderId="15" xfId="0" applyFont="1" applyFill="1" applyBorder="1" applyAlignment="1">
      <alignment horizontal="left" vertical="top" wrapText="1"/>
    </xf>
    <xf numFmtId="0" fontId="6" fillId="40" borderId="14" xfId="0" applyFont="1" applyFill="1" applyBorder="1" applyAlignment="1">
      <alignment horizontal="left" vertical="top" wrapText="1"/>
    </xf>
    <xf numFmtId="0" fontId="6" fillId="40" borderId="16" xfId="0" applyFont="1" applyFill="1" applyBorder="1" applyAlignment="1">
      <alignment horizontal="left" vertical="top" wrapText="1"/>
    </xf>
    <xf numFmtId="0" fontId="1" fillId="40" borderId="15" xfId="0" applyFont="1" applyFill="1" applyBorder="1" applyAlignment="1" applyProtection="1">
      <alignment horizontal="left" vertical="top"/>
    </xf>
    <xf numFmtId="0" fontId="6" fillId="40" borderId="14" xfId="0" applyFont="1" applyFill="1" applyBorder="1" applyAlignment="1" applyProtection="1">
      <alignment horizontal="left" vertical="top"/>
    </xf>
    <xf numFmtId="0" fontId="6" fillId="40" borderId="16" xfId="0" applyFont="1" applyFill="1" applyBorder="1" applyAlignment="1" applyProtection="1">
      <alignment horizontal="left" vertical="top"/>
    </xf>
    <xf numFmtId="0" fontId="1" fillId="40" borderId="15" xfId="0" applyFont="1" applyFill="1" applyBorder="1" applyAlignment="1" applyProtection="1">
      <alignment horizontal="left" vertical="top" wrapText="1"/>
    </xf>
    <xf numFmtId="0" fontId="6" fillId="40" borderId="14" xfId="0" applyFont="1" applyFill="1" applyBorder="1" applyAlignment="1" applyProtection="1">
      <alignment horizontal="left" vertical="top" wrapText="1"/>
    </xf>
    <xf numFmtId="0" fontId="6" fillId="40" borderId="16" xfId="0" applyFont="1" applyFill="1" applyBorder="1" applyAlignment="1" applyProtection="1">
      <alignment horizontal="left" vertical="top" wrapText="1"/>
    </xf>
    <xf numFmtId="0" fontId="6" fillId="0" borderId="15" xfId="0" applyFont="1" applyBorder="1" applyAlignment="1">
      <alignment horizontal="left" vertical="top" textRotation="90"/>
    </xf>
    <xf numFmtId="0" fontId="6" fillId="0" borderId="14" xfId="0" applyFont="1" applyBorder="1" applyAlignment="1">
      <alignment horizontal="left" vertical="top" textRotation="90"/>
    </xf>
    <xf numFmtId="0" fontId="6" fillId="0" borderId="16" xfId="0" applyFont="1" applyBorder="1" applyAlignment="1">
      <alignment horizontal="left" vertical="top" textRotation="90"/>
    </xf>
    <xf numFmtId="0" fontId="6" fillId="40" borderId="15" xfId="0" applyFont="1" applyFill="1" applyBorder="1" applyAlignment="1">
      <alignment horizontal="left" vertical="top"/>
    </xf>
    <xf numFmtId="0" fontId="1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4" borderId="94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23" fillId="17" borderId="29" xfId="0" applyFont="1" applyFill="1" applyBorder="1" applyAlignment="1">
      <alignment horizontal="center" vertical="center" wrapText="1"/>
    </xf>
    <xf numFmtId="0" fontId="23" fillId="17" borderId="39" xfId="0" applyFont="1" applyFill="1" applyBorder="1" applyAlignment="1">
      <alignment horizontal="center" vertical="center" wrapText="1"/>
    </xf>
    <xf numFmtId="0" fontId="23" fillId="17" borderId="40" xfId="0" applyFont="1" applyFill="1" applyBorder="1" applyAlignment="1">
      <alignment horizontal="center" vertical="center" wrapText="1"/>
    </xf>
    <xf numFmtId="0" fontId="18" fillId="17" borderId="3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8" fillId="17" borderId="29" xfId="0" applyFont="1" applyFill="1" applyBorder="1" applyAlignment="1">
      <alignment horizontal="center" vertical="center" wrapText="1"/>
    </xf>
    <xf numFmtId="0" fontId="18" fillId="17" borderId="39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6" xfId="0" applyFont="1" applyFill="1" applyBorder="1" applyAlignment="1">
      <alignment horizontal="left" vertical="center" wrapText="1"/>
    </xf>
    <xf numFmtId="0" fontId="21" fillId="9" borderId="0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left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70" fontId="5" fillId="26" borderId="14" xfId="0" applyNumberFormat="1" applyFont="1" applyFill="1" applyBorder="1" applyAlignment="1">
      <alignment horizontal="center"/>
    </xf>
    <xf numFmtId="0" fontId="30" fillId="31" borderId="6" xfId="0" applyFont="1" applyFill="1" applyBorder="1" applyAlignment="1">
      <alignment horizontal="center" vertical="center"/>
    </xf>
    <xf numFmtId="0" fontId="30" fillId="31" borderId="0" xfId="0" applyFont="1" applyFill="1" applyBorder="1" applyAlignment="1">
      <alignment horizontal="center" vertical="center"/>
    </xf>
    <xf numFmtId="0" fontId="21" fillId="9" borderId="8" xfId="0" applyFont="1" applyFill="1" applyBorder="1" applyAlignment="1">
      <alignment horizontal="left" vertical="center" wrapText="1"/>
    </xf>
    <xf numFmtId="0" fontId="21" fillId="9" borderId="9" xfId="0" applyFont="1" applyFill="1" applyBorder="1" applyAlignment="1">
      <alignment horizontal="left" vertical="center" wrapText="1"/>
    </xf>
    <xf numFmtId="1" fontId="0" fillId="39" borderId="144" xfId="0" applyNumberFormat="1" applyFill="1" applyBorder="1" applyAlignment="1" applyProtection="1">
      <alignment horizontal="center"/>
      <protection locked="0"/>
    </xf>
    <xf numFmtId="1" fontId="0" fillId="39" borderId="145" xfId="0" applyNumberFormat="1" applyFill="1" applyBorder="1" applyAlignment="1" applyProtection="1">
      <alignment horizontal="center"/>
      <protection locked="0"/>
    </xf>
    <xf numFmtId="1" fontId="0" fillId="39" borderId="146" xfId="0" applyNumberFormat="1" applyFill="1" applyBorder="1" applyAlignment="1" applyProtection="1">
      <alignment horizontal="center"/>
      <protection locked="0"/>
    </xf>
    <xf numFmtId="0" fontId="0" fillId="37" borderId="97" xfId="0" applyFill="1" applyBorder="1" applyAlignment="1">
      <alignment horizontal="center"/>
    </xf>
    <xf numFmtId="0" fontId="0" fillId="37" borderId="39" xfId="0" applyFill="1" applyBorder="1" applyAlignment="1">
      <alignment horizontal="center"/>
    </xf>
    <xf numFmtId="0" fontId="0" fillId="37" borderId="105" xfId="0" applyFill="1" applyBorder="1" applyAlignment="1">
      <alignment horizontal="center"/>
    </xf>
    <xf numFmtId="0" fontId="21" fillId="9" borderId="3" xfId="0" applyFont="1" applyFill="1" applyBorder="1" applyAlignment="1">
      <alignment horizontal="left" vertical="center" wrapText="1"/>
    </xf>
    <xf numFmtId="0" fontId="21" fillId="9" borderId="4" xfId="0" applyFont="1" applyFill="1" applyBorder="1" applyAlignment="1">
      <alignment horizontal="left"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55" fillId="17" borderId="29" xfId="0" applyFont="1" applyFill="1" applyBorder="1" applyAlignment="1">
      <alignment horizontal="center" vertical="center" wrapText="1"/>
    </xf>
    <xf numFmtId="0" fontId="55" fillId="17" borderId="39" xfId="0" applyFont="1" applyFill="1" applyBorder="1" applyAlignment="1">
      <alignment horizontal="center" vertical="center" wrapText="1"/>
    </xf>
    <xf numFmtId="0" fontId="21" fillId="41" borderId="1" xfId="0" applyFont="1" applyFill="1" applyBorder="1" applyAlignment="1">
      <alignment horizontal="center" vertical="center" wrapText="1"/>
    </xf>
    <xf numFmtId="1" fontId="0" fillId="40" borderId="15" xfId="0" applyNumberFormat="1" applyFill="1" applyBorder="1" applyAlignment="1" applyProtection="1">
      <alignment horizontal="center"/>
      <protection locked="0"/>
    </xf>
    <xf numFmtId="1" fontId="0" fillId="40" borderId="14" xfId="0" applyNumberFormat="1" applyFill="1" applyBorder="1" applyAlignment="1" applyProtection="1">
      <alignment horizontal="center"/>
      <protection locked="0"/>
    </xf>
    <xf numFmtId="1" fontId="0" fillId="40" borderId="16" xfId="0" applyNumberFormat="1" applyFill="1" applyBorder="1" applyAlignment="1" applyProtection="1">
      <alignment horizontal="center"/>
      <protection locked="0"/>
    </xf>
    <xf numFmtId="0" fontId="21" fillId="9" borderId="29" xfId="0" applyFont="1" applyFill="1" applyBorder="1" applyAlignment="1">
      <alignment horizontal="center" vertical="center" wrapText="1"/>
    </xf>
    <xf numFmtId="0" fontId="21" fillId="9" borderId="39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center" vertical="center" wrapText="1"/>
    </xf>
    <xf numFmtId="0" fontId="20" fillId="0" borderId="140" xfId="0" applyFont="1" applyBorder="1" applyAlignment="1">
      <alignment horizontal="left" vertical="center" wrapText="1"/>
    </xf>
    <xf numFmtId="0" fontId="20" fillId="0" borderId="141" xfId="0" applyFont="1" applyBorder="1" applyAlignment="1">
      <alignment horizontal="left" vertical="center" wrapText="1"/>
    </xf>
    <xf numFmtId="0" fontId="21" fillId="9" borderId="29" xfId="0" applyFont="1" applyFill="1" applyBorder="1" applyAlignment="1">
      <alignment horizontal="left" vertical="center" wrapText="1"/>
    </xf>
    <xf numFmtId="0" fontId="21" fillId="9" borderId="39" xfId="0" applyFont="1" applyFill="1" applyBorder="1" applyAlignment="1">
      <alignment horizontal="left" vertical="center" wrapText="1"/>
    </xf>
    <xf numFmtId="0" fontId="17" fillId="40" borderId="3" xfId="0" applyFont="1" applyFill="1" applyBorder="1" applyAlignment="1" applyProtection="1">
      <alignment horizontal="center" vertical="center" wrapText="1"/>
    </xf>
    <xf numFmtId="0" fontId="17" fillId="40" borderId="4" xfId="0" applyFont="1" applyFill="1" applyBorder="1" applyAlignment="1" applyProtection="1">
      <alignment horizontal="center" vertical="center" wrapText="1"/>
    </xf>
    <xf numFmtId="0" fontId="17" fillId="40" borderId="5" xfId="0" applyFont="1" applyFill="1" applyBorder="1" applyAlignment="1" applyProtection="1">
      <alignment horizontal="center" vertical="center" wrapText="1"/>
    </xf>
    <xf numFmtId="0" fontId="17" fillId="40" borderId="6" xfId="0" applyFont="1" applyFill="1" applyBorder="1" applyAlignment="1" applyProtection="1">
      <alignment horizontal="center" vertical="center" wrapText="1"/>
    </xf>
    <xf numFmtId="0" fontId="17" fillId="40" borderId="0" xfId="0" applyFont="1" applyFill="1" applyBorder="1" applyAlignment="1" applyProtection="1">
      <alignment horizontal="center" vertical="center" wrapText="1"/>
    </xf>
    <xf numFmtId="0" fontId="17" fillId="40" borderId="7" xfId="0" applyFont="1" applyFill="1" applyBorder="1" applyAlignment="1" applyProtection="1">
      <alignment horizontal="center" vertical="center" wrapText="1"/>
    </xf>
    <xf numFmtId="0" fontId="17" fillId="40" borderId="8" xfId="0" applyFont="1" applyFill="1" applyBorder="1" applyAlignment="1" applyProtection="1">
      <alignment horizontal="center" vertical="center" wrapText="1"/>
    </xf>
    <xf numFmtId="0" fontId="17" fillId="40" borderId="9" xfId="0" applyFont="1" applyFill="1" applyBorder="1" applyAlignment="1" applyProtection="1">
      <alignment horizontal="center" vertical="center" wrapText="1"/>
    </xf>
    <xf numFmtId="0" fontId="17" fillId="40" borderId="10" xfId="0" applyFont="1" applyFill="1" applyBorder="1" applyAlignment="1" applyProtection="1">
      <alignment horizontal="center" vertical="center" wrapText="1"/>
    </xf>
    <xf numFmtId="0" fontId="62" fillId="40" borderId="3" xfId="0" applyFont="1" applyFill="1" applyBorder="1" applyAlignment="1" applyProtection="1">
      <alignment horizontal="center" vertical="center" wrapText="1"/>
    </xf>
    <xf numFmtId="0" fontId="62" fillId="40" borderId="4" xfId="0" applyFont="1" applyFill="1" applyBorder="1" applyAlignment="1" applyProtection="1">
      <alignment horizontal="center" vertical="center" wrapText="1"/>
    </xf>
    <xf numFmtId="0" fontId="62" fillId="40" borderId="5" xfId="0" applyFont="1" applyFill="1" applyBorder="1" applyAlignment="1" applyProtection="1">
      <alignment horizontal="center" vertical="center" wrapText="1"/>
    </xf>
    <xf numFmtId="0" fontId="62" fillId="40" borderId="6" xfId="0" applyFont="1" applyFill="1" applyBorder="1" applyAlignment="1" applyProtection="1">
      <alignment horizontal="center" vertical="center" wrapText="1"/>
    </xf>
    <xf numFmtId="0" fontId="62" fillId="40" borderId="0" xfId="0" applyFont="1" applyFill="1" applyBorder="1" applyAlignment="1" applyProtection="1">
      <alignment horizontal="center" vertical="center" wrapText="1"/>
    </xf>
    <xf numFmtId="0" fontId="62" fillId="40" borderId="7" xfId="0" applyFont="1" applyFill="1" applyBorder="1" applyAlignment="1" applyProtection="1">
      <alignment horizontal="center" vertical="center" wrapText="1"/>
    </xf>
    <xf numFmtId="0" fontId="19" fillId="40" borderId="0" xfId="0" applyFont="1" applyFill="1" applyBorder="1" applyAlignment="1" applyProtection="1">
      <alignment horizontal="center" vertical="center" wrapText="1"/>
    </xf>
    <xf numFmtId="0" fontId="19" fillId="40" borderId="6" xfId="0" applyFont="1" applyFill="1" applyBorder="1" applyAlignment="1" applyProtection="1">
      <alignment horizontal="center" vertical="center" wrapText="1"/>
    </xf>
    <xf numFmtId="0" fontId="19" fillId="40" borderId="8" xfId="0" applyFont="1" applyFill="1" applyBorder="1" applyAlignment="1" applyProtection="1">
      <alignment horizontal="center" vertical="center" wrapText="1"/>
    </xf>
    <xf numFmtId="0" fontId="19" fillId="40" borderId="9" xfId="0" applyFont="1" applyFill="1" applyBorder="1" applyAlignment="1" applyProtection="1">
      <alignment horizontal="center" vertical="center" wrapText="1"/>
    </xf>
    <xf numFmtId="0" fontId="19" fillId="40" borderId="7" xfId="0" applyFont="1" applyFill="1" applyBorder="1" applyAlignment="1" applyProtection="1">
      <alignment horizontal="center" vertical="center" wrapText="1"/>
    </xf>
    <xf numFmtId="0" fontId="19" fillId="40" borderId="10" xfId="0" applyFont="1" applyFill="1" applyBorder="1" applyAlignment="1" applyProtection="1">
      <alignment horizontal="center" vertical="center" wrapText="1"/>
    </xf>
    <xf numFmtId="0" fontId="17" fillId="40" borderId="0" xfId="0" applyFont="1" applyFill="1" applyBorder="1" applyAlignment="1" applyProtection="1">
      <alignment horizontal="center" wrapText="1"/>
    </xf>
    <xf numFmtId="0" fontId="17" fillId="40" borderId="7" xfId="0" applyFont="1" applyFill="1" applyBorder="1" applyAlignment="1" applyProtection="1">
      <alignment horizontal="center" wrapText="1"/>
    </xf>
    <xf numFmtId="0" fontId="15" fillId="17" borderId="5" xfId="0" applyFont="1" applyFill="1" applyBorder="1" applyAlignment="1">
      <alignment horizontal="center"/>
    </xf>
    <xf numFmtId="0" fontId="15" fillId="17" borderId="10" xfId="0" applyFont="1" applyFill="1" applyBorder="1" applyAlignment="1">
      <alignment horizontal="center"/>
    </xf>
    <xf numFmtId="0" fontId="3" fillId="0" borderId="92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 textRotation="90"/>
    </xf>
    <xf numFmtId="0" fontId="17" fillId="0" borderId="7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textRotation="90"/>
    </xf>
    <xf numFmtId="0" fontId="17" fillId="0" borderId="0" xfId="0" applyFont="1" applyBorder="1" applyAlignment="1">
      <alignment horizontal="center" vertical="top" textRotation="90"/>
    </xf>
    <xf numFmtId="0" fontId="20" fillId="0" borderId="6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8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1" fillId="9" borderId="6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55" fillId="17" borderId="6" xfId="0" applyFont="1" applyFill="1" applyBorder="1" applyAlignment="1">
      <alignment horizontal="center" vertical="center" wrapText="1"/>
    </xf>
    <xf numFmtId="0" fontId="55" fillId="17" borderId="0" xfId="0" applyFont="1" applyFill="1" applyBorder="1" applyAlignment="1">
      <alignment horizontal="center" vertical="center" wrapText="1"/>
    </xf>
    <xf numFmtId="0" fontId="55" fillId="17" borderId="7" xfId="0" applyFont="1" applyFill="1" applyBorder="1" applyAlignment="1">
      <alignment horizontal="center" vertical="center" wrapText="1"/>
    </xf>
    <xf numFmtId="0" fontId="19" fillId="40" borderId="4" xfId="0" applyFont="1" applyFill="1" applyBorder="1" applyAlignment="1" applyProtection="1">
      <alignment horizontal="center" vertical="center" wrapText="1"/>
    </xf>
    <xf numFmtId="0" fontId="19" fillId="40" borderId="5" xfId="0" applyFont="1" applyFill="1" applyBorder="1" applyAlignment="1" applyProtection="1">
      <alignment horizontal="center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3" fillId="39" borderId="29" xfId="0" applyFont="1" applyFill="1" applyBorder="1" applyAlignment="1">
      <alignment horizontal="left" vertical="center" wrapText="1"/>
    </xf>
    <xf numFmtId="0" fontId="23" fillId="39" borderId="39" xfId="0" applyFont="1" applyFill="1" applyBorder="1" applyAlignment="1">
      <alignment horizontal="left" vertical="center" wrapText="1"/>
    </xf>
    <xf numFmtId="0" fontId="23" fillId="39" borderId="40" xfId="0" applyFont="1" applyFill="1" applyBorder="1" applyAlignment="1">
      <alignment horizontal="left" vertical="center" wrapText="1"/>
    </xf>
    <xf numFmtId="0" fontId="20" fillId="0" borderId="138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06" xfId="0" applyFont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62" fillId="40" borderId="8" xfId="0" applyFont="1" applyFill="1" applyBorder="1" applyAlignment="1" applyProtection="1">
      <alignment horizontal="center" vertical="center" wrapText="1"/>
    </xf>
    <xf numFmtId="0" fontId="62" fillId="40" borderId="9" xfId="0" applyFont="1" applyFill="1" applyBorder="1" applyAlignment="1" applyProtection="1">
      <alignment horizontal="center" vertical="center" wrapText="1"/>
    </xf>
    <xf numFmtId="0" fontId="62" fillId="40" borderId="10" xfId="0" applyFont="1" applyFill="1" applyBorder="1" applyAlignment="1" applyProtection="1">
      <alignment horizontal="center" vertical="center" wrapText="1"/>
    </xf>
    <xf numFmtId="1" fontId="0" fillId="39" borderId="17" xfId="0" applyNumberFormat="1" applyFill="1" applyBorder="1" applyAlignment="1" applyProtection="1">
      <alignment horizontal="center"/>
      <protection locked="0"/>
    </xf>
    <xf numFmtId="1" fontId="0" fillId="39" borderId="18" xfId="0" applyNumberFormat="1" applyFill="1" applyBorder="1" applyAlignment="1" applyProtection="1">
      <alignment horizontal="center"/>
      <protection locked="0"/>
    </xf>
    <xf numFmtId="1" fontId="0" fillId="39" borderId="2" xfId="0" applyNumberFormat="1" applyFill="1" applyBorder="1" applyAlignment="1" applyProtection="1">
      <alignment horizontal="center"/>
      <protection locked="0"/>
    </xf>
    <xf numFmtId="0" fontId="23" fillId="39" borderId="29" xfId="0" applyFont="1" applyFill="1" applyBorder="1" applyAlignment="1">
      <alignment horizontal="center" vertical="center" wrapText="1"/>
    </xf>
    <xf numFmtId="0" fontId="23" fillId="39" borderId="39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 wrapText="1"/>
    </xf>
    <xf numFmtId="0" fontId="17" fillId="40" borderId="3" xfId="0" applyFont="1" applyFill="1" applyBorder="1" applyAlignment="1" applyProtection="1">
      <alignment horizontal="center" wrapText="1"/>
    </xf>
    <xf numFmtId="0" fontId="17" fillId="40" borderId="4" xfId="0" applyFont="1" applyFill="1" applyBorder="1" applyAlignment="1" applyProtection="1">
      <alignment horizontal="center" wrapText="1"/>
    </xf>
    <xf numFmtId="0" fontId="17" fillId="40" borderId="5" xfId="0" applyFont="1" applyFill="1" applyBorder="1" applyAlignment="1" applyProtection="1">
      <alignment horizontal="center" wrapText="1"/>
    </xf>
    <xf numFmtId="0" fontId="17" fillId="40" borderId="8" xfId="0" applyFont="1" applyFill="1" applyBorder="1" applyAlignment="1" applyProtection="1">
      <alignment horizontal="center" wrapText="1"/>
    </xf>
    <xf numFmtId="0" fontId="17" fillId="40" borderId="9" xfId="0" applyFont="1" applyFill="1" applyBorder="1" applyAlignment="1" applyProtection="1">
      <alignment horizontal="center" wrapText="1"/>
    </xf>
    <xf numFmtId="0" fontId="17" fillId="40" borderId="10" xfId="0" applyFont="1" applyFill="1" applyBorder="1" applyAlignment="1" applyProtection="1">
      <alignment horizontal="center" wrapText="1"/>
    </xf>
    <xf numFmtId="0" fontId="65" fillId="40" borderId="4" xfId="0" applyFont="1" applyFill="1" applyBorder="1" applyAlignment="1" applyProtection="1">
      <alignment horizontal="center" vertical="center" wrapText="1"/>
    </xf>
    <xf numFmtId="0" fontId="65" fillId="40" borderId="5" xfId="0" applyFont="1" applyFill="1" applyBorder="1" applyAlignment="1" applyProtection="1">
      <alignment horizontal="center" vertical="center" wrapText="1"/>
    </xf>
    <xf numFmtId="0" fontId="65" fillId="40" borderId="6" xfId="0" applyFont="1" applyFill="1" applyBorder="1" applyAlignment="1" applyProtection="1">
      <alignment horizontal="center" vertical="center" wrapText="1"/>
    </xf>
    <xf numFmtId="0" fontId="65" fillId="40" borderId="0" xfId="0" applyFont="1" applyFill="1" applyBorder="1" applyAlignment="1" applyProtection="1">
      <alignment horizontal="center" vertical="center" wrapText="1"/>
    </xf>
    <xf numFmtId="0" fontId="65" fillId="40" borderId="7" xfId="0" applyFont="1" applyFill="1" applyBorder="1" applyAlignment="1" applyProtection="1">
      <alignment horizontal="center" vertical="center" wrapText="1"/>
    </xf>
    <xf numFmtId="0" fontId="65" fillId="40" borderId="8" xfId="0" applyFont="1" applyFill="1" applyBorder="1" applyAlignment="1" applyProtection="1">
      <alignment horizontal="center" vertical="center" wrapText="1"/>
    </xf>
    <xf numFmtId="0" fontId="65" fillId="40" borderId="9" xfId="0" applyFont="1" applyFill="1" applyBorder="1" applyAlignment="1" applyProtection="1">
      <alignment horizontal="center" vertical="center" wrapText="1"/>
    </xf>
    <xf numFmtId="0" fontId="65" fillId="40" borderId="10" xfId="0" applyFont="1" applyFill="1" applyBorder="1" applyAlignment="1" applyProtection="1">
      <alignment horizontal="center" vertical="center" wrapText="1"/>
    </xf>
    <xf numFmtId="0" fontId="21" fillId="9" borderId="143" xfId="0" applyFont="1" applyFill="1" applyBorder="1" applyAlignment="1">
      <alignment horizontal="left" vertical="center" wrapText="1"/>
    </xf>
    <xf numFmtId="0" fontId="21" fillId="9" borderId="142" xfId="0" applyFont="1" applyFill="1" applyBorder="1" applyAlignment="1">
      <alignment horizontal="left" vertical="center" wrapText="1"/>
    </xf>
    <xf numFmtId="0" fontId="62" fillId="40" borderId="3" xfId="0" quotePrefix="1" applyFont="1" applyFill="1" applyBorder="1" applyAlignment="1" applyProtection="1">
      <alignment horizontal="center" vertical="center" wrapText="1"/>
    </xf>
    <xf numFmtId="0" fontId="23" fillId="39" borderId="6" xfId="0" applyFont="1" applyFill="1" applyBorder="1" applyAlignment="1">
      <alignment horizontal="left" vertical="center" wrapText="1"/>
    </xf>
    <xf numFmtId="0" fontId="23" fillId="39" borderId="0" xfId="0" applyFont="1" applyFill="1" applyBorder="1" applyAlignment="1">
      <alignment horizontal="left" vertical="center" wrapText="1"/>
    </xf>
    <xf numFmtId="0" fontId="23" fillId="39" borderId="7" xfId="0" applyFont="1" applyFill="1" applyBorder="1" applyAlignment="1">
      <alignment horizontal="left" vertical="center" wrapText="1"/>
    </xf>
    <xf numFmtId="0" fontId="3" fillId="0" borderId="143" xfId="0" applyFont="1" applyBorder="1" applyAlignment="1">
      <alignment horizontal="center" vertical="center"/>
    </xf>
    <xf numFmtId="0" fontId="20" fillId="39" borderId="0" xfId="0" applyFont="1" applyFill="1" applyBorder="1" applyAlignment="1">
      <alignment horizontal="center" vertical="center" wrapText="1"/>
    </xf>
    <xf numFmtId="0" fontId="20" fillId="39" borderId="23" xfId="0" applyFont="1" applyFill="1" applyBorder="1" applyAlignment="1">
      <alignment horizontal="center" vertical="center" wrapText="1"/>
    </xf>
    <xf numFmtId="0" fontId="21" fillId="39" borderId="3" xfId="0" applyFont="1" applyFill="1" applyBorder="1" applyAlignment="1">
      <alignment horizontal="center" vertical="center" wrapText="1"/>
    </xf>
    <xf numFmtId="0" fontId="21" fillId="39" borderId="4" xfId="0" applyFont="1" applyFill="1" applyBorder="1" applyAlignment="1">
      <alignment horizontal="center" vertical="center" wrapText="1"/>
    </xf>
    <xf numFmtId="0" fontId="21" fillId="39" borderId="6" xfId="0" applyFont="1" applyFill="1" applyBorder="1" applyAlignment="1">
      <alignment horizontal="center" vertical="center" wrapText="1"/>
    </xf>
    <xf numFmtId="0" fontId="21" fillId="39" borderId="0" xfId="0" applyFont="1" applyFill="1" applyBorder="1" applyAlignment="1">
      <alignment horizontal="center" vertical="center" wrapText="1"/>
    </xf>
    <xf numFmtId="0" fontId="21" fillId="39" borderId="8" xfId="0" applyFont="1" applyFill="1" applyBorder="1" applyAlignment="1">
      <alignment horizontal="center" vertical="center" wrapText="1"/>
    </xf>
    <xf numFmtId="0" fontId="21" fillId="39" borderId="9" xfId="0" applyFont="1" applyFill="1" applyBorder="1" applyAlignment="1">
      <alignment horizontal="center" vertical="center" wrapText="1"/>
    </xf>
    <xf numFmtId="0" fontId="21" fillId="39" borderId="12" xfId="0" applyFont="1" applyFill="1" applyBorder="1" applyAlignment="1">
      <alignment horizontal="center" vertical="center" wrapText="1"/>
    </xf>
    <xf numFmtId="0" fontId="20" fillId="39" borderId="97" xfId="0" applyFont="1" applyFill="1" applyBorder="1" applyAlignment="1">
      <alignment horizontal="center" vertical="center" wrapText="1"/>
    </xf>
    <xf numFmtId="0" fontId="20" fillId="39" borderId="39" xfId="0" applyFont="1" applyFill="1" applyBorder="1" applyAlignment="1">
      <alignment horizontal="center" vertical="center" wrapText="1"/>
    </xf>
    <xf numFmtId="0" fontId="20" fillId="39" borderId="105" xfId="0" applyFont="1" applyFill="1" applyBorder="1" applyAlignment="1">
      <alignment horizontal="center" vertical="center" wrapText="1"/>
    </xf>
    <xf numFmtId="0" fontId="20" fillId="39" borderId="4" xfId="0" applyFont="1" applyFill="1" applyBorder="1" applyAlignment="1">
      <alignment horizontal="center" vertical="center" wrapText="1"/>
    </xf>
    <xf numFmtId="0" fontId="23" fillId="39" borderId="6" xfId="0" applyFont="1" applyFill="1" applyBorder="1" applyAlignment="1">
      <alignment horizontal="center" vertical="center" wrapText="1"/>
    </xf>
    <xf numFmtId="0" fontId="23" fillId="39" borderId="0" xfId="0" applyFont="1" applyFill="1" applyBorder="1" applyAlignment="1">
      <alignment horizontal="center" vertical="center" wrapText="1"/>
    </xf>
    <xf numFmtId="0" fontId="20" fillId="39" borderId="177" xfId="0" applyFont="1" applyFill="1" applyBorder="1" applyAlignment="1">
      <alignment horizontal="center" vertical="center" wrapText="1"/>
    </xf>
    <xf numFmtId="0" fontId="20" fillId="39" borderId="20" xfId="0" applyFont="1" applyFill="1" applyBorder="1" applyAlignment="1">
      <alignment horizontal="center" vertical="center" wrapText="1"/>
    </xf>
    <xf numFmtId="0" fontId="20" fillId="39" borderId="21" xfId="0" applyFont="1" applyFill="1" applyBorder="1" applyAlignment="1">
      <alignment horizontal="center" vertical="center" wrapText="1"/>
    </xf>
    <xf numFmtId="0" fontId="20" fillId="39" borderId="6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39" borderId="12" xfId="0" applyFont="1" applyFill="1" applyBorder="1" applyAlignment="1">
      <alignment horizontal="center" vertical="center" wrapText="1"/>
    </xf>
    <xf numFmtId="0" fontId="20" fillId="39" borderId="25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0" fillId="0" borderId="92" xfId="0" applyFont="1" applyBorder="1" applyAlignment="1">
      <alignment horizontal="center" vertical="center" wrapText="1"/>
    </xf>
    <xf numFmtId="0" fontId="20" fillId="0" borderId="142" xfId="0" applyFont="1" applyBorder="1" applyAlignment="1">
      <alignment horizontal="center" vertical="center" wrapText="1"/>
    </xf>
    <xf numFmtId="0" fontId="20" fillId="0" borderId="175" xfId="0" applyFont="1" applyBorder="1" applyAlignment="1">
      <alignment horizontal="center" vertical="center" wrapText="1"/>
    </xf>
    <xf numFmtId="0" fontId="20" fillId="39" borderId="5" xfId="0" applyFont="1" applyFill="1" applyBorder="1" applyAlignment="1">
      <alignment horizontal="center" vertical="center" wrapText="1"/>
    </xf>
    <xf numFmtId="0" fontId="20" fillId="39" borderId="7" xfId="0" applyFont="1" applyFill="1" applyBorder="1" applyAlignment="1">
      <alignment horizontal="center" vertical="center" wrapText="1"/>
    </xf>
    <xf numFmtId="0" fontId="5" fillId="26" borderId="14" xfId="0" applyNumberFormat="1" applyFont="1" applyFill="1" applyBorder="1" applyAlignment="1">
      <alignment horizontal="center"/>
    </xf>
    <xf numFmtId="167" fontId="5" fillId="26" borderId="14" xfId="0" applyNumberFormat="1" applyFont="1" applyFill="1" applyBorder="1" applyAlignment="1">
      <alignment horizontal="center"/>
    </xf>
    <xf numFmtId="0" fontId="7" fillId="18" borderId="56" xfId="0" applyFont="1" applyFill="1" applyBorder="1" applyAlignment="1">
      <alignment horizontal="center" vertical="center" wrapText="1"/>
    </xf>
    <xf numFmtId="0" fontId="7" fillId="18" borderId="52" xfId="0" applyFont="1" applyFill="1" applyBorder="1" applyAlignment="1">
      <alignment horizontal="center" vertical="center" wrapText="1"/>
    </xf>
    <xf numFmtId="0" fontId="7" fillId="18" borderId="53" xfId="0" applyFont="1" applyFill="1" applyBorder="1" applyAlignment="1">
      <alignment horizontal="center" vertical="center" wrapText="1"/>
    </xf>
    <xf numFmtId="0" fontId="7" fillId="18" borderId="57" xfId="0" applyFont="1" applyFill="1" applyBorder="1" applyAlignment="1">
      <alignment horizontal="center" vertical="center" wrapText="1"/>
    </xf>
    <xf numFmtId="0" fontId="7" fillId="18" borderId="58" xfId="0" applyFont="1" applyFill="1" applyBorder="1" applyAlignment="1">
      <alignment horizontal="center" vertical="center" wrapText="1"/>
    </xf>
    <xf numFmtId="17" fontId="5" fillId="26" borderId="14" xfId="0" applyNumberFormat="1" applyFont="1" applyFill="1" applyBorder="1" applyAlignment="1">
      <alignment horizont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45" xfId="0" applyFont="1" applyFill="1" applyBorder="1" applyAlignment="1">
      <alignment horizontal="center" vertical="center" wrapText="1"/>
    </xf>
    <xf numFmtId="0" fontId="7" fillId="9" borderId="51" xfId="0" applyFont="1" applyFill="1" applyBorder="1" applyAlignment="1">
      <alignment horizontal="center" vertical="center" wrapText="1"/>
    </xf>
    <xf numFmtId="0" fontId="7" fillId="9" borderId="52" xfId="0" applyFont="1" applyFill="1" applyBorder="1" applyAlignment="1">
      <alignment horizontal="center" vertical="center" wrapText="1"/>
    </xf>
    <xf numFmtId="0" fontId="7" fillId="18" borderId="54" xfId="0" applyFont="1" applyFill="1" applyBorder="1" applyAlignment="1">
      <alignment horizontal="center" vertical="center" wrapText="1"/>
    </xf>
    <xf numFmtId="0" fontId="7" fillId="18" borderId="48" xfId="0" applyFont="1" applyFill="1" applyBorder="1" applyAlignment="1">
      <alignment horizontal="center" vertical="center" wrapText="1"/>
    </xf>
    <xf numFmtId="0" fontId="7" fillId="18" borderId="47" xfId="0" applyFont="1" applyFill="1" applyBorder="1" applyAlignment="1">
      <alignment horizontal="center" vertical="center" wrapText="1"/>
    </xf>
    <xf numFmtId="0" fontId="8" fillId="19" borderId="112" xfId="0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0" fontId="8" fillId="19" borderId="127" xfId="0" applyFont="1" applyFill="1" applyBorder="1" applyAlignment="1">
      <alignment horizontal="center" vertical="center" wrapText="1"/>
    </xf>
    <xf numFmtId="0" fontId="7" fillId="19" borderId="118" xfId="0" applyFont="1" applyFill="1" applyBorder="1" applyAlignment="1">
      <alignment horizontal="center" vertical="center" wrapText="1"/>
    </xf>
    <xf numFmtId="0" fontId="7" fillId="19" borderId="119" xfId="0" applyFont="1" applyFill="1" applyBorder="1" applyAlignment="1">
      <alignment horizontal="center" vertical="center" wrapText="1"/>
    </xf>
    <xf numFmtId="0" fontId="7" fillId="19" borderId="124" xfId="0" applyFont="1" applyFill="1" applyBorder="1" applyAlignment="1">
      <alignment horizontal="center" vertical="center" wrapText="1"/>
    </xf>
    <xf numFmtId="0" fontId="7" fillId="19" borderId="126" xfId="0" applyFont="1" applyFill="1" applyBorder="1" applyAlignment="1">
      <alignment horizontal="center" vertical="center" wrapText="1"/>
    </xf>
    <xf numFmtId="0" fontId="7" fillId="19" borderId="0" xfId="0" applyFont="1" applyFill="1" applyBorder="1" applyAlignment="1">
      <alignment horizontal="center" vertical="center" wrapText="1"/>
    </xf>
    <xf numFmtId="0" fontId="7" fillId="19" borderId="134" xfId="0" applyFont="1" applyFill="1" applyBorder="1" applyAlignment="1">
      <alignment horizontal="center" vertical="center" wrapText="1"/>
    </xf>
    <xf numFmtId="0" fontId="0" fillId="0" borderId="110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9" borderId="121" xfId="0" applyFont="1" applyFill="1" applyBorder="1" applyAlignment="1">
      <alignment horizontal="center" vertical="center" wrapText="1"/>
    </xf>
    <xf numFmtId="0" fontId="7" fillId="19" borderId="122" xfId="0" applyFont="1" applyFill="1" applyBorder="1" applyAlignment="1">
      <alignment horizontal="center" vertical="center" wrapText="1"/>
    </xf>
    <xf numFmtId="0" fontId="7" fillId="19" borderId="125" xfId="0" applyFont="1" applyFill="1" applyBorder="1" applyAlignment="1">
      <alignment horizontal="center" vertical="center" wrapText="1"/>
    </xf>
    <xf numFmtId="0" fontId="6" fillId="19" borderId="113" xfId="0" applyFont="1" applyFill="1" applyBorder="1" applyAlignment="1">
      <alignment horizontal="center" vertical="center" wrapText="1"/>
    </xf>
    <xf numFmtId="0" fontId="7" fillId="19" borderId="113" xfId="0" applyFont="1" applyFill="1" applyBorder="1" applyAlignment="1">
      <alignment horizontal="center" vertical="center" wrapText="1"/>
    </xf>
    <xf numFmtId="0" fontId="7" fillId="19" borderId="120" xfId="0" applyFont="1" applyFill="1" applyBorder="1" applyAlignment="1">
      <alignment horizontal="center" vertical="center" wrapText="1"/>
    </xf>
    <xf numFmtId="0" fontId="7" fillId="19" borderId="123" xfId="0" applyFont="1" applyFill="1" applyBorder="1" applyAlignment="1">
      <alignment horizontal="center" vertical="center" wrapText="1"/>
    </xf>
    <xf numFmtId="0" fontId="6" fillId="36" borderId="113" xfId="0" applyFont="1" applyFill="1" applyBorder="1" applyAlignment="1">
      <alignment horizontal="center" vertical="center" wrapText="1"/>
    </xf>
    <xf numFmtId="0" fontId="7" fillId="20" borderId="55" xfId="0" applyFont="1" applyFill="1" applyBorder="1" applyAlignment="1">
      <alignment horizontal="center" vertical="center" wrapText="1"/>
    </xf>
    <xf numFmtId="0" fontId="7" fillId="20" borderId="128" xfId="0" applyFont="1" applyFill="1" applyBorder="1" applyAlignment="1">
      <alignment horizontal="center" vertical="center" wrapText="1"/>
    </xf>
    <xf numFmtId="1" fontId="0" fillId="36" borderId="147" xfId="0" applyNumberFormat="1" applyFill="1" applyBorder="1" applyAlignment="1" applyProtection="1">
      <alignment horizontal="center"/>
    </xf>
    <xf numFmtId="1" fontId="0" fillId="36" borderId="129" xfId="0" applyNumberFormat="1" applyFill="1" applyBorder="1" applyAlignment="1" applyProtection="1">
      <alignment horizontal="center"/>
    </xf>
    <xf numFmtId="1" fontId="0" fillId="36" borderId="148" xfId="0" applyNumberFormat="1" applyFill="1" applyBorder="1" applyAlignment="1" applyProtection="1">
      <alignment horizontal="center"/>
    </xf>
    <xf numFmtId="0" fontId="0" fillId="40" borderId="19" xfId="0" applyFill="1" applyBorder="1" applyAlignment="1">
      <alignment horizontal="center" vertical="top" wrapText="1"/>
    </xf>
    <xf numFmtId="0" fontId="0" fillId="40" borderId="20" xfId="0" applyFill="1" applyBorder="1" applyAlignment="1">
      <alignment horizontal="center" vertical="top" wrapText="1"/>
    </xf>
    <xf numFmtId="0" fontId="0" fillId="40" borderId="21" xfId="0" applyFill="1" applyBorder="1" applyAlignment="1">
      <alignment horizontal="center" vertical="top" wrapText="1"/>
    </xf>
    <xf numFmtId="0" fontId="0" fillId="40" borderId="24" xfId="0" applyFill="1" applyBorder="1" applyAlignment="1">
      <alignment horizontal="center" vertical="top" wrapText="1"/>
    </xf>
    <xf numFmtId="0" fontId="0" fillId="40" borderId="12" xfId="0" applyFill="1" applyBorder="1" applyAlignment="1">
      <alignment horizontal="center" vertical="top" wrapText="1"/>
    </xf>
    <xf numFmtId="0" fontId="0" fillId="40" borderId="25" xfId="0" applyFill="1" applyBorder="1" applyAlignment="1">
      <alignment horizontal="center" vertical="top" wrapText="1"/>
    </xf>
    <xf numFmtId="0" fontId="0" fillId="40" borderId="19" xfId="0" applyFill="1" applyBorder="1" applyAlignment="1">
      <alignment horizontal="left" vertical="center" wrapText="1"/>
    </xf>
    <xf numFmtId="0" fontId="0" fillId="40" borderId="20" xfId="0" applyFill="1" applyBorder="1" applyAlignment="1">
      <alignment horizontal="left" vertical="center" wrapText="1"/>
    </xf>
    <xf numFmtId="0" fontId="0" fillId="40" borderId="21" xfId="0" applyFill="1" applyBorder="1" applyAlignment="1">
      <alignment horizontal="left" vertical="center" wrapText="1"/>
    </xf>
    <xf numFmtId="0" fontId="0" fillId="40" borderId="24" xfId="0" applyFill="1" applyBorder="1" applyAlignment="1">
      <alignment horizontal="left" vertical="center" wrapText="1"/>
    </xf>
    <xf numFmtId="0" fontId="0" fillId="40" borderId="12" xfId="0" applyFill="1" applyBorder="1" applyAlignment="1">
      <alignment horizontal="left" vertical="center" wrapText="1"/>
    </xf>
    <xf numFmtId="0" fontId="0" fillId="40" borderId="25" xfId="0" applyFill="1" applyBorder="1" applyAlignment="1">
      <alignment horizontal="left" vertical="center" wrapText="1"/>
    </xf>
    <xf numFmtId="0" fontId="7" fillId="36" borderId="55" xfId="0" applyFont="1" applyFill="1" applyBorder="1" applyAlignment="1">
      <alignment horizontal="center" vertical="center" wrapText="1"/>
    </xf>
    <xf numFmtId="0" fontId="7" fillId="36" borderId="128" xfId="0" applyFont="1" applyFill="1" applyBorder="1" applyAlignment="1">
      <alignment horizontal="center" vertical="center" wrapText="1"/>
    </xf>
    <xf numFmtId="1" fontId="0" fillId="40" borderId="147" xfId="0" applyNumberFormat="1" applyFill="1" applyBorder="1" applyAlignment="1" applyProtection="1">
      <alignment horizontal="center"/>
      <protection locked="0"/>
    </xf>
    <xf numFmtId="1" fontId="0" fillId="40" borderId="129" xfId="0" applyNumberFormat="1" applyFill="1" applyBorder="1" applyAlignment="1" applyProtection="1">
      <alignment horizontal="center"/>
      <protection locked="0"/>
    </xf>
    <xf numFmtId="1" fontId="0" fillId="40" borderId="148" xfId="0" applyNumberFormat="1" applyFill="1" applyBorder="1" applyAlignment="1" applyProtection="1">
      <alignment horizontal="center"/>
      <protection locked="0"/>
    </xf>
    <xf numFmtId="0" fontId="7" fillId="18" borderId="136" xfId="0" applyFont="1" applyFill="1" applyBorder="1" applyAlignment="1">
      <alignment horizontal="center" vertical="center" wrapText="1"/>
    </xf>
    <xf numFmtId="0" fontId="0" fillId="0" borderId="111" xfId="0" applyBorder="1" applyAlignment="1">
      <alignment horizontal="center"/>
    </xf>
    <xf numFmtId="0" fontId="49" fillId="34" borderId="29" xfId="0" applyFont="1" applyFill="1" applyBorder="1" applyAlignment="1">
      <alignment horizontal="center" vertical="center" wrapText="1"/>
    </xf>
    <xf numFmtId="0" fontId="49" fillId="34" borderId="39" xfId="0" applyFont="1" applyFill="1" applyBorder="1" applyAlignment="1">
      <alignment horizontal="center" vertical="center" wrapText="1"/>
    </xf>
    <xf numFmtId="0" fontId="49" fillId="34" borderId="40" xfId="0" applyFont="1" applyFill="1" applyBorder="1" applyAlignment="1">
      <alignment horizontal="center" vertical="center" wrapText="1"/>
    </xf>
    <xf numFmtId="0" fontId="61" fillId="42" borderId="157" xfId="0" applyFont="1" applyFill="1" applyBorder="1" applyAlignment="1">
      <alignment horizontal="center" vertical="center" wrapText="1"/>
    </xf>
    <xf numFmtId="0" fontId="61" fillId="42" borderId="158" xfId="0" applyFont="1" applyFill="1" applyBorder="1" applyAlignment="1">
      <alignment horizontal="center" vertical="center" wrapText="1"/>
    </xf>
    <xf numFmtId="0" fontId="61" fillId="42" borderId="159" xfId="0" applyFont="1" applyFill="1" applyBorder="1" applyAlignment="1">
      <alignment horizontal="center" vertical="center" wrapText="1"/>
    </xf>
    <xf numFmtId="0" fontId="61" fillId="42" borderId="102" xfId="0" applyFont="1" applyFill="1" applyBorder="1" applyAlignment="1">
      <alignment horizontal="center" vertical="center" wrapText="1"/>
    </xf>
    <xf numFmtId="0" fontId="61" fillId="42" borderId="103" xfId="0" applyFont="1" applyFill="1" applyBorder="1" applyAlignment="1">
      <alignment horizontal="center" vertical="center" wrapText="1"/>
    </xf>
    <xf numFmtId="0" fontId="5" fillId="23" borderId="71" xfId="0" applyFont="1" applyFill="1" applyBorder="1" applyAlignment="1">
      <alignment horizontal="center" vertical="center" wrapText="1"/>
    </xf>
    <xf numFmtId="0" fontId="5" fillId="23" borderId="75" xfId="0" applyFont="1" applyFill="1" applyBorder="1" applyAlignment="1">
      <alignment horizontal="center" vertical="center" wrapText="1"/>
    </xf>
    <xf numFmtId="0" fontId="5" fillId="23" borderId="109" xfId="0" applyFont="1" applyFill="1" applyBorder="1" applyAlignment="1">
      <alignment horizontal="center" vertical="center" wrapText="1"/>
    </xf>
    <xf numFmtId="0" fontId="26" fillId="23" borderId="69" xfId="0" applyFont="1" applyFill="1" applyBorder="1" applyAlignment="1">
      <alignment horizontal="center" vertical="center" wrapText="1"/>
    </xf>
    <xf numFmtId="0" fontId="26" fillId="23" borderId="74" xfId="0" applyFont="1" applyFill="1" applyBorder="1" applyAlignment="1">
      <alignment horizontal="center" vertical="center" wrapText="1"/>
    </xf>
    <xf numFmtId="0" fontId="26" fillId="23" borderId="108" xfId="0" applyFont="1" applyFill="1" applyBorder="1" applyAlignment="1">
      <alignment horizontal="center" vertical="center" wrapText="1"/>
    </xf>
    <xf numFmtId="0" fontId="7" fillId="22" borderId="64" xfId="0" applyFont="1" applyFill="1" applyBorder="1" applyAlignment="1">
      <alignment horizontal="center" vertical="center" wrapText="1"/>
    </xf>
    <xf numFmtId="0" fontId="7" fillId="22" borderId="62" xfId="0" applyFont="1" applyFill="1" applyBorder="1" applyAlignment="1">
      <alignment horizontal="center" vertical="center" wrapText="1"/>
    </xf>
    <xf numFmtId="0" fontId="5" fillId="22" borderId="66" xfId="0" applyFont="1" applyFill="1" applyBorder="1" applyAlignment="1">
      <alignment horizontal="center" vertical="center" wrapText="1"/>
    </xf>
    <xf numFmtId="0" fontId="5" fillId="22" borderId="67" xfId="0" applyFont="1" applyFill="1" applyBorder="1" applyAlignment="1">
      <alignment horizontal="center" vertical="center" wrapText="1"/>
    </xf>
    <xf numFmtId="0" fontId="5" fillId="22" borderId="68" xfId="0" applyFont="1" applyFill="1" applyBorder="1" applyAlignment="1">
      <alignment horizontal="center" vertical="center" wrapText="1"/>
    </xf>
    <xf numFmtId="0" fontId="5" fillId="22" borderId="73" xfId="0" applyFont="1" applyFill="1" applyBorder="1" applyAlignment="1">
      <alignment horizontal="center" vertical="center" wrapText="1"/>
    </xf>
    <xf numFmtId="0" fontId="5" fillId="22" borderId="0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5" fillId="9" borderId="59" xfId="0" applyFont="1" applyFill="1" applyBorder="1" applyAlignment="1">
      <alignment horizontal="center" vertical="center" wrapText="1"/>
    </xf>
    <xf numFmtId="0" fontId="5" fillId="9" borderId="60" xfId="0" applyFont="1" applyFill="1" applyBorder="1" applyAlignment="1">
      <alignment horizontal="center" vertical="center" wrapText="1"/>
    </xf>
    <xf numFmtId="0" fontId="7" fillId="21" borderId="61" xfId="0" applyFont="1" applyFill="1" applyBorder="1" applyAlignment="1">
      <alignment horizontal="center" vertical="center" wrapText="1"/>
    </xf>
    <xf numFmtId="0" fontId="7" fillId="21" borderId="62" xfId="0" applyFont="1" applyFill="1" applyBorder="1" applyAlignment="1">
      <alignment horizontal="center" vertical="center" wrapText="1"/>
    </xf>
    <xf numFmtId="0" fontId="7" fillId="21" borderId="63" xfId="0" applyFont="1" applyFill="1" applyBorder="1" applyAlignment="1">
      <alignment horizontal="center" vertical="center" wrapText="1"/>
    </xf>
    <xf numFmtId="0" fontId="5" fillId="21" borderId="73" xfId="0" applyFont="1" applyFill="1" applyBorder="1" applyAlignment="1">
      <alignment horizontal="center" vertical="center" wrapText="1"/>
    </xf>
    <xf numFmtId="0" fontId="5" fillId="21" borderId="0" xfId="0" applyFont="1" applyFill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5" fillId="21" borderId="65" xfId="0" applyFont="1" applyFill="1" applyBorder="1" applyAlignment="1">
      <alignment horizontal="center" vertical="center" wrapText="1"/>
    </xf>
    <xf numFmtId="0" fontId="5" fillId="21" borderId="72" xfId="0" applyFont="1" applyFill="1" applyBorder="1" applyAlignment="1">
      <alignment horizontal="center" vertical="center" wrapText="1"/>
    </xf>
    <xf numFmtId="0" fontId="5" fillId="21" borderId="76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67" xfId="0" applyFont="1" applyFill="1" applyBorder="1" applyAlignment="1">
      <alignment horizontal="center" vertical="center" wrapText="1"/>
    </xf>
    <xf numFmtId="0" fontId="5" fillId="21" borderId="68" xfId="0" applyFont="1" applyFill="1" applyBorder="1" applyAlignment="1">
      <alignment horizontal="center" vertical="center" wrapText="1"/>
    </xf>
    <xf numFmtId="0" fontId="5" fillId="21" borderId="69" xfId="0" applyFont="1" applyFill="1" applyBorder="1" applyAlignment="1">
      <alignment horizontal="center" vertical="center" wrapText="1"/>
    </xf>
    <xf numFmtId="0" fontId="5" fillId="21" borderId="74" xfId="0" applyFont="1" applyFill="1" applyBorder="1" applyAlignment="1">
      <alignment horizontal="center" vertical="center" wrapText="1"/>
    </xf>
    <xf numFmtId="0" fontId="5" fillId="21" borderId="49" xfId="0" applyFont="1" applyFill="1" applyBorder="1" applyAlignment="1">
      <alignment horizontal="center" vertical="center" wrapText="1"/>
    </xf>
    <xf numFmtId="0" fontId="26" fillId="21" borderId="69" xfId="0" applyFont="1" applyFill="1" applyBorder="1" applyAlignment="1">
      <alignment horizontal="center" vertical="center" wrapText="1"/>
    </xf>
    <xf numFmtId="0" fontId="26" fillId="21" borderId="74" xfId="0" applyFont="1" applyFill="1" applyBorder="1" applyAlignment="1">
      <alignment horizontal="center" vertical="center" wrapText="1"/>
    </xf>
    <xf numFmtId="0" fontId="50" fillId="34" borderId="29" xfId="0" applyFont="1" applyFill="1" applyBorder="1" applyAlignment="1">
      <alignment horizontal="center" vertical="center" wrapText="1"/>
    </xf>
    <xf numFmtId="0" fontId="50" fillId="34" borderId="39" xfId="0" applyFont="1" applyFill="1" applyBorder="1" applyAlignment="1">
      <alignment horizontal="center" vertical="center" wrapText="1"/>
    </xf>
    <xf numFmtId="0" fontId="50" fillId="34" borderId="40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50" fillId="34" borderId="8" xfId="0" applyFont="1" applyFill="1" applyBorder="1" applyAlignment="1">
      <alignment horizontal="center" vertical="center" wrapText="1"/>
    </xf>
    <xf numFmtId="0" fontId="50" fillId="34" borderId="9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49" fillId="34" borderId="3" xfId="0" applyFont="1" applyFill="1" applyBorder="1" applyAlignment="1">
      <alignment horizontal="center" vertical="center" wrapText="1"/>
    </xf>
    <xf numFmtId="0" fontId="49" fillId="34" borderId="5" xfId="0" applyFont="1" applyFill="1" applyBorder="1" applyAlignment="1">
      <alignment horizontal="center" vertical="center" wrapText="1"/>
    </xf>
    <xf numFmtId="0" fontId="61" fillId="42" borderId="152" xfId="0" applyFont="1" applyFill="1" applyBorder="1" applyAlignment="1">
      <alignment horizontal="center" vertical="center" wrapText="1"/>
    </xf>
    <xf numFmtId="0" fontId="61" fillId="42" borderId="153" xfId="0" applyFont="1" applyFill="1" applyBorder="1" applyAlignment="1">
      <alignment horizontal="center" vertical="center" wrapText="1"/>
    </xf>
    <xf numFmtId="0" fontId="48" fillId="34" borderId="3" xfId="0" applyFont="1" applyFill="1" applyBorder="1" applyAlignment="1">
      <alignment horizontal="center" vertical="center" wrapText="1"/>
    </xf>
    <xf numFmtId="0" fontId="48" fillId="34" borderId="4" xfId="0" applyFont="1" applyFill="1" applyBorder="1" applyAlignment="1">
      <alignment horizontal="center" vertical="center" wrapText="1"/>
    </xf>
    <xf numFmtId="0" fontId="48" fillId="34" borderId="5" xfId="0" applyFont="1" applyFill="1" applyBorder="1" applyAlignment="1">
      <alignment horizontal="center" vertical="center" wrapText="1"/>
    </xf>
    <xf numFmtId="0" fontId="60" fillId="42" borderId="100" xfId="0" applyFont="1" applyFill="1" applyBorder="1" applyAlignment="1">
      <alignment horizontal="center" vertical="center" wrapText="1"/>
    </xf>
    <xf numFmtId="0" fontId="60" fillId="42" borderId="101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vertical="center" wrapText="1"/>
    </xf>
    <xf numFmtId="0" fontId="17" fillId="0" borderId="43" xfId="0" applyFont="1" applyBorder="1" applyAlignment="1">
      <alignment horizontal="center" vertical="center" textRotation="90"/>
    </xf>
    <xf numFmtId="0" fontId="17" fillId="0" borderId="41" xfId="0" applyFont="1" applyBorder="1" applyAlignment="1">
      <alignment horizontal="center" vertical="center" textRotation="90"/>
    </xf>
    <xf numFmtId="10" fontId="44" fillId="17" borderId="15" xfId="2" applyNumberFormat="1" applyFont="1" applyFill="1" applyBorder="1" applyAlignment="1" applyProtection="1">
      <alignment horizontal="center" vertical="center"/>
      <protection locked="0"/>
    </xf>
    <xf numFmtId="10" fontId="44" fillId="17" borderId="14" xfId="2" applyNumberFormat="1" applyFont="1" applyFill="1" applyBorder="1" applyAlignment="1" applyProtection="1">
      <alignment horizontal="center" vertical="center"/>
      <protection locked="0"/>
    </xf>
    <xf numFmtId="10" fontId="44" fillId="17" borderId="94" xfId="2" applyNumberFormat="1" applyFont="1" applyFill="1" applyBorder="1" applyAlignment="1" applyProtection="1">
      <alignment horizontal="center" vertical="center"/>
      <protection locked="0"/>
    </xf>
    <xf numFmtId="0" fontId="21" fillId="9" borderId="9" xfId="0" applyFont="1" applyFill="1" applyBorder="1" applyAlignment="1">
      <alignment vertical="center" wrapText="1"/>
    </xf>
    <xf numFmtId="168" fontId="11" fillId="26" borderId="166" xfId="2" applyNumberFormat="1" applyFont="1" applyFill="1" applyBorder="1" applyAlignment="1" applyProtection="1">
      <alignment horizontal="center" vertical="center"/>
    </xf>
    <xf numFmtId="168" fontId="11" fillId="26" borderId="167" xfId="2" applyNumberFormat="1" applyFont="1" applyFill="1" applyBorder="1" applyAlignment="1" applyProtection="1">
      <alignment horizontal="center" vertical="center"/>
    </xf>
    <xf numFmtId="168" fontId="11" fillId="26" borderId="168" xfId="2" applyNumberFormat="1" applyFont="1" applyFill="1" applyBorder="1" applyAlignment="1" applyProtection="1">
      <alignment horizontal="center" vertical="center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42" xfId="0" applyFont="1" applyBorder="1" applyAlignment="1">
      <alignment horizontal="right" vertical="center" textRotation="90" wrapText="1"/>
    </xf>
    <xf numFmtId="0" fontId="17" fillId="0" borderId="43" xfId="0" applyFont="1" applyBorder="1" applyAlignment="1">
      <alignment horizontal="right" vertical="center" textRotation="90" wrapText="1"/>
    </xf>
    <xf numFmtId="0" fontId="21" fillId="9" borderId="0" xfId="0" applyFont="1" applyFill="1" applyAlignment="1">
      <alignment vertical="center" wrapText="1"/>
    </xf>
    <xf numFmtId="0" fontId="21" fillId="9" borderId="7" xfId="0" applyFont="1" applyFill="1" applyBorder="1" applyAlignment="1">
      <alignment vertical="center" wrapText="1"/>
    </xf>
    <xf numFmtId="17" fontId="5" fillId="26" borderId="14" xfId="0" applyNumberFormat="1" applyFont="1" applyFill="1" applyBorder="1" applyAlignment="1">
      <alignment horizontal="left"/>
    </xf>
    <xf numFmtId="167" fontId="5" fillId="26" borderId="14" xfId="0" applyNumberFormat="1" applyFont="1" applyFill="1" applyBorder="1" applyAlignment="1">
      <alignment horizontal="left"/>
    </xf>
    <xf numFmtId="0" fontId="5" fillId="23" borderId="68" xfId="0" applyFont="1" applyFill="1" applyBorder="1" applyAlignment="1">
      <alignment horizontal="center" vertical="center" wrapText="1"/>
    </xf>
    <xf numFmtId="0" fontId="5" fillId="23" borderId="70" xfId="0" applyFont="1" applyFill="1" applyBorder="1" applyAlignment="1">
      <alignment horizontal="center" vertical="center" wrapText="1"/>
    </xf>
    <xf numFmtId="0" fontId="5" fillId="23" borderId="107" xfId="0" applyFont="1" applyFill="1" applyBorder="1" applyAlignment="1">
      <alignment horizontal="center" vertical="center" wrapText="1"/>
    </xf>
    <xf numFmtId="168" fontId="11" fillId="26" borderId="133" xfId="2" applyNumberFormat="1" applyFont="1" applyFill="1" applyBorder="1" applyAlignment="1" applyProtection="1">
      <alignment horizontal="center" vertical="center"/>
    </xf>
    <xf numFmtId="0" fontId="10" fillId="32" borderId="0" xfId="0" applyFont="1" applyFill="1" applyAlignment="1">
      <alignment horizontal="center"/>
    </xf>
    <xf numFmtId="0" fontId="18" fillId="17" borderId="40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0" fontId="21" fillId="9" borderId="8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10" fontId="44" fillId="17" borderId="11" xfId="2" applyNumberFormat="1" applyFont="1" applyFill="1" applyBorder="1" applyAlignment="1" applyProtection="1">
      <alignment horizontal="center" vertical="center"/>
      <protection locked="0"/>
    </xf>
    <xf numFmtId="10" fontId="44" fillId="17" borderId="25" xfId="2" applyNumberFormat="1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22"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gradientFill>
          <stop position="0">
            <color rgb="FFFFC000"/>
          </stop>
          <stop position="1">
            <color rgb="FFC00000"/>
          </stop>
        </gradientFill>
      </fill>
    </dxf>
    <dxf>
      <fill>
        <patternFill>
          <bgColor rgb="FFFFFF00"/>
        </patternFill>
      </fill>
    </dxf>
    <dxf>
      <font>
        <color rgb="FFC80000"/>
      </font>
      <fill>
        <patternFill patternType="none">
          <bgColor auto="1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rgb="FF99FF99"/>
        </patternFill>
      </fill>
    </dxf>
    <dxf>
      <fill>
        <patternFill>
          <bgColor rgb="FFFFFF0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640000"/>
      <color rgb="FFC80000"/>
      <color rgb="FFE67800"/>
      <color rgb="FFFAE61E"/>
      <color rgb="FFCDFACD"/>
      <color rgb="FF99FF99"/>
      <color rgb="FF8EFA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2114550</xdr:colOff>
          <xdr:row>0</xdr:row>
          <xdr:rowOff>190500</xdr:rowOff>
        </xdr:from>
        <xdr:to>
          <xdr:col>3</xdr:col>
          <xdr:colOff>3400425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Cliquer Ici pour remplir automatiquement 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2"/>
  <sheetViews>
    <sheetView view="pageBreakPreview" zoomScale="90" zoomScaleNormal="115" zoomScaleSheetLayoutView="90" workbookViewId="0">
      <selection activeCell="F3" sqref="F3"/>
    </sheetView>
  </sheetViews>
  <sheetFormatPr defaultColWidth="11.5703125" defaultRowHeight="15" x14ac:dyDescent="0.25"/>
  <cols>
    <col min="1" max="1" width="20.5703125" style="149" customWidth="1"/>
    <col min="2" max="2" width="34.42578125" customWidth="1"/>
    <col min="3" max="3" width="39.5703125" customWidth="1"/>
    <col min="4" max="4" width="52" customWidth="1"/>
    <col min="5" max="5" width="15.85546875" customWidth="1"/>
    <col min="6" max="6" width="13.5703125" customWidth="1"/>
    <col min="7" max="7" width="13.42578125" customWidth="1"/>
  </cols>
  <sheetData>
    <row r="1" spans="1:7" ht="26.25" x14ac:dyDescent="0.4">
      <c r="A1" s="554" t="s">
        <v>151</v>
      </c>
      <c r="B1" s="555"/>
      <c r="C1" s="555"/>
      <c r="D1" s="555"/>
      <c r="E1" s="555"/>
      <c r="F1" s="555"/>
      <c r="G1" s="555"/>
    </row>
    <row r="2" spans="1:7" ht="15.75" x14ac:dyDescent="0.25">
      <c r="A2" s="146"/>
      <c r="B2" s="70"/>
      <c r="C2" s="70"/>
      <c r="D2" s="70"/>
      <c r="E2" s="72" t="s">
        <v>150</v>
      </c>
      <c r="F2" s="239" t="s">
        <v>270</v>
      </c>
      <c r="G2" s="72"/>
    </row>
    <row r="3" spans="1:7" ht="15.75" x14ac:dyDescent="0.25">
      <c r="A3" s="406" t="s">
        <v>0</v>
      </c>
      <c r="B3" s="74"/>
      <c r="C3" s="74"/>
      <c r="D3" s="85"/>
      <c r="E3" s="72"/>
      <c r="F3" s="72"/>
      <c r="G3" s="72"/>
    </row>
    <row r="4" spans="1:7" ht="28.5" customHeight="1" x14ac:dyDescent="0.25">
      <c r="A4" s="240" t="s">
        <v>37</v>
      </c>
      <c r="B4" s="439" t="s">
        <v>264</v>
      </c>
      <c r="C4" s="76"/>
      <c r="D4" s="85"/>
      <c r="E4" s="72"/>
      <c r="F4" s="72"/>
      <c r="G4" s="72"/>
    </row>
    <row r="5" spans="1:7" ht="63.95" customHeight="1" thickBot="1" x14ac:dyDescent="0.3">
      <c r="A5" s="147" t="s">
        <v>216</v>
      </c>
      <c r="B5" s="88" t="s">
        <v>142</v>
      </c>
      <c r="C5" s="88" t="s">
        <v>5</v>
      </c>
      <c r="D5" s="145" t="s">
        <v>10</v>
      </c>
      <c r="E5" s="86" t="s">
        <v>146</v>
      </c>
      <c r="F5" s="86" t="s">
        <v>7</v>
      </c>
      <c r="G5" s="87" t="s">
        <v>252</v>
      </c>
    </row>
    <row r="6" spans="1:7" x14ac:dyDescent="0.25">
      <c r="A6" s="225"/>
      <c r="B6" s="438"/>
      <c r="C6" s="226"/>
      <c r="D6" s="226"/>
      <c r="E6" s="227"/>
      <c r="F6" s="440"/>
      <c r="G6" s="227"/>
    </row>
    <row r="7" spans="1:7" x14ac:dyDescent="0.25">
      <c r="A7" s="225"/>
      <c r="B7" s="226"/>
      <c r="C7" s="226"/>
      <c r="D7" s="226"/>
      <c r="E7" s="227"/>
      <c r="F7" s="441"/>
      <c r="G7" s="227"/>
    </row>
    <row r="8" spans="1:7" x14ac:dyDescent="0.25">
      <c r="A8" s="225"/>
      <c r="B8" s="226"/>
      <c r="C8" s="226"/>
      <c r="D8" s="226"/>
      <c r="E8" s="227"/>
      <c r="F8" s="440"/>
      <c r="G8" s="227"/>
    </row>
    <row r="9" spans="1:7" x14ac:dyDescent="0.25">
      <c r="A9" s="225"/>
      <c r="B9" s="226"/>
      <c r="C9" s="226"/>
      <c r="D9" s="226"/>
      <c r="E9" s="227"/>
      <c r="F9" s="440"/>
      <c r="G9" s="227"/>
    </row>
    <row r="10" spans="1:7" x14ac:dyDescent="0.25">
      <c r="A10" s="225"/>
      <c r="B10" s="226"/>
      <c r="C10" s="226"/>
      <c r="D10" s="226"/>
      <c r="E10" s="227"/>
      <c r="F10" s="440"/>
      <c r="G10" s="227"/>
    </row>
    <row r="11" spans="1:7" x14ac:dyDescent="0.25">
      <c r="A11" s="225"/>
      <c r="B11" s="226"/>
      <c r="C11" s="226"/>
      <c r="D11" s="226"/>
      <c r="E11" s="440"/>
      <c r="F11" s="440"/>
      <c r="G11" s="227"/>
    </row>
    <row r="12" spans="1:7" x14ac:dyDescent="0.25">
      <c r="A12" s="225"/>
      <c r="B12" s="226"/>
      <c r="C12" s="226"/>
      <c r="D12" s="226"/>
      <c r="E12" s="227"/>
      <c r="F12" s="440"/>
      <c r="G12" s="227"/>
    </row>
    <row r="13" spans="1:7" x14ac:dyDescent="0.25">
      <c r="A13" s="225"/>
      <c r="B13" s="226"/>
      <c r="C13" s="226"/>
      <c r="D13" s="226"/>
      <c r="E13" s="227"/>
      <c r="F13" s="440"/>
      <c r="G13" s="227"/>
    </row>
    <row r="14" spans="1:7" x14ac:dyDescent="0.25">
      <c r="A14" s="229"/>
      <c r="B14" s="226"/>
      <c r="C14" s="226"/>
      <c r="D14" s="226"/>
      <c r="E14" s="440"/>
      <c r="F14" s="440"/>
      <c r="G14" s="227"/>
    </row>
    <row r="15" spans="1:7" x14ac:dyDescent="0.25">
      <c r="A15" s="229"/>
      <c r="B15" s="226"/>
      <c r="C15" s="226"/>
      <c r="D15" s="226"/>
      <c r="E15" s="440"/>
      <c r="F15" s="440"/>
      <c r="G15" s="227"/>
    </row>
    <row r="16" spans="1:7" x14ac:dyDescent="0.25">
      <c r="A16" s="229"/>
      <c r="B16" s="226"/>
      <c r="C16" s="226"/>
      <c r="D16" s="226"/>
      <c r="E16" s="440"/>
      <c r="F16" s="440"/>
      <c r="G16" s="227"/>
    </row>
    <row r="17" spans="1:7" x14ac:dyDescent="0.25">
      <c r="A17" s="229"/>
      <c r="B17" s="226"/>
      <c r="C17" s="226"/>
      <c r="D17" s="226"/>
      <c r="E17" s="227"/>
      <c r="F17" s="227"/>
      <c r="G17" s="228"/>
    </row>
    <row r="18" spans="1:7" x14ac:dyDescent="0.25">
      <c r="A18" s="229"/>
      <c r="B18" s="226"/>
      <c r="C18" s="226"/>
      <c r="D18" s="226"/>
      <c r="E18" s="227"/>
      <c r="F18" s="227"/>
      <c r="G18" s="228"/>
    </row>
    <row r="19" spans="1:7" x14ac:dyDescent="0.25">
      <c r="A19" s="229"/>
      <c r="B19" s="226"/>
      <c r="C19" s="226"/>
      <c r="D19" s="226"/>
      <c r="E19" s="227"/>
      <c r="F19" s="227"/>
      <c r="G19" s="228"/>
    </row>
    <row r="20" spans="1:7" x14ac:dyDescent="0.25">
      <c r="A20" s="229"/>
      <c r="B20" s="226"/>
      <c r="C20" s="226"/>
      <c r="D20" s="226"/>
      <c r="E20" s="227"/>
      <c r="F20" s="227"/>
      <c r="G20" s="228"/>
    </row>
    <row r="21" spans="1:7" x14ac:dyDescent="0.25">
      <c r="A21" s="229"/>
      <c r="B21" s="226"/>
      <c r="C21" s="226"/>
      <c r="D21" s="226"/>
      <c r="E21" s="227"/>
      <c r="F21" s="227"/>
      <c r="G21" s="228"/>
    </row>
    <row r="22" spans="1:7" x14ac:dyDescent="0.25">
      <c r="A22" s="229"/>
      <c r="B22" s="226"/>
      <c r="C22" s="226"/>
      <c r="D22" s="226"/>
      <c r="E22" s="227"/>
      <c r="F22" s="227"/>
      <c r="G22" s="228"/>
    </row>
    <row r="23" spans="1:7" x14ac:dyDescent="0.25">
      <c r="A23" s="229"/>
      <c r="B23" s="226"/>
      <c r="C23" s="226"/>
      <c r="D23" s="226"/>
      <c r="E23" s="227"/>
      <c r="F23" s="227"/>
      <c r="G23" s="228"/>
    </row>
    <row r="24" spans="1:7" x14ac:dyDescent="0.25">
      <c r="A24" s="229"/>
      <c r="B24" s="226"/>
      <c r="C24" s="226"/>
      <c r="D24" s="226"/>
      <c r="E24" s="227"/>
      <c r="F24" s="227"/>
      <c r="G24" s="228"/>
    </row>
    <row r="25" spans="1:7" ht="15.75" x14ac:dyDescent="0.25">
      <c r="A25" s="230"/>
      <c r="B25" s="226"/>
      <c r="C25" s="226"/>
      <c r="D25" s="226"/>
      <c r="E25" s="231"/>
      <c r="F25" s="231"/>
      <c r="G25" s="232"/>
    </row>
    <row r="26" spans="1:7" ht="15.75" x14ac:dyDescent="0.25">
      <c r="A26" s="230"/>
      <c r="B26" s="226"/>
      <c r="C26" s="226"/>
      <c r="D26" s="226"/>
      <c r="E26" s="231"/>
      <c r="F26" s="231"/>
      <c r="G26" s="232"/>
    </row>
    <row r="27" spans="1:7" ht="15.75" x14ac:dyDescent="0.25">
      <c r="A27" s="230"/>
      <c r="B27" s="233"/>
      <c r="C27" s="233"/>
      <c r="D27" s="233"/>
      <c r="E27" s="231"/>
      <c r="F27" s="231"/>
      <c r="G27" s="232"/>
    </row>
    <row r="28" spans="1:7" ht="15.75" x14ac:dyDescent="0.25">
      <c r="A28" s="230"/>
      <c r="B28" s="233"/>
      <c r="C28" s="233"/>
      <c r="D28" s="233"/>
      <c r="E28" s="231"/>
      <c r="F28" s="231"/>
      <c r="G28" s="232"/>
    </row>
    <row r="29" spans="1:7" ht="15.75" x14ac:dyDescent="0.25">
      <c r="A29" s="230"/>
      <c r="B29" s="233"/>
      <c r="C29" s="233"/>
      <c r="D29" s="233"/>
      <c r="E29" s="231"/>
      <c r="F29" s="231"/>
      <c r="G29" s="232"/>
    </row>
    <row r="30" spans="1:7" ht="15.75" x14ac:dyDescent="0.25">
      <c r="A30" s="230"/>
      <c r="B30" s="233"/>
      <c r="C30" s="233"/>
      <c r="D30" s="233"/>
      <c r="E30" s="231"/>
      <c r="F30" s="231"/>
      <c r="G30" s="232"/>
    </row>
    <row r="31" spans="1:7" ht="15.75" x14ac:dyDescent="0.25">
      <c r="A31" s="229"/>
      <c r="B31" s="233"/>
      <c r="C31" s="233"/>
      <c r="D31" s="233"/>
      <c r="E31" s="231"/>
      <c r="F31" s="231"/>
      <c r="G31" s="232"/>
    </row>
    <row r="32" spans="1:7" ht="15.75" x14ac:dyDescent="0.25">
      <c r="A32" s="148"/>
      <c r="B32" s="7"/>
      <c r="C32" s="7"/>
      <c r="D32" s="7"/>
      <c r="E32" s="7"/>
      <c r="F32" s="7"/>
      <c r="G32" s="7"/>
    </row>
  </sheetData>
  <sheetProtection formatCells="0" formatColumns="0" formatRows="0" insertRows="0"/>
  <protectedRanges>
    <protectedRange sqref="A6:G31" name="Range1"/>
    <protectedRange sqref="B4" name="Range2"/>
    <protectedRange sqref="F2" name="Range3"/>
  </protectedRanges>
  <mergeCells count="1">
    <mergeCell ref="A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dre_Harmonise">
                <anchor moveWithCells="1" sizeWithCells="1">
                  <from>
                    <xdr:col>2</xdr:col>
                    <xdr:colOff>2114550</xdr:colOff>
                    <xdr:row>0</xdr:row>
                    <xdr:rowOff>190500</xdr:rowOff>
                  </from>
                  <to>
                    <xdr:col>3</xdr:col>
                    <xdr:colOff>3400425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zoomScale="80" zoomScaleNormal="80" zoomScaleSheetLayoutView="100" workbookViewId="0">
      <selection activeCell="H15" sqref="H15:J16"/>
    </sheetView>
  </sheetViews>
  <sheetFormatPr defaultColWidth="11.5703125" defaultRowHeight="15" x14ac:dyDescent="0.25"/>
  <cols>
    <col min="1" max="1" width="11.5703125" style="489"/>
    <col min="2" max="2" width="15.7109375" style="489" customWidth="1"/>
    <col min="3" max="3" width="18.5703125" style="489" customWidth="1"/>
    <col min="4" max="4" width="13.42578125" style="489" customWidth="1"/>
    <col min="5" max="5" width="18.85546875" style="489" customWidth="1"/>
    <col min="6" max="6" width="12.140625" style="489" customWidth="1"/>
    <col min="7" max="7" width="0.5703125" style="489" customWidth="1"/>
    <col min="8" max="8" width="14" style="489" bestFit="1" customWidth="1"/>
    <col min="9" max="9" width="11.5703125" style="489"/>
    <col min="10" max="10" width="21.42578125" style="489" customWidth="1"/>
    <col min="11" max="11" width="20.28515625" style="489" customWidth="1"/>
    <col min="12" max="12" width="15.5703125" style="489" customWidth="1"/>
    <col min="13" max="13" width="15.85546875" style="489" customWidth="1"/>
    <col min="14" max="14" width="13.140625" style="489" customWidth="1"/>
    <col min="15" max="15" width="15.140625" style="489" customWidth="1"/>
    <col min="16" max="16" width="11.5703125" style="489"/>
    <col min="17" max="17" width="16.7109375" style="489" customWidth="1"/>
    <col min="18" max="16384" width="11.5703125" style="489"/>
  </cols>
  <sheetData>
    <row r="1" spans="1:15" ht="15.75" thickBot="1" x14ac:dyDescent="0.3"/>
    <row r="2" spans="1:15" ht="21.75" thickBot="1" x14ac:dyDescent="0.4">
      <c r="A2" s="490" t="s">
        <v>144</v>
      </c>
      <c r="B2" s="491"/>
      <c r="C2" s="491"/>
      <c r="D2" s="491"/>
      <c r="E2" s="491"/>
      <c r="F2" s="491"/>
      <c r="G2" s="491"/>
      <c r="H2" s="491" t="s">
        <v>37</v>
      </c>
      <c r="I2" s="491"/>
      <c r="J2" s="491" t="s">
        <v>38</v>
      </c>
      <c r="K2" s="492"/>
      <c r="L2" s="491"/>
      <c r="M2" s="491" t="s">
        <v>32</v>
      </c>
      <c r="N2" s="492"/>
      <c r="O2" s="493"/>
    </row>
    <row r="3" spans="1:15" ht="15.75" thickBot="1" x14ac:dyDescent="0.3">
      <c r="A3" s="494"/>
      <c r="B3" s="495"/>
      <c r="C3" s="495" t="s">
        <v>258</v>
      </c>
      <c r="D3" s="495"/>
      <c r="E3" s="495"/>
      <c r="F3" s="495"/>
      <c r="G3" s="495"/>
      <c r="H3" s="495"/>
      <c r="I3" s="491"/>
      <c r="J3" s="491"/>
      <c r="K3" s="491"/>
      <c r="L3" s="491"/>
      <c r="M3" s="491"/>
      <c r="N3" s="491"/>
      <c r="O3" s="493"/>
    </row>
    <row r="4" spans="1:15" x14ac:dyDescent="0.25">
      <c r="A4" s="496"/>
      <c r="B4" s="497"/>
      <c r="C4" s="497"/>
      <c r="D4" s="497"/>
      <c r="E4" s="497"/>
      <c r="F4" s="497"/>
      <c r="G4" s="497"/>
      <c r="H4" s="497"/>
      <c r="I4" s="498" t="s">
        <v>152</v>
      </c>
      <c r="J4" s="499"/>
      <c r="K4" s="499"/>
      <c r="L4" s="499"/>
      <c r="M4" s="499"/>
      <c r="N4" s="499"/>
      <c r="O4" s="500"/>
    </row>
    <row r="5" spans="1:15" x14ac:dyDescent="0.25">
      <c r="A5" s="501" t="s">
        <v>0</v>
      </c>
      <c r="B5" s="502"/>
      <c r="C5" s="544" t="str">
        <f>'Tabl 1-A Relevé des sources'!$F$2</f>
        <v>TCHAD</v>
      </c>
      <c r="D5" s="502"/>
      <c r="E5" s="503"/>
      <c r="F5" s="504"/>
      <c r="G5" s="502"/>
      <c r="H5" s="502"/>
      <c r="I5" s="505"/>
      <c r="J5" s="506"/>
      <c r="K5" s="506"/>
      <c r="L5" s="506"/>
      <c r="M5" s="506" t="s">
        <v>153</v>
      </c>
      <c r="N5" s="506"/>
      <c r="O5" s="507"/>
    </row>
    <row r="6" spans="1:15" x14ac:dyDescent="0.25">
      <c r="A6" s="508" t="s">
        <v>1</v>
      </c>
      <c r="B6" s="509"/>
      <c r="C6" s="492"/>
      <c r="D6" s="509"/>
      <c r="E6" s="503" t="s">
        <v>39</v>
      </c>
      <c r="F6" s="510"/>
      <c r="G6" s="509"/>
      <c r="H6" s="509"/>
      <c r="I6" s="505" t="s">
        <v>208</v>
      </c>
      <c r="J6" s="506"/>
      <c r="K6" s="511"/>
      <c r="L6" s="506"/>
      <c r="M6" s="580"/>
      <c r="N6" s="581"/>
      <c r="O6" s="581"/>
    </row>
    <row r="7" spans="1:15" x14ac:dyDescent="0.25">
      <c r="A7" s="508" t="s">
        <v>2</v>
      </c>
      <c r="B7" s="509"/>
      <c r="C7" s="492"/>
      <c r="D7" s="509"/>
      <c r="E7" s="502"/>
      <c r="F7" s="512"/>
      <c r="G7" s="509"/>
      <c r="H7" s="509"/>
      <c r="I7" s="505" t="s">
        <v>209</v>
      </c>
      <c r="J7" s="506"/>
      <c r="K7" s="513"/>
      <c r="L7" s="506"/>
      <c r="M7" s="581"/>
      <c r="N7" s="581"/>
      <c r="O7" s="581"/>
    </row>
    <row r="8" spans="1:15" x14ac:dyDescent="0.25">
      <c r="A8" s="496"/>
      <c r="B8" s="497"/>
      <c r="C8" s="497"/>
      <c r="D8" s="497"/>
      <c r="E8" s="497"/>
      <c r="F8" s="497"/>
      <c r="G8" s="497"/>
      <c r="H8" s="497"/>
      <c r="I8" s="505" t="s">
        <v>210</v>
      </c>
      <c r="J8" s="506"/>
      <c r="K8" s="513"/>
      <c r="L8" s="506"/>
      <c r="M8" s="581"/>
      <c r="N8" s="581"/>
      <c r="O8" s="581"/>
    </row>
    <row r="9" spans="1:15" ht="48" customHeight="1" thickBot="1" x14ac:dyDescent="0.3">
      <c r="A9" s="501" t="s">
        <v>3</v>
      </c>
      <c r="B9" s="502"/>
      <c r="C9" s="545" t="str">
        <f>'Tabl 1-A Relevé des sources'!$B$4</f>
        <v>Fevrier 2020</v>
      </c>
      <c r="D9" s="502"/>
      <c r="E9" s="502"/>
      <c r="F9" s="502"/>
      <c r="G9" s="502"/>
      <c r="H9" s="502"/>
      <c r="I9" s="514" t="s">
        <v>250</v>
      </c>
      <c r="J9" s="515"/>
      <c r="K9" s="513"/>
      <c r="L9" s="506"/>
      <c r="M9" s="582"/>
      <c r="N9" s="582"/>
      <c r="O9" s="582"/>
    </row>
    <row r="10" spans="1:15" x14ac:dyDescent="0.25">
      <c r="A10" s="516"/>
      <c r="B10" s="517"/>
      <c r="C10" s="517"/>
      <c r="D10" s="517"/>
      <c r="E10" s="517"/>
      <c r="F10" s="517"/>
      <c r="G10" s="517"/>
      <c r="H10" s="518"/>
      <c r="I10" s="519"/>
      <c r="J10" s="519"/>
      <c r="K10" s="517"/>
      <c r="L10" s="517"/>
      <c r="M10" s="517"/>
      <c r="N10" s="517"/>
      <c r="O10" s="517"/>
    </row>
    <row r="11" spans="1:15" x14ac:dyDescent="0.25">
      <c r="A11" s="497"/>
      <c r="B11" s="517"/>
      <c r="C11" s="517"/>
      <c r="D11" s="517"/>
      <c r="E11" s="517"/>
      <c r="F11" s="517"/>
      <c r="G11" s="520"/>
      <c r="H11" s="583" t="s">
        <v>154</v>
      </c>
      <c r="I11" s="583"/>
      <c r="J11" s="583"/>
      <c r="K11" s="521" t="s">
        <v>217</v>
      </c>
      <c r="L11" s="521" t="s">
        <v>218</v>
      </c>
      <c r="M11" s="521" t="s">
        <v>219</v>
      </c>
      <c r="N11" s="517"/>
      <c r="O11" s="517"/>
    </row>
    <row r="12" spans="1:15" x14ac:dyDescent="0.25">
      <c r="A12" s="496"/>
      <c r="B12" s="497"/>
      <c r="C12" s="497"/>
      <c r="D12" s="516" t="s">
        <v>35</v>
      </c>
      <c r="E12" s="497"/>
      <c r="F12" s="497"/>
      <c r="G12" s="497"/>
      <c r="H12" s="522" t="s">
        <v>38</v>
      </c>
      <c r="I12" s="523" t="s">
        <v>36</v>
      </c>
      <c r="J12" s="524"/>
      <c r="K12" s="525"/>
      <c r="L12" s="525"/>
      <c r="M12" s="525"/>
      <c r="N12" s="517"/>
      <c r="O12" s="517"/>
    </row>
    <row r="13" spans="1:15" x14ac:dyDescent="0.25">
      <c r="A13" s="496"/>
      <c r="B13" s="497"/>
      <c r="C13" s="497"/>
      <c r="D13" s="497"/>
      <c r="E13" s="497"/>
      <c r="F13" s="497"/>
      <c r="G13" s="497"/>
      <c r="H13" s="526" t="s">
        <v>32</v>
      </c>
      <c r="I13" s="523" t="s">
        <v>36</v>
      </c>
      <c r="J13" s="524"/>
      <c r="K13" s="525"/>
      <c r="L13" s="525"/>
      <c r="M13" s="525"/>
      <c r="N13" s="517"/>
      <c r="O13" s="517"/>
    </row>
    <row r="14" spans="1:15" ht="23.25" customHeight="1" thickBot="1" x14ac:dyDescent="0.3">
      <c r="A14" s="591"/>
      <c r="B14" s="592"/>
      <c r="C14" s="592"/>
      <c r="D14" s="592"/>
      <c r="E14" s="592"/>
      <c r="F14" s="592"/>
      <c r="G14" s="592"/>
      <c r="H14" s="592"/>
      <c r="I14" s="592"/>
      <c r="J14" s="592"/>
      <c r="K14" s="592"/>
      <c r="L14" s="592"/>
      <c r="M14" s="592"/>
      <c r="N14" s="592"/>
      <c r="O14" s="593"/>
    </row>
    <row r="15" spans="1:15" s="528" customFormat="1" ht="29.1" customHeight="1" x14ac:dyDescent="0.25">
      <c r="A15" s="586" t="s">
        <v>15</v>
      </c>
      <c r="B15" s="584" t="s">
        <v>34</v>
      </c>
      <c r="C15" s="561" t="s">
        <v>133</v>
      </c>
      <c r="D15" s="562"/>
      <c r="E15" s="562"/>
      <c r="F15" s="563"/>
      <c r="G15" s="527"/>
      <c r="H15" s="561" t="s">
        <v>130</v>
      </c>
      <c r="I15" s="562"/>
      <c r="J15" s="563"/>
      <c r="K15" s="588" t="s">
        <v>45</v>
      </c>
      <c r="L15" s="589"/>
      <c r="M15" s="589"/>
      <c r="N15" s="589"/>
      <c r="O15" s="590"/>
    </row>
    <row r="16" spans="1:15" s="528" customFormat="1" ht="29.1" customHeight="1" x14ac:dyDescent="0.25">
      <c r="A16" s="587"/>
      <c r="B16" s="585"/>
      <c r="C16" s="564"/>
      <c r="D16" s="565"/>
      <c r="E16" s="565"/>
      <c r="F16" s="566"/>
      <c r="G16" s="527"/>
      <c r="H16" s="564"/>
      <c r="I16" s="565"/>
      <c r="J16" s="566"/>
      <c r="K16" s="527" t="s">
        <v>43</v>
      </c>
      <c r="L16" s="527" t="s">
        <v>42</v>
      </c>
      <c r="M16" s="527" t="s">
        <v>40</v>
      </c>
      <c r="N16" s="527" t="s">
        <v>41</v>
      </c>
      <c r="O16" s="527" t="s">
        <v>44</v>
      </c>
    </row>
    <row r="17" spans="1:16" s="533" customFormat="1" ht="393" customHeight="1" x14ac:dyDescent="0.25">
      <c r="A17" s="556" t="s">
        <v>46</v>
      </c>
      <c r="B17" s="529"/>
      <c r="C17" s="572"/>
      <c r="D17" s="568"/>
      <c r="E17" s="568"/>
      <c r="F17" s="573"/>
      <c r="G17" s="530"/>
      <c r="H17" s="567"/>
      <c r="I17" s="568"/>
      <c r="J17" s="568"/>
      <c r="K17" s="531"/>
      <c r="L17" s="531"/>
      <c r="M17" s="531"/>
      <c r="N17" s="531"/>
      <c r="O17" s="532"/>
    </row>
    <row r="18" spans="1:16" ht="294" customHeight="1" x14ac:dyDescent="0.25">
      <c r="A18" s="557"/>
      <c r="B18" s="529"/>
      <c r="C18" s="567"/>
      <c r="D18" s="568"/>
      <c r="E18" s="568"/>
      <c r="F18" s="573"/>
      <c r="G18" s="534"/>
      <c r="H18" s="567"/>
      <c r="I18" s="568"/>
      <c r="J18" s="568"/>
      <c r="K18" s="535"/>
      <c r="L18" s="535"/>
      <c r="M18" s="535"/>
      <c r="N18" s="535"/>
      <c r="O18" s="536"/>
    </row>
    <row r="19" spans="1:16" ht="303" customHeight="1" x14ac:dyDescent="0.25">
      <c r="A19" s="557"/>
      <c r="B19" s="529"/>
      <c r="C19" s="567"/>
      <c r="D19" s="568"/>
      <c r="E19" s="568"/>
      <c r="F19" s="573"/>
      <c r="G19" s="534"/>
      <c r="H19" s="569"/>
      <c r="I19" s="570"/>
      <c r="J19" s="571"/>
      <c r="K19" s="535"/>
      <c r="L19" s="535"/>
      <c r="M19" s="535"/>
      <c r="N19" s="535"/>
      <c r="O19" s="537"/>
    </row>
    <row r="20" spans="1:16" ht="90" customHeight="1" x14ac:dyDescent="0.25">
      <c r="A20" s="557"/>
      <c r="B20" s="529"/>
      <c r="C20" s="574"/>
      <c r="D20" s="575"/>
      <c r="E20" s="575"/>
      <c r="F20" s="576"/>
      <c r="G20" s="534"/>
      <c r="H20" s="569"/>
      <c r="I20" s="570"/>
      <c r="J20" s="571"/>
      <c r="K20" s="537"/>
      <c r="L20" s="537"/>
      <c r="M20" s="537"/>
      <c r="N20" s="537"/>
      <c r="O20" s="537"/>
    </row>
    <row r="21" spans="1:16" ht="59.25" customHeight="1" x14ac:dyDescent="0.25">
      <c r="A21" s="557"/>
      <c r="B21" s="538"/>
      <c r="C21" s="577"/>
      <c r="D21" s="578"/>
      <c r="E21" s="578"/>
      <c r="F21" s="579"/>
      <c r="G21" s="539"/>
      <c r="H21" s="558"/>
      <c r="I21" s="559"/>
      <c r="J21" s="560"/>
      <c r="K21" s="540"/>
      <c r="L21" s="540"/>
      <c r="M21" s="540"/>
      <c r="N21" s="540"/>
      <c r="O21" s="540"/>
      <c r="P21" s="541"/>
    </row>
    <row r="22" spans="1:16" ht="14.1" customHeight="1" x14ac:dyDescent="0.25">
      <c r="A22" s="542"/>
      <c r="B22" s="543"/>
      <c r="C22" s="543"/>
      <c r="D22" s="543"/>
      <c r="E22" s="543"/>
      <c r="F22" s="543"/>
      <c r="G22" s="543"/>
      <c r="H22" s="543"/>
      <c r="I22" s="543"/>
      <c r="J22" s="543"/>
      <c r="K22" s="543"/>
      <c r="L22" s="543"/>
      <c r="M22" s="543"/>
      <c r="N22" s="543"/>
      <c r="O22" s="543"/>
    </row>
    <row r="25" spans="1:16" hidden="1" x14ac:dyDescent="0.25"/>
    <row r="26" spans="1:16" hidden="1" x14ac:dyDescent="0.25"/>
    <row r="27" spans="1:16" hidden="1" x14ac:dyDescent="0.25">
      <c r="K27" s="489" t="s">
        <v>33</v>
      </c>
    </row>
    <row r="28" spans="1:16" hidden="1" x14ac:dyDescent="0.25">
      <c r="K28" s="489" t="s">
        <v>207</v>
      </c>
    </row>
    <row r="29" spans="1:16" hidden="1" x14ac:dyDescent="0.25">
      <c r="K29" s="489" t="s">
        <v>206</v>
      </c>
    </row>
    <row r="30" spans="1:16" hidden="1" x14ac:dyDescent="0.25">
      <c r="K30" s="489" t="s">
        <v>205</v>
      </c>
    </row>
    <row r="31" spans="1:16" hidden="1" x14ac:dyDescent="0.25">
      <c r="K31" s="489" t="s">
        <v>204</v>
      </c>
    </row>
    <row r="32" spans="1:16" hidden="1" x14ac:dyDescent="0.25">
      <c r="K32" s="489">
        <v>1</v>
      </c>
    </row>
    <row r="33" spans="11:11" hidden="1" x14ac:dyDescent="0.25">
      <c r="K33" s="489">
        <v>2</v>
      </c>
    </row>
    <row r="34" spans="11:11" hidden="1" x14ac:dyDescent="0.25">
      <c r="K34" s="489">
        <v>3</v>
      </c>
    </row>
    <row r="35" spans="11:11" hidden="1" x14ac:dyDescent="0.25">
      <c r="K35" s="489">
        <v>4</v>
      </c>
    </row>
    <row r="36" spans="11:11" hidden="1" x14ac:dyDescent="0.25">
      <c r="K36" s="489">
        <v>5</v>
      </c>
    </row>
  </sheetData>
  <sheetProtection formatCells="0" formatColumns="0" formatRows="0" insertRows="0"/>
  <protectedRanges>
    <protectedRange sqref="C6:C7 C9 K6:K9 M6 B17:O21 K12:M13" name="Range3"/>
    <protectedRange sqref="N2" name="Range2"/>
    <protectedRange sqref="K2 F6" name="Range1"/>
  </protectedRanges>
  <dataConsolidate/>
  <mergeCells count="19">
    <mergeCell ref="M6:O9"/>
    <mergeCell ref="H11:J11"/>
    <mergeCell ref="B15:B16"/>
    <mergeCell ref="A15:A16"/>
    <mergeCell ref="K15:O15"/>
    <mergeCell ref="A14:O14"/>
    <mergeCell ref="A17:A21"/>
    <mergeCell ref="H21:J21"/>
    <mergeCell ref="H15:J16"/>
    <mergeCell ref="C15:F16"/>
    <mergeCell ref="H18:J18"/>
    <mergeCell ref="H19:J19"/>
    <mergeCell ref="C17:F17"/>
    <mergeCell ref="C18:F18"/>
    <mergeCell ref="C19:F19"/>
    <mergeCell ref="C20:F20"/>
    <mergeCell ref="H20:J20"/>
    <mergeCell ref="C21:F21"/>
    <mergeCell ref="H17:J17"/>
  </mergeCells>
  <conditionalFormatting sqref="K12:M13">
    <cfRule type="cellIs" dxfId="921" priority="1" operator="equal">
      <formula>0</formula>
    </cfRule>
    <cfRule type="cellIs" dxfId="920" priority="2" operator="equal">
      <formula>5</formula>
    </cfRule>
    <cfRule type="cellIs" dxfId="919" priority="3" operator="equal">
      <formula>4</formula>
    </cfRule>
    <cfRule type="cellIs" dxfId="918" priority="4" operator="equal">
      <formula>3</formula>
    </cfRule>
    <cfRule type="cellIs" dxfId="917" priority="5" operator="equal">
      <formula>2</formula>
    </cfRule>
    <cfRule type="cellIs" dxfId="916" priority="6" operator="equal">
      <formula>1</formula>
    </cfRule>
  </conditionalFormatting>
  <dataValidations count="2">
    <dataValidation type="list" allowBlank="1" showInputMessage="1" showErrorMessage="1" sqref="K6" xr:uid="{00000000-0002-0000-0100-000000000000}">
      <formula1>$K$27:$K$29</formula1>
    </dataValidation>
    <dataValidation type="list" allowBlank="1" showInputMessage="1" showErrorMessage="1" sqref="K7:K9" xr:uid="{00000000-0002-0000-0100-000001000000}">
      <formula1>$K$30:$K$31</formula1>
    </dataValidation>
  </dataValidations>
  <pageMargins left="0.7" right="0.7" top="0.75" bottom="0.75" header="0.3" footer="0.3"/>
  <pageSetup paperSize="9" scale="4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7"/>
  <sheetViews>
    <sheetView view="pageBreakPreview" zoomScale="85" zoomScaleSheetLayoutView="85" workbookViewId="0">
      <selection activeCell="D16" sqref="D16:E16"/>
    </sheetView>
  </sheetViews>
  <sheetFormatPr defaultColWidth="11.5703125" defaultRowHeight="15" x14ac:dyDescent="0.25"/>
  <cols>
    <col min="2" max="2" width="11.85546875" style="149" customWidth="1"/>
    <col min="3" max="3" width="29.42578125" customWidth="1"/>
    <col min="4" max="4" width="12.5703125" bestFit="1" customWidth="1"/>
    <col min="5" max="5" width="12.140625" customWidth="1"/>
    <col min="11" max="11" width="16.28515625" customWidth="1"/>
    <col min="12" max="12" width="53.140625" style="330" customWidth="1"/>
    <col min="13" max="13" width="23" customWidth="1"/>
    <col min="14" max="14" width="14.140625" customWidth="1"/>
    <col min="15" max="15" width="11.5703125" style="161"/>
  </cols>
  <sheetData>
    <row r="1" spans="1:15" ht="16.5" thickBot="1" x14ac:dyDescent="0.3">
      <c r="A1" s="3"/>
      <c r="B1" s="150"/>
      <c r="C1" s="3"/>
      <c r="D1" s="3"/>
      <c r="E1" s="3"/>
      <c r="F1" s="3"/>
      <c r="G1" s="3"/>
      <c r="H1" s="3"/>
      <c r="I1" s="3"/>
      <c r="J1" s="3"/>
      <c r="K1" s="3"/>
      <c r="L1" s="322"/>
      <c r="M1" s="3"/>
      <c r="N1" s="3"/>
      <c r="O1" s="154"/>
    </row>
    <row r="2" spans="1:15" ht="26.25" x14ac:dyDescent="0.4">
      <c r="A2" s="554" t="s">
        <v>145</v>
      </c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606"/>
    </row>
    <row r="3" spans="1:15" ht="15.75" x14ac:dyDescent="0.25">
      <c r="A3" s="69"/>
      <c r="B3" s="151"/>
      <c r="C3" s="70"/>
      <c r="D3" s="70"/>
      <c r="E3" s="70"/>
      <c r="F3" s="70"/>
      <c r="G3" s="71"/>
      <c r="H3" s="72"/>
      <c r="I3" s="70"/>
      <c r="J3" s="72"/>
      <c r="K3" s="72"/>
      <c r="L3" s="323"/>
      <c r="M3" s="72"/>
      <c r="N3" s="72"/>
      <c r="O3" s="155"/>
    </row>
    <row r="4" spans="1:15" ht="15.75" x14ac:dyDescent="0.25">
      <c r="A4" s="73" t="s">
        <v>0</v>
      </c>
      <c r="B4" s="152"/>
      <c r="C4" s="74"/>
      <c r="D4" s="610" t="str">
        <f>'Tableau 1-B Analyse du Contexte'!$C$5</f>
        <v>TCHAD</v>
      </c>
      <c r="E4" s="610"/>
      <c r="F4" s="85"/>
      <c r="G4" s="72"/>
      <c r="H4" s="72"/>
      <c r="I4" s="85"/>
      <c r="J4" s="72"/>
      <c r="K4" s="72"/>
      <c r="L4" s="323"/>
      <c r="M4" s="72"/>
      <c r="N4" s="72"/>
      <c r="O4" s="155"/>
    </row>
    <row r="5" spans="1:15" ht="15.75" x14ac:dyDescent="0.25">
      <c r="A5" s="75" t="s">
        <v>1</v>
      </c>
      <c r="B5" s="153"/>
      <c r="C5" s="76"/>
      <c r="D5" s="611">
        <f>'Tableau 1-B Analyse du Contexte'!$C$6</f>
        <v>0</v>
      </c>
      <c r="E5" s="611"/>
      <c r="F5" s="85"/>
      <c r="G5" s="72"/>
      <c r="H5" s="72"/>
      <c r="I5" s="85"/>
      <c r="J5" s="72"/>
      <c r="K5" s="72"/>
      <c r="L5" s="323"/>
      <c r="M5" s="72"/>
      <c r="N5" s="72"/>
      <c r="O5" s="155"/>
    </row>
    <row r="6" spans="1:15" ht="15.75" x14ac:dyDescent="0.25">
      <c r="A6" s="75" t="s">
        <v>2</v>
      </c>
      <c r="B6" s="153"/>
      <c r="C6" s="76"/>
      <c r="D6" s="611">
        <f>'Tableau 1-B Analyse du Contexte'!$C$7</f>
        <v>0</v>
      </c>
      <c r="E6" s="611"/>
      <c r="F6" s="85"/>
      <c r="G6" s="72"/>
      <c r="H6" s="72"/>
      <c r="I6" s="85"/>
      <c r="J6" s="72"/>
      <c r="K6" s="72"/>
      <c r="L6" s="323"/>
      <c r="M6" s="72"/>
      <c r="N6" s="72"/>
      <c r="O6" s="155"/>
    </row>
    <row r="7" spans="1:15" ht="15.75" x14ac:dyDescent="0.25">
      <c r="A7" s="69"/>
      <c r="B7" s="151"/>
      <c r="C7" s="70"/>
      <c r="D7" s="70"/>
      <c r="E7" s="70"/>
      <c r="F7" s="70"/>
      <c r="G7" s="72"/>
      <c r="H7" s="72"/>
      <c r="I7" s="70"/>
      <c r="J7" s="72"/>
      <c r="K7" s="72"/>
      <c r="L7" s="323"/>
      <c r="M7" s="72"/>
      <c r="N7" s="72"/>
      <c r="O7" s="155"/>
    </row>
    <row r="8" spans="1:15" ht="15.75" x14ac:dyDescent="0.25">
      <c r="A8" s="73" t="s">
        <v>3</v>
      </c>
      <c r="B8" s="152"/>
      <c r="C8" s="74"/>
      <c r="D8" s="612" t="str">
        <f>'Tableau 1-B Analyse du Contexte'!$C$9</f>
        <v>Fevrier 2020</v>
      </c>
      <c r="E8" s="612"/>
      <c r="F8" s="85"/>
      <c r="G8" s="72"/>
      <c r="H8" s="72"/>
      <c r="I8" s="85"/>
      <c r="J8" s="72"/>
      <c r="K8" s="72"/>
      <c r="L8" s="323"/>
      <c r="M8" s="72"/>
      <c r="N8" s="72"/>
      <c r="O8" s="155"/>
    </row>
    <row r="9" spans="1:15" ht="15.75" x14ac:dyDescent="0.25">
      <c r="A9" s="69"/>
      <c r="B9" s="151"/>
      <c r="C9" s="70"/>
      <c r="D9" s="70"/>
      <c r="E9" s="70"/>
      <c r="F9" s="70"/>
      <c r="G9" s="70"/>
      <c r="H9" s="70"/>
      <c r="I9" s="70"/>
      <c r="J9" s="70"/>
      <c r="K9" s="70"/>
      <c r="L9" s="324"/>
      <c r="M9" s="70"/>
      <c r="N9" s="70"/>
      <c r="O9" s="156"/>
    </row>
    <row r="10" spans="1:15" ht="23.25" customHeight="1" thickBot="1" x14ac:dyDescent="0.3">
      <c r="A10" s="607" t="s">
        <v>186</v>
      </c>
      <c r="B10" s="608"/>
      <c r="C10" s="608"/>
      <c r="D10" s="608"/>
      <c r="E10" s="608"/>
      <c r="F10" s="608"/>
      <c r="G10" s="608"/>
      <c r="H10" s="608"/>
      <c r="I10" s="608"/>
      <c r="J10" s="608"/>
      <c r="K10" s="608"/>
      <c r="L10" s="608"/>
      <c r="M10" s="608"/>
      <c r="N10" s="608"/>
      <c r="O10" s="609"/>
    </row>
    <row r="11" spans="1:15" s="2" customFormat="1" ht="71.25" customHeight="1" x14ac:dyDescent="0.25">
      <c r="A11" s="4" t="s">
        <v>15</v>
      </c>
      <c r="B11" s="81" t="s">
        <v>134</v>
      </c>
      <c r="C11" s="144" t="s">
        <v>142</v>
      </c>
      <c r="D11" s="603" t="s">
        <v>5</v>
      </c>
      <c r="E11" s="603"/>
      <c r="F11" s="602" t="s">
        <v>10</v>
      </c>
      <c r="G11" s="603"/>
      <c r="H11" s="603"/>
      <c r="I11" s="141" t="s">
        <v>6</v>
      </c>
      <c r="J11" s="5" t="s">
        <v>7</v>
      </c>
      <c r="K11" s="292" t="s">
        <v>213</v>
      </c>
      <c r="L11" s="325" t="s">
        <v>9</v>
      </c>
      <c r="M11" s="89" t="s">
        <v>156</v>
      </c>
      <c r="N11" s="89" t="s">
        <v>155</v>
      </c>
      <c r="O11" s="144" t="s">
        <v>8</v>
      </c>
    </row>
    <row r="12" spans="1:15" s="26" customFormat="1" ht="48.75" customHeight="1" x14ac:dyDescent="0.25">
      <c r="A12" s="600" t="s">
        <v>4</v>
      </c>
      <c r="B12" s="274"/>
      <c r="C12" s="143" t="e">
        <f>VLOOKUP($B12,'Tabl 1-A Relevé des sources'!$A$6:$H$31,2,FALSE)</f>
        <v>#N/A</v>
      </c>
      <c r="D12" s="594" t="e">
        <f>VLOOKUP($B12,'Tabl 1-A Relevé des sources'!$A$6:$H$31,3,FALSE)</f>
        <v>#N/A</v>
      </c>
      <c r="E12" s="595"/>
      <c r="F12" s="594" t="e">
        <f>VLOOKUP($B12,'Tabl 1-A Relevé des sources'!$A$6:$H$31,4,FALSE)</f>
        <v>#N/A</v>
      </c>
      <c r="G12" s="596"/>
      <c r="H12" s="595"/>
      <c r="I12" s="143" t="e">
        <f>VLOOKUP($B12,'Tabl 1-A Relevé des sources'!$A$6:$H$31,5,FALSE)</f>
        <v>#N/A</v>
      </c>
      <c r="J12" s="143" t="e">
        <f>VLOOKUP($B12,'Tabl 1-A Relevé des sources'!$A$6:$H$31,6,FALSE)</f>
        <v>#N/A</v>
      </c>
      <c r="K12" s="553"/>
      <c r="L12" s="326"/>
      <c r="M12" s="234"/>
      <c r="N12" s="234"/>
      <c r="O12" s="157" t="str">
        <f>IF(M12="V-nu","F0",IF(AND(M12="V1",N12="T1"),"F0",IF(AND(M12="V1",N12="T2"),"F1",IF(AND(M12="V1",N12="T3"),"F1",IF(AND(M12="V2",N12="T1"),"F1",IF(AND(M12="V2",N12="T2"),"F2",IF(AND(M12="V2",N12="T3"),"F2",IF(AND(M12="V3",N12="T1"),"F1",IF(AND(M12="V3",N12="T2"),"F2",IF(AND(M12="V3",N12="T3"),"F3","erreur"))))))))))</f>
        <v>erreur</v>
      </c>
    </row>
    <row r="13" spans="1:15" s="26" customFormat="1" ht="42" customHeight="1" x14ac:dyDescent="0.25">
      <c r="A13" s="601"/>
      <c r="B13" s="316"/>
      <c r="C13" s="143" t="e">
        <f>VLOOKUP($B13,'Tabl 1-A Relevé des sources'!$A$6:$H$31,2,FALSE)</f>
        <v>#N/A</v>
      </c>
      <c r="D13" s="594" t="e">
        <f>VLOOKUP($B13,'Tabl 1-A Relevé des sources'!$A$6:$H$31,3,FALSE)</f>
        <v>#N/A</v>
      </c>
      <c r="E13" s="595"/>
      <c r="F13" s="594" t="e">
        <f>VLOOKUP($B13,'Tabl 1-A Relevé des sources'!$A$6:$H$31,4,FALSE)</f>
        <v>#N/A</v>
      </c>
      <c r="G13" s="596"/>
      <c r="H13" s="595"/>
      <c r="I13" s="143" t="e">
        <f>VLOOKUP($B13,'Tabl 1-A Relevé des sources'!$A$6:$H$31,5,FALSE)</f>
        <v>#N/A</v>
      </c>
      <c r="J13" s="143" t="e">
        <f>VLOOKUP($B13,'Tabl 1-A Relevé des sources'!$A$6:$H$31,6,FALSE)</f>
        <v>#N/A</v>
      </c>
      <c r="K13" s="553"/>
      <c r="L13" s="327"/>
      <c r="M13" s="234"/>
      <c r="N13" s="234"/>
      <c r="O13" s="157" t="str">
        <f>IF(M13="V-nu","F0",IF(AND(M13="V1",N13="T1"),"F0",IF(AND(M13="V1",N13="T2"),"F1",IF(AND(M13="V1",N13="T3"),"F1",IF(AND(M13="V2",N13="T1"),"F1",IF(AND(M13="V2",N13="T2"),"F2",IF(AND(M13="V2",N13="T3"),"F2",IF(AND(M13="V3",N13="T1"),"F1",IF(AND(M13="V3",N13="T2"),"F2",IF(AND(M13="V3",N13="T3"),"F3","erreur"))))))))))</f>
        <v>erreur</v>
      </c>
    </row>
    <row r="14" spans="1:15" s="26" customFormat="1" ht="39.75" customHeight="1" x14ac:dyDescent="0.25">
      <c r="A14" s="601"/>
      <c r="B14" s="316"/>
      <c r="C14" s="143" t="e">
        <f>VLOOKUP($B14,'Tabl 1-A Relevé des sources'!$A$6:$H$31,2,FALSE)</f>
        <v>#N/A</v>
      </c>
      <c r="D14" s="594" t="e">
        <f>VLOOKUP($B14,'Tabl 1-A Relevé des sources'!$A$6:$H$31,3,FALSE)</f>
        <v>#N/A</v>
      </c>
      <c r="E14" s="595"/>
      <c r="F14" s="594" t="e">
        <f>VLOOKUP($B14,'Tabl 1-A Relevé des sources'!$A$6:$H$31,4,FALSE)</f>
        <v>#N/A</v>
      </c>
      <c r="G14" s="596"/>
      <c r="H14" s="595"/>
      <c r="I14" s="143" t="e">
        <f>VLOOKUP($B14,'Tabl 1-A Relevé des sources'!$A$6:$H$31,5,FALSE)</f>
        <v>#N/A</v>
      </c>
      <c r="J14" s="143" t="e">
        <f>VLOOKUP($B14,'Tabl 1-A Relevé des sources'!$A$6:$H$31,6,FALSE)</f>
        <v>#N/A</v>
      </c>
      <c r="K14" s="553"/>
      <c r="L14" s="447"/>
      <c r="M14" s="234"/>
      <c r="N14" s="234"/>
      <c r="O14" s="157" t="str">
        <f t="shared" ref="O14:O86" si="0">IF(M14="V-nu","F0",IF(AND(M14="V1",N14="T1"),"F0",IF(AND(M14="V1",N14="T2"),"F1",IF(AND(M14="V1",N14="T3"),"F1",IF(AND(M14="V2",N14="T1"),"F1",IF(AND(M14="V2",N14="T2"),"F2",IF(AND(M14="V2",N14="T3"),"F2",IF(AND(M14="V3",N14="T1"),"F1",IF(AND(M14="V3",N14="T2"),"F2",IF(AND(M14="V3",N14="T3"),"F3","erreur"))))))))))</f>
        <v>erreur</v>
      </c>
    </row>
    <row r="15" spans="1:15" s="26" customFormat="1" ht="48" customHeight="1" x14ac:dyDescent="0.25">
      <c r="A15" s="601"/>
      <c r="B15" s="316"/>
      <c r="C15" s="143" t="e">
        <f>VLOOKUP($B15,'Tabl 1-A Relevé des sources'!$A$6:$H$31,2,FALSE)</f>
        <v>#N/A</v>
      </c>
      <c r="D15" s="594" t="e">
        <f>VLOOKUP($B15,'Tabl 1-A Relevé des sources'!$A$6:$H$31,3,FALSE)</f>
        <v>#N/A</v>
      </c>
      <c r="E15" s="595"/>
      <c r="F15" s="594" t="e">
        <f>VLOOKUP($B15,'Tabl 1-A Relevé des sources'!$A$6:$H$31,4,FALSE)</f>
        <v>#N/A</v>
      </c>
      <c r="G15" s="596"/>
      <c r="H15" s="595"/>
      <c r="I15" s="143" t="e">
        <f>VLOOKUP($B15,'Tabl 1-A Relevé des sources'!$A$6:$H$31,5,FALSE)</f>
        <v>#N/A</v>
      </c>
      <c r="J15" s="143" t="e">
        <f>VLOOKUP($B15,'Tabl 1-A Relevé des sources'!$A$6:$H$31,6,FALSE)</f>
        <v>#N/A</v>
      </c>
      <c r="K15" s="553"/>
      <c r="L15" s="327"/>
      <c r="M15" s="234"/>
      <c r="N15" s="234"/>
      <c r="O15" s="157" t="str">
        <f t="shared" si="0"/>
        <v>erreur</v>
      </c>
    </row>
    <row r="16" spans="1:15" s="26" customFormat="1" ht="32.25" customHeight="1" x14ac:dyDescent="0.25">
      <c r="A16" s="601"/>
      <c r="B16" s="316"/>
      <c r="C16" s="143" t="e">
        <f>VLOOKUP($B16,'Tabl 1-A Relevé des sources'!$A$6:$H$31,2,FALSE)</f>
        <v>#N/A</v>
      </c>
      <c r="D16" s="594" t="e">
        <f>VLOOKUP($B16,'Tabl 1-A Relevé des sources'!$A$6:$H$31,3,FALSE)</f>
        <v>#N/A</v>
      </c>
      <c r="E16" s="595"/>
      <c r="F16" s="594" t="e">
        <f>VLOOKUP($B16,'Tabl 1-A Relevé des sources'!$A$6:$H$31,4,FALSE)</f>
        <v>#N/A</v>
      </c>
      <c r="G16" s="596"/>
      <c r="H16" s="595"/>
      <c r="I16" s="143" t="e">
        <f>VLOOKUP($B16,'Tabl 1-A Relevé des sources'!$A$6:$H$31,5,FALSE)</f>
        <v>#N/A</v>
      </c>
      <c r="J16" s="143" t="e">
        <f>VLOOKUP($B16,'Tabl 1-A Relevé des sources'!$A$6:$H$31,6,FALSE)</f>
        <v>#N/A</v>
      </c>
      <c r="K16" s="553"/>
      <c r="L16" s="235"/>
      <c r="M16" s="234"/>
      <c r="N16" s="234"/>
      <c r="O16" s="157" t="str">
        <f t="shared" ref="O16:O18" si="1">IF(M16="V-nu","F0",IF(AND(M16="V1",N16="T1"),"F0",IF(AND(M16="V1",N16="T2"),"F1",IF(AND(M16="V1",N16="T3"),"F1",IF(AND(M16="V2",N16="T1"),"F1",IF(AND(M16="V2",N16="T2"),"F2",IF(AND(M16="V2",N16="T3"),"F2",IF(AND(M16="V3",N16="T1"),"F1",IF(AND(M16="V3",N16="T2"),"F2",IF(AND(M16="V3",N16="T3"),"F3","erreur"))))))))))</f>
        <v>erreur</v>
      </c>
    </row>
    <row r="17" spans="1:15" ht="6.75" customHeight="1" x14ac:dyDescent="0.25">
      <c r="A17" s="601"/>
      <c r="B17" s="194"/>
      <c r="C17" s="195"/>
      <c r="D17" s="616"/>
      <c r="E17" s="617"/>
      <c r="F17" s="616"/>
      <c r="G17" s="618"/>
      <c r="H17" s="617"/>
      <c r="I17" s="195"/>
      <c r="J17" s="195"/>
      <c r="K17" s="196"/>
      <c r="L17" s="328"/>
      <c r="M17" s="197"/>
      <c r="N17" s="197"/>
      <c r="O17" s="198"/>
    </row>
    <row r="18" spans="1:15" ht="32.25" customHeight="1" x14ac:dyDescent="0.25">
      <c r="A18" s="601"/>
      <c r="B18" s="265"/>
      <c r="C18" s="143" t="e">
        <f>VLOOKUP($B18,'Tabl 1-A Relevé des sources'!$A$6:$H$31,2,FALSE)</f>
        <v>#N/A</v>
      </c>
      <c r="D18" s="594" t="e">
        <f>VLOOKUP($B18,'Tabl 1-A Relevé des sources'!$A$6:$H$31,3,FALSE)</f>
        <v>#N/A</v>
      </c>
      <c r="E18" s="595"/>
      <c r="F18" s="594" t="e">
        <f>VLOOKUP($B18,'Tabl 1-A Relevé des sources'!$A$6:$H$31,4,FALSE)</f>
        <v>#N/A</v>
      </c>
      <c r="G18" s="596"/>
      <c r="H18" s="595"/>
      <c r="I18" s="143" t="e">
        <f>VLOOKUP($B18,'Tabl 1-A Relevé des sources'!$A$6:$H$31,5,FALSE)</f>
        <v>#N/A</v>
      </c>
      <c r="J18" s="143" t="e">
        <f>VLOOKUP($B18,'Tabl 1-A Relevé des sources'!$A$6:$H$31,6,FALSE)</f>
        <v>#N/A</v>
      </c>
      <c r="K18" s="553"/>
      <c r="L18" s="447"/>
      <c r="M18" s="234"/>
      <c r="N18" s="234"/>
      <c r="O18" s="158" t="str">
        <f t="shared" si="1"/>
        <v>erreur</v>
      </c>
    </row>
    <row r="19" spans="1:15" s="26" customFormat="1" ht="32.25" customHeight="1" x14ac:dyDescent="0.25">
      <c r="A19" s="601"/>
      <c r="B19" s="316"/>
      <c r="C19" s="143" t="e">
        <f>VLOOKUP($B19,'Tabl 1-A Relevé des sources'!$A$6:$H$31,2,FALSE)</f>
        <v>#N/A</v>
      </c>
      <c r="D19" s="594" t="e">
        <f>VLOOKUP($B19,'Tabl 1-A Relevé des sources'!$A$6:$H$31,3,FALSE)</f>
        <v>#N/A</v>
      </c>
      <c r="E19" s="595"/>
      <c r="F19" s="594" t="e">
        <f>VLOOKUP($B19,'Tabl 1-A Relevé des sources'!$A$6:$H$31,4,FALSE)</f>
        <v>#N/A</v>
      </c>
      <c r="G19" s="596"/>
      <c r="H19" s="595"/>
      <c r="I19" s="143" t="e">
        <f>VLOOKUP($B19,'Tabl 1-A Relevé des sources'!$A$6:$H$31,5,FALSE)</f>
        <v>#N/A</v>
      </c>
      <c r="J19" s="143" t="e">
        <f>VLOOKUP($B19,'Tabl 1-A Relevé des sources'!$A$6:$H$31,6,FALSE)</f>
        <v>#N/A</v>
      </c>
      <c r="K19" s="553"/>
      <c r="L19" s="447"/>
      <c r="M19" s="234"/>
      <c r="N19" s="234"/>
      <c r="O19" s="157" t="str">
        <f t="shared" si="0"/>
        <v>erreur</v>
      </c>
    </row>
    <row r="20" spans="1:15" ht="48" customHeight="1" x14ac:dyDescent="0.25">
      <c r="A20" s="601"/>
      <c r="B20" s="265"/>
      <c r="C20" s="143" t="e">
        <f>VLOOKUP($B20,'Tabl 1-A Relevé des sources'!$A$6:$H$31,2,FALSE)</f>
        <v>#N/A</v>
      </c>
      <c r="D20" s="594" t="e">
        <f>VLOOKUP($B20,'Tabl 1-A Relevé des sources'!$A$6:$H$31,3,FALSE)</f>
        <v>#N/A</v>
      </c>
      <c r="E20" s="595"/>
      <c r="F20" s="594" t="e">
        <f>VLOOKUP($B20,'Tabl 1-A Relevé des sources'!$A$6:$H$31,4,FALSE)</f>
        <v>#N/A</v>
      </c>
      <c r="G20" s="596"/>
      <c r="H20" s="595"/>
      <c r="I20" s="143" t="e">
        <f>VLOOKUP($B20,'Tabl 1-A Relevé des sources'!$A$6:$H$31,5,FALSE)</f>
        <v>#N/A</v>
      </c>
      <c r="J20" s="143" t="e">
        <f>VLOOKUP($B20,'Tabl 1-A Relevé des sources'!$A$6:$H$31,6,FALSE)</f>
        <v>#N/A</v>
      </c>
      <c r="K20" s="553"/>
      <c r="L20" s="447"/>
      <c r="M20" s="234"/>
      <c r="N20" s="234"/>
      <c r="O20" s="158" t="str">
        <f t="shared" si="0"/>
        <v>erreur</v>
      </c>
    </row>
    <row r="21" spans="1:15" ht="32.25" customHeight="1" x14ac:dyDescent="0.25">
      <c r="A21" s="601"/>
      <c r="B21" s="265"/>
      <c r="C21" s="143" t="e">
        <f>VLOOKUP($B21,'Tabl 1-A Relevé des sources'!$A$6:$H$31,2,FALSE)</f>
        <v>#N/A</v>
      </c>
      <c r="D21" s="594" t="e">
        <f>VLOOKUP($B21,'Tabl 1-A Relevé des sources'!$A$6:$H$31,3,FALSE)</f>
        <v>#N/A</v>
      </c>
      <c r="E21" s="595"/>
      <c r="F21" s="594" t="e">
        <f>VLOOKUP($B21,'Tabl 1-A Relevé des sources'!$A$6:$H$31,4,FALSE)</f>
        <v>#N/A</v>
      </c>
      <c r="G21" s="596"/>
      <c r="H21" s="595"/>
      <c r="I21" s="143" t="e">
        <f>VLOOKUP($B21,'Tabl 1-A Relevé des sources'!$A$6:$H$31,5,FALSE)</f>
        <v>#N/A</v>
      </c>
      <c r="J21" s="143" t="e">
        <f>VLOOKUP($B21,'Tabl 1-A Relevé des sources'!$A$6:$H$31,6,FALSE)</f>
        <v>#N/A</v>
      </c>
      <c r="K21" s="553"/>
      <c r="L21" s="447"/>
      <c r="M21" s="234"/>
      <c r="N21" s="234"/>
      <c r="O21" s="158" t="str">
        <f t="shared" si="0"/>
        <v>erreur</v>
      </c>
    </row>
    <row r="22" spans="1:15" ht="32.25" customHeight="1" x14ac:dyDescent="0.25">
      <c r="A22" s="601"/>
      <c r="B22" s="265"/>
      <c r="C22" s="143" t="e">
        <f>VLOOKUP($B22,'Tabl 1-A Relevé des sources'!$A$6:$H$31,2,FALSE)</f>
        <v>#N/A</v>
      </c>
      <c r="D22" s="594" t="e">
        <f>VLOOKUP($B22,'Tabl 1-A Relevé des sources'!$A$6:$H$31,3,FALSE)</f>
        <v>#N/A</v>
      </c>
      <c r="E22" s="595"/>
      <c r="F22" s="594" t="e">
        <f>VLOOKUP($B22,'Tabl 1-A Relevé des sources'!$A$6:$H$31,4,FALSE)</f>
        <v>#N/A</v>
      </c>
      <c r="G22" s="596"/>
      <c r="H22" s="595"/>
      <c r="I22" s="143" t="e">
        <f>VLOOKUP($B22,'Tabl 1-A Relevé des sources'!$A$6:$H$31,5,FALSE)</f>
        <v>#N/A</v>
      </c>
      <c r="J22" s="143" t="e">
        <f>VLOOKUP($B22,'Tabl 1-A Relevé des sources'!$A$6:$H$31,6,FALSE)</f>
        <v>#N/A</v>
      </c>
      <c r="K22" s="553"/>
      <c r="L22" s="447"/>
      <c r="M22" s="234"/>
      <c r="N22" s="234"/>
      <c r="O22" s="158" t="str">
        <f t="shared" si="0"/>
        <v>erreur</v>
      </c>
    </row>
    <row r="23" spans="1:15" ht="6.75" customHeight="1" x14ac:dyDescent="0.25">
      <c r="A23" s="601"/>
      <c r="B23" s="148"/>
      <c r="C23" s="7"/>
      <c r="D23" s="7"/>
      <c r="E23" s="7"/>
      <c r="F23" s="7"/>
      <c r="G23" s="7"/>
      <c r="H23" s="7"/>
      <c r="I23" s="7"/>
      <c r="J23" s="7"/>
      <c r="K23" s="7"/>
      <c r="L23" s="329"/>
      <c r="M23" s="7"/>
      <c r="N23" s="7"/>
      <c r="O23" s="159"/>
    </row>
    <row r="24" spans="1:15" ht="66" customHeight="1" x14ac:dyDescent="0.25">
      <c r="A24" s="600" t="s">
        <v>11</v>
      </c>
      <c r="B24" s="317"/>
      <c r="C24" s="143" t="e">
        <f>VLOOKUP($B24,'Tabl 1-A Relevé des sources'!$A$6:$H$31,2,FALSE)</f>
        <v>#N/A</v>
      </c>
      <c r="D24" s="594" t="e">
        <f>VLOOKUP($B24,'Tabl 1-A Relevé des sources'!$A$6:$H$31,3,FALSE)</f>
        <v>#N/A</v>
      </c>
      <c r="E24" s="595"/>
      <c r="F24" s="594" t="e">
        <f>VLOOKUP($B24,'Tabl 1-A Relevé des sources'!$A$6:$H$31,4,FALSE)</f>
        <v>#N/A</v>
      </c>
      <c r="G24" s="596"/>
      <c r="H24" s="595"/>
      <c r="I24" s="143" t="e">
        <f>VLOOKUP($B24,'Tabl 1-A Relevé des sources'!$A$6:$H$31,5,FALSE)</f>
        <v>#N/A</v>
      </c>
      <c r="J24" s="143" t="e">
        <f>VLOOKUP($B24,'Tabl 1-A Relevé des sources'!$A$6:$H$31,6,FALSE)</f>
        <v>#N/A</v>
      </c>
      <c r="K24" s="553"/>
      <c r="L24" s="442"/>
      <c r="M24" s="234"/>
      <c r="N24" s="234"/>
      <c r="O24" s="160" t="str">
        <f t="shared" si="0"/>
        <v>erreur</v>
      </c>
    </row>
    <row r="25" spans="1:15" ht="71.25" customHeight="1" x14ac:dyDescent="0.25">
      <c r="A25" s="601"/>
      <c r="B25" s="317"/>
      <c r="C25" s="143" t="e">
        <f>VLOOKUP($B25,'Tabl 1-A Relevé des sources'!$A$6:$H$31,2,FALSE)</f>
        <v>#N/A</v>
      </c>
      <c r="D25" s="594" t="e">
        <f>VLOOKUP($B25,'Tabl 1-A Relevé des sources'!$A$6:$H$31,3,FALSE)</f>
        <v>#N/A</v>
      </c>
      <c r="E25" s="595"/>
      <c r="F25" s="594" t="e">
        <f>VLOOKUP($B25,'Tabl 1-A Relevé des sources'!$A$6:$H$31,4,FALSE)</f>
        <v>#N/A</v>
      </c>
      <c r="G25" s="596"/>
      <c r="H25" s="595"/>
      <c r="I25" s="143" t="e">
        <f>VLOOKUP($B25,'Tabl 1-A Relevé des sources'!$A$6:$H$31,5,FALSE)</f>
        <v>#N/A</v>
      </c>
      <c r="J25" s="143" t="e">
        <f>VLOOKUP($B25,'Tabl 1-A Relevé des sources'!$A$6:$H$31,6,FALSE)</f>
        <v>#N/A</v>
      </c>
      <c r="K25" s="553"/>
      <c r="L25" s="444"/>
      <c r="M25" s="342"/>
      <c r="N25" s="342"/>
      <c r="O25" s="160" t="str">
        <f t="shared" ref="O25:O29" si="2">IF(M25="V-nu","F0",IF(AND(M25="V1",N25="T1"),"F0",IF(AND(M25="V1",N25="T2"),"F1",IF(AND(M25="V1",N25="T3"),"F1",IF(AND(M25="V2",N25="T1"),"F1",IF(AND(M25="V2",N25="T2"),"F2",IF(AND(M25="V2",N25="T3"),"F2",IF(AND(M25="V3",N25="T1"),"F1",IF(AND(M25="V3",N25="T2"),"F2",IF(AND(M25="V3",N25="T3"),"F3","erreur"))))))))))</f>
        <v>erreur</v>
      </c>
    </row>
    <row r="26" spans="1:15" ht="33" customHeight="1" x14ac:dyDescent="0.25">
      <c r="A26" s="601"/>
      <c r="B26" s="317"/>
      <c r="C26" s="143" t="e">
        <f>VLOOKUP($B26,'Tabl 1-A Relevé des sources'!$A$6:$H$31,2,FALSE)</f>
        <v>#N/A</v>
      </c>
      <c r="D26" s="594" t="e">
        <f>VLOOKUP($B26,'Tabl 1-A Relevé des sources'!$A$6:$H$31,3,FALSE)</f>
        <v>#N/A</v>
      </c>
      <c r="E26" s="595"/>
      <c r="F26" s="594" t="e">
        <f>VLOOKUP($B26,'Tabl 1-A Relevé des sources'!$A$6:$H$31,4,FALSE)</f>
        <v>#N/A</v>
      </c>
      <c r="G26" s="596"/>
      <c r="H26" s="595"/>
      <c r="I26" s="143" t="e">
        <f>VLOOKUP($B26,'Tabl 1-A Relevé des sources'!$A$6:$H$31,5,FALSE)</f>
        <v>#N/A</v>
      </c>
      <c r="J26" s="143" t="e">
        <f>VLOOKUP($B26,'Tabl 1-A Relevé des sources'!$A$6:$H$31,6,FALSE)</f>
        <v>#N/A</v>
      </c>
      <c r="K26" s="553"/>
      <c r="L26" s="445"/>
      <c r="M26" s="342"/>
      <c r="N26" s="342"/>
      <c r="O26" s="160" t="str">
        <f t="shared" si="2"/>
        <v>erreur</v>
      </c>
    </row>
    <row r="27" spans="1:15" ht="33" customHeight="1" x14ac:dyDescent="0.25">
      <c r="A27" s="601"/>
      <c r="B27" s="317"/>
      <c r="C27" s="143" t="e">
        <f>VLOOKUP($B27,'Tabl 1-A Relevé des sources'!$A$6:$H$31,2,FALSE)</f>
        <v>#N/A</v>
      </c>
      <c r="D27" s="594" t="e">
        <f>VLOOKUP($B27,'Tabl 1-A Relevé des sources'!$A$6:$H$31,3,FALSE)</f>
        <v>#N/A</v>
      </c>
      <c r="E27" s="595"/>
      <c r="F27" s="594" t="e">
        <f>VLOOKUP($B27,'Tabl 1-A Relevé des sources'!$A$6:$H$31,4,FALSE)</f>
        <v>#N/A</v>
      </c>
      <c r="G27" s="596"/>
      <c r="H27" s="595"/>
      <c r="I27" s="143" t="e">
        <f>VLOOKUP($B27,'Tabl 1-A Relevé des sources'!$A$6:$H$31,5,FALSE)</f>
        <v>#N/A</v>
      </c>
      <c r="J27" s="143" t="e">
        <f>VLOOKUP($B27,'Tabl 1-A Relevé des sources'!$A$6:$H$31,6,FALSE)</f>
        <v>#N/A</v>
      </c>
      <c r="K27" s="553"/>
      <c r="L27" s="236"/>
      <c r="M27" s="342"/>
      <c r="N27" s="342"/>
      <c r="O27" s="160" t="str">
        <f t="shared" si="2"/>
        <v>erreur</v>
      </c>
    </row>
    <row r="28" spans="1:15" ht="33" customHeight="1" x14ac:dyDescent="0.25">
      <c r="A28" s="601"/>
      <c r="B28" s="317"/>
      <c r="C28" s="143" t="e">
        <f>VLOOKUP($B28,'Tabl 1-A Relevé des sources'!$A$6:$H$31,2,FALSE)</f>
        <v>#N/A</v>
      </c>
      <c r="D28" s="594" t="e">
        <f>VLOOKUP($B28,'Tabl 1-A Relevé des sources'!$A$6:$H$31,3,FALSE)</f>
        <v>#N/A</v>
      </c>
      <c r="E28" s="595"/>
      <c r="F28" s="594" t="e">
        <f>VLOOKUP($B28,'Tabl 1-A Relevé des sources'!$A$6:$H$31,4,FALSE)</f>
        <v>#N/A</v>
      </c>
      <c r="G28" s="596"/>
      <c r="H28" s="595"/>
      <c r="I28" s="143" t="e">
        <f>VLOOKUP($B28,'Tabl 1-A Relevé des sources'!$A$6:$H$31,5,FALSE)</f>
        <v>#N/A</v>
      </c>
      <c r="J28" s="143" t="e">
        <f>VLOOKUP($B28,'Tabl 1-A Relevé des sources'!$A$6:$H$31,6,FALSE)</f>
        <v>#N/A</v>
      </c>
      <c r="K28" s="553"/>
      <c r="L28" s="236"/>
      <c r="M28" s="342"/>
      <c r="N28" s="342"/>
      <c r="O28" s="160" t="str">
        <f t="shared" si="2"/>
        <v>erreur</v>
      </c>
    </row>
    <row r="29" spans="1:15" ht="61.5" customHeight="1" x14ac:dyDescent="0.25">
      <c r="A29" s="601"/>
      <c r="B29" s="317"/>
      <c r="C29" s="143" t="e">
        <f>VLOOKUP($B29,'Tabl 1-A Relevé des sources'!$A$6:$H$31,2,FALSE)</f>
        <v>#N/A</v>
      </c>
      <c r="D29" s="594" t="e">
        <f>VLOOKUP($B29,'Tabl 1-A Relevé des sources'!$A$6:$H$31,3,FALSE)</f>
        <v>#N/A</v>
      </c>
      <c r="E29" s="595"/>
      <c r="F29" s="594" t="e">
        <f>VLOOKUP($B29,'Tabl 1-A Relevé des sources'!$A$6:$H$31,4,FALSE)</f>
        <v>#N/A</v>
      </c>
      <c r="G29" s="596"/>
      <c r="H29" s="595"/>
      <c r="I29" s="143" t="e">
        <f>VLOOKUP($B29,'Tabl 1-A Relevé des sources'!$A$6:$H$31,5,FALSE)</f>
        <v>#N/A</v>
      </c>
      <c r="J29" s="143" t="e">
        <f>VLOOKUP($B29,'Tabl 1-A Relevé des sources'!$A$6:$H$31,6,FALSE)</f>
        <v>#N/A</v>
      </c>
      <c r="K29" s="553"/>
      <c r="L29" s="236"/>
      <c r="M29" s="342"/>
      <c r="N29" s="342"/>
      <c r="O29" s="160" t="str">
        <f t="shared" si="2"/>
        <v>erreur</v>
      </c>
    </row>
    <row r="30" spans="1:15" ht="33" customHeight="1" x14ac:dyDescent="0.25">
      <c r="A30" s="601"/>
      <c r="B30" s="317"/>
      <c r="C30" s="143" t="e">
        <f>VLOOKUP($B30,'Tabl 1-A Relevé des sources'!$A$6:$H$31,2,FALSE)</f>
        <v>#N/A</v>
      </c>
      <c r="D30" s="594" t="e">
        <f>VLOOKUP($B30,'Tabl 1-A Relevé des sources'!$A$6:$H$31,3,FALSE)</f>
        <v>#N/A</v>
      </c>
      <c r="E30" s="595"/>
      <c r="F30" s="594" t="e">
        <f>VLOOKUP($B30,'Tabl 1-A Relevé des sources'!$A$6:$H$31,4,FALSE)</f>
        <v>#N/A</v>
      </c>
      <c r="G30" s="596"/>
      <c r="H30" s="595"/>
      <c r="I30" s="143" t="e">
        <f>VLOOKUP($B30,'Tabl 1-A Relevé des sources'!$A$6:$H$31,5,FALSE)</f>
        <v>#N/A</v>
      </c>
      <c r="J30" s="143" t="e">
        <f>VLOOKUP($B30,'Tabl 1-A Relevé des sources'!$A$6:$H$31,6,FALSE)</f>
        <v>#N/A</v>
      </c>
      <c r="K30" s="553"/>
      <c r="L30" s="236"/>
      <c r="M30" s="234"/>
      <c r="N30" s="234"/>
      <c r="O30" s="160" t="str">
        <f t="shared" si="0"/>
        <v>erreur</v>
      </c>
    </row>
    <row r="31" spans="1:15" ht="44.25" customHeight="1" x14ac:dyDescent="0.25">
      <c r="A31" s="601"/>
      <c r="B31" s="317"/>
      <c r="C31" s="143" t="e">
        <f>VLOOKUP($B31,'Tabl 1-A Relevé des sources'!$A$6:$H$31,2,FALSE)</f>
        <v>#N/A</v>
      </c>
      <c r="D31" s="594" t="e">
        <f>VLOOKUP($B31,'Tabl 1-A Relevé des sources'!$A$6:$H$31,3,FALSE)</f>
        <v>#N/A</v>
      </c>
      <c r="E31" s="595"/>
      <c r="F31" s="594" t="e">
        <f>VLOOKUP($B31,'Tabl 1-A Relevé des sources'!$A$6:$H$31,4,FALSE)</f>
        <v>#N/A</v>
      </c>
      <c r="G31" s="596"/>
      <c r="H31" s="595"/>
      <c r="I31" s="143" t="e">
        <f>VLOOKUP($B31,'Tabl 1-A Relevé des sources'!$A$6:$H$31,5,FALSE)</f>
        <v>#N/A</v>
      </c>
      <c r="J31" s="143" t="e">
        <f>VLOOKUP($B31,'Tabl 1-A Relevé des sources'!$A$6:$H$31,6,FALSE)</f>
        <v>#N/A</v>
      </c>
      <c r="K31" s="553"/>
      <c r="L31" s="236"/>
      <c r="M31" s="234"/>
      <c r="N31" s="234"/>
      <c r="O31" s="160" t="str">
        <f t="shared" si="0"/>
        <v>erreur</v>
      </c>
    </row>
    <row r="32" spans="1:15" ht="45" customHeight="1" x14ac:dyDescent="0.25">
      <c r="A32" s="601"/>
      <c r="B32" s="317"/>
      <c r="C32" s="143" t="e">
        <f>VLOOKUP($B32,'Tabl 1-A Relevé des sources'!$A$6:$H$31,2,FALSE)</f>
        <v>#N/A</v>
      </c>
      <c r="D32" s="613" t="e">
        <f>VLOOKUP($B32,'Tabl 1-A Relevé des sources'!$A$6:$H$31,3,FALSE)</f>
        <v>#N/A</v>
      </c>
      <c r="E32" s="614"/>
      <c r="F32" s="594" t="e">
        <f>VLOOKUP($B32,'Tabl 1-A Relevé des sources'!$A$6:$H$31,4,FALSE)</f>
        <v>#N/A</v>
      </c>
      <c r="G32" s="596"/>
      <c r="H32" s="595"/>
      <c r="I32" s="143" t="e">
        <f>VLOOKUP($B32,'Tabl 1-A Relevé des sources'!$A$6:$H$31,5,FALSE)</f>
        <v>#N/A</v>
      </c>
      <c r="J32" s="143" t="e">
        <f>VLOOKUP($B32,'Tabl 1-A Relevé des sources'!$A$6:$H$31,6,FALSE)</f>
        <v>#N/A</v>
      </c>
      <c r="K32" s="553"/>
      <c r="L32" s="236"/>
      <c r="M32" s="234"/>
      <c r="N32" s="234"/>
      <c r="O32" s="160" t="str">
        <f t="shared" si="0"/>
        <v>erreur</v>
      </c>
    </row>
    <row r="33" spans="1:15" ht="33" customHeight="1" x14ac:dyDescent="0.25">
      <c r="A33" s="601"/>
      <c r="B33" s="317"/>
      <c r="C33" s="143" t="e">
        <f>VLOOKUP($B33,'Tabl 1-A Relevé des sources'!$A$6:$H$31,2,FALSE)</f>
        <v>#N/A</v>
      </c>
      <c r="D33" s="594" t="e">
        <f>VLOOKUP($B33,'Tabl 1-A Relevé des sources'!$A$6:$H$31,3,FALSE)</f>
        <v>#N/A</v>
      </c>
      <c r="E33" s="595"/>
      <c r="F33" s="594" t="e">
        <f>VLOOKUP($B33,'Tabl 1-A Relevé des sources'!$A$6:$H$31,4,FALSE)</f>
        <v>#N/A</v>
      </c>
      <c r="G33" s="596"/>
      <c r="H33" s="595"/>
      <c r="I33" s="143" t="e">
        <f>VLOOKUP($B33,'Tabl 1-A Relevé des sources'!$A$6:$H$31,5,FALSE)</f>
        <v>#N/A</v>
      </c>
      <c r="J33" s="143" t="e">
        <f>VLOOKUP($B33,'Tabl 1-A Relevé des sources'!$A$6:$H$31,6,FALSE)</f>
        <v>#N/A</v>
      </c>
      <c r="K33" s="553"/>
      <c r="L33" s="236"/>
      <c r="M33" s="234"/>
      <c r="N33" s="234"/>
      <c r="O33" s="160" t="str">
        <f t="shared" si="0"/>
        <v>erreur</v>
      </c>
    </row>
    <row r="34" spans="1:15" ht="33" customHeight="1" x14ac:dyDescent="0.25">
      <c r="A34" s="601"/>
      <c r="B34" s="317"/>
      <c r="C34" s="143" t="e">
        <f>VLOOKUP($B34,'Tabl 1-A Relevé des sources'!$A$6:$H$31,2,FALSE)</f>
        <v>#N/A</v>
      </c>
      <c r="D34" s="594" t="e">
        <f>VLOOKUP($B34,'Tabl 1-A Relevé des sources'!$A$6:$H$31,3,FALSE)</f>
        <v>#N/A</v>
      </c>
      <c r="E34" s="595"/>
      <c r="F34" s="594" t="e">
        <f>VLOOKUP($B34,'Tabl 1-A Relevé des sources'!$A$6:$H$31,4,FALSE)</f>
        <v>#N/A</v>
      </c>
      <c r="G34" s="596"/>
      <c r="H34" s="595"/>
      <c r="I34" s="143" t="e">
        <f>VLOOKUP($B34,'Tabl 1-A Relevé des sources'!$A$6:$H$31,5,FALSE)</f>
        <v>#N/A</v>
      </c>
      <c r="J34" s="143" t="e">
        <f>VLOOKUP($B34,'Tabl 1-A Relevé des sources'!$A$6:$H$31,6,FALSE)</f>
        <v>#N/A</v>
      </c>
      <c r="K34" s="553"/>
      <c r="L34" s="236"/>
      <c r="M34" s="234"/>
      <c r="N34" s="234"/>
      <c r="O34" s="160" t="str">
        <f t="shared" si="0"/>
        <v>erreur</v>
      </c>
    </row>
    <row r="35" spans="1:15" ht="33" customHeight="1" x14ac:dyDescent="0.25">
      <c r="A35" s="601"/>
      <c r="B35" s="317"/>
      <c r="C35" s="143" t="e">
        <f>VLOOKUP($B35,'Tabl 1-A Relevé des sources'!$A$6:$H$31,2,FALSE)</f>
        <v>#N/A</v>
      </c>
      <c r="D35" s="594" t="e">
        <f>VLOOKUP($B35,'Tabl 1-A Relevé des sources'!$A$6:$H$31,3,FALSE)</f>
        <v>#N/A</v>
      </c>
      <c r="E35" s="595"/>
      <c r="F35" s="594" t="e">
        <f>VLOOKUP($B35,'Tabl 1-A Relevé des sources'!$A$6:$H$31,4,FALSE)</f>
        <v>#N/A</v>
      </c>
      <c r="G35" s="596"/>
      <c r="H35" s="595"/>
      <c r="I35" s="143" t="e">
        <f>VLOOKUP($B35,'Tabl 1-A Relevé des sources'!$A$6:$H$31,5,FALSE)</f>
        <v>#N/A</v>
      </c>
      <c r="J35" s="143" t="e">
        <f>VLOOKUP($B35,'Tabl 1-A Relevé des sources'!$A$6:$H$31,6,FALSE)</f>
        <v>#N/A</v>
      </c>
      <c r="K35" s="553"/>
      <c r="L35" s="236"/>
      <c r="M35" s="234"/>
      <c r="N35" s="234"/>
      <c r="O35" s="160" t="str">
        <f t="shared" si="0"/>
        <v>erreur</v>
      </c>
    </row>
    <row r="36" spans="1:15" ht="33" customHeight="1" x14ac:dyDescent="0.25">
      <c r="A36" s="601"/>
      <c r="B36" s="317"/>
      <c r="C36" s="143" t="e">
        <f>VLOOKUP($B36,'Tabl 1-A Relevé des sources'!$A$6:$H$31,2,FALSE)</f>
        <v>#N/A</v>
      </c>
      <c r="D36" s="594" t="e">
        <f>VLOOKUP($B36,'Tabl 1-A Relevé des sources'!$A$6:$H$31,3,FALSE)</f>
        <v>#N/A</v>
      </c>
      <c r="E36" s="595"/>
      <c r="F36" s="594" t="e">
        <f>VLOOKUP($B36,'Tabl 1-A Relevé des sources'!$A$6:$H$31,4,FALSE)</f>
        <v>#N/A</v>
      </c>
      <c r="G36" s="596"/>
      <c r="H36" s="595"/>
      <c r="I36" s="143" t="e">
        <f>VLOOKUP($B36,'Tabl 1-A Relevé des sources'!$A$6:$H$31,5,FALSE)</f>
        <v>#N/A</v>
      </c>
      <c r="J36" s="143" t="e">
        <f>VLOOKUP($B36,'Tabl 1-A Relevé des sources'!$A$6:$H$31,6,FALSE)</f>
        <v>#N/A</v>
      </c>
      <c r="K36" s="553"/>
      <c r="L36" s="236"/>
      <c r="M36" s="274"/>
      <c r="N36" s="274"/>
      <c r="O36" s="160" t="str">
        <f t="shared" ref="O36:O37" si="3">IF(M36="V-nu","F0",IF(AND(M36="V1",N36="T1"),"F0",IF(AND(M36="V1",N36="T2"),"F1",IF(AND(M36="V1",N36="T3"),"F1",IF(AND(M36="V2",N36="T1"),"F1",IF(AND(M36="V2",N36="T2"),"F2",IF(AND(M36="V2",N36="T3"),"F2",IF(AND(M36="V3",N36="T1"),"F1",IF(AND(M36="V3",N36="T2"),"F2",IF(AND(M36="V3",N36="T3"),"F3","erreur"))))))))))</f>
        <v>erreur</v>
      </c>
    </row>
    <row r="37" spans="1:15" ht="33" customHeight="1" x14ac:dyDescent="0.25">
      <c r="A37" s="601"/>
      <c r="B37" s="317"/>
      <c r="C37" s="143" t="e">
        <f>VLOOKUP($B37,'Tabl 1-A Relevé des sources'!$A$6:$H$31,2,FALSE)</f>
        <v>#N/A</v>
      </c>
      <c r="D37" s="594" t="e">
        <f>VLOOKUP($B37,'Tabl 1-A Relevé des sources'!$A$6:$H$31,3,FALSE)</f>
        <v>#N/A</v>
      </c>
      <c r="E37" s="595"/>
      <c r="F37" s="594" t="e">
        <f>VLOOKUP($B37,'Tabl 1-A Relevé des sources'!$A$6:$H$31,4,FALSE)</f>
        <v>#N/A</v>
      </c>
      <c r="G37" s="596"/>
      <c r="H37" s="595"/>
      <c r="I37" s="143" t="e">
        <f>VLOOKUP($B37,'Tabl 1-A Relevé des sources'!$A$6:$H$31,5,FALSE)</f>
        <v>#N/A</v>
      </c>
      <c r="J37" s="143" t="e">
        <f>VLOOKUP($B37,'Tabl 1-A Relevé des sources'!$A$6:$H$31,6,FALSE)</f>
        <v>#N/A</v>
      </c>
      <c r="K37" s="553"/>
      <c r="L37" s="236"/>
      <c r="M37" s="274"/>
      <c r="N37" s="274"/>
      <c r="O37" s="160" t="str">
        <f t="shared" si="3"/>
        <v>erreur</v>
      </c>
    </row>
    <row r="38" spans="1:15" ht="33" customHeight="1" x14ac:dyDescent="0.25">
      <c r="A38" s="601"/>
      <c r="B38" s="317"/>
      <c r="C38" s="143" t="e">
        <f>VLOOKUP($B38,'Tabl 1-A Relevé des sources'!$A$6:$H$31,2,FALSE)</f>
        <v>#N/A</v>
      </c>
      <c r="D38" s="594" t="e">
        <f>VLOOKUP($B38,'Tabl 1-A Relevé des sources'!$A$6:$H$31,3,FALSE)</f>
        <v>#N/A</v>
      </c>
      <c r="E38" s="595"/>
      <c r="F38" s="594" t="e">
        <f>VLOOKUP($B38,'Tabl 1-A Relevé des sources'!$A$6:$H$31,4,FALSE)</f>
        <v>#N/A</v>
      </c>
      <c r="G38" s="596"/>
      <c r="H38" s="595"/>
      <c r="I38" s="143" t="e">
        <f>VLOOKUP($B38,'Tabl 1-A Relevé des sources'!$A$6:$H$31,5,FALSE)</f>
        <v>#N/A</v>
      </c>
      <c r="J38" s="143" t="e">
        <f>VLOOKUP($B38,'Tabl 1-A Relevé des sources'!$A$6:$H$31,6,FALSE)</f>
        <v>#N/A</v>
      </c>
      <c r="K38" s="553"/>
      <c r="L38" s="236"/>
      <c r="M38" s="234"/>
      <c r="N38" s="234"/>
      <c r="O38" s="160" t="str">
        <f t="shared" si="0"/>
        <v>erreur</v>
      </c>
    </row>
    <row r="39" spans="1:15" ht="7.35" customHeight="1" x14ac:dyDescent="0.25">
      <c r="A39" s="601"/>
      <c r="B39" s="148"/>
      <c r="C39" s="7"/>
      <c r="D39" s="7"/>
      <c r="E39" s="7"/>
      <c r="F39" s="7"/>
      <c r="G39" s="7"/>
      <c r="H39" s="7"/>
      <c r="I39" s="7"/>
      <c r="J39" s="7"/>
      <c r="K39" s="7"/>
      <c r="L39" s="329"/>
      <c r="M39" s="7"/>
      <c r="N39" s="7"/>
      <c r="O39" s="159"/>
    </row>
    <row r="40" spans="1:15" ht="45.75" customHeight="1" x14ac:dyDescent="0.25">
      <c r="A40" s="597" t="s">
        <v>12</v>
      </c>
      <c r="B40" s="317"/>
      <c r="C40" s="143" t="e">
        <f>VLOOKUP($B40,'Tabl 1-A Relevé des sources'!$A$6:$H$31,2,FALSE)</f>
        <v>#N/A</v>
      </c>
      <c r="D40" s="594" t="e">
        <f>VLOOKUP($B40,'Tabl 1-A Relevé des sources'!$A$6:$H$31,3,FALSE)</f>
        <v>#N/A</v>
      </c>
      <c r="E40" s="595"/>
      <c r="F40" s="594" t="e">
        <f>VLOOKUP($B40,'Tabl 1-A Relevé des sources'!$A$6:$H$31,4,FALSE)</f>
        <v>#N/A</v>
      </c>
      <c r="G40" s="596"/>
      <c r="H40" s="595"/>
      <c r="I40" s="143" t="e">
        <f>VLOOKUP($B40,'Tabl 1-A Relevé des sources'!$A$6:$H$31,5,FALSE)</f>
        <v>#N/A</v>
      </c>
      <c r="J40" s="143" t="e">
        <f>VLOOKUP($B40,'Tabl 1-A Relevé des sources'!$A$6:$H$31,6,FALSE)</f>
        <v>#N/A</v>
      </c>
      <c r="K40" s="553"/>
      <c r="L40" s="236"/>
      <c r="M40" s="234"/>
      <c r="N40" s="234"/>
      <c r="O40" s="160" t="str">
        <f t="shared" si="0"/>
        <v>erreur</v>
      </c>
    </row>
    <row r="41" spans="1:15" ht="32.25" customHeight="1" x14ac:dyDescent="0.25">
      <c r="A41" s="598"/>
      <c r="B41" s="317"/>
      <c r="C41" s="143" t="e">
        <f>VLOOKUP($B41,'Tabl 1-A Relevé des sources'!$A$6:$H$31,2,FALSE)</f>
        <v>#N/A</v>
      </c>
      <c r="D41" s="594" t="e">
        <f>VLOOKUP($B41,'Tabl 1-A Relevé des sources'!$A$6:$H$31,3,FALSE)</f>
        <v>#N/A</v>
      </c>
      <c r="E41" s="595"/>
      <c r="F41" s="594" t="e">
        <f>VLOOKUP($B41,'Tabl 1-A Relevé des sources'!$A$6:$H$31,4,FALSE)</f>
        <v>#N/A</v>
      </c>
      <c r="G41" s="596"/>
      <c r="H41" s="595"/>
      <c r="I41" s="143" t="e">
        <f>VLOOKUP($B41,'Tabl 1-A Relevé des sources'!$A$6:$H$31,5,FALSE)</f>
        <v>#N/A</v>
      </c>
      <c r="J41" s="143" t="e">
        <f>VLOOKUP($B41,'Tabl 1-A Relevé des sources'!$A$6:$H$31,6,FALSE)</f>
        <v>#N/A</v>
      </c>
      <c r="K41" s="553"/>
      <c r="L41" s="236"/>
      <c r="M41" s="234"/>
      <c r="N41" s="234"/>
      <c r="O41" s="160" t="str">
        <f t="shared" si="0"/>
        <v>erreur</v>
      </c>
    </row>
    <row r="42" spans="1:15" ht="32.25" customHeight="1" x14ac:dyDescent="0.25">
      <c r="A42" s="598"/>
      <c r="B42" s="317"/>
      <c r="C42" s="143" t="e">
        <f>VLOOKUP($B42,'Tabl 1-A Relevé des sources'!$A$6:$H$31,2,FALSE)</f>
        <v>#N/A</v>
      </c>
      <c r="D42" s="594" t="e">
        <f>VLOOKUP($B42,'Tabl 1-A Relevé des sources'!$A$6:$H$31,3,FALSE)</f>
        <v>#N/A</v>
      </c>
      <c r="E42" s="595"/>
      <c r="F42" s="594" t="e">
        <f>VLOOKUP($B42,'Tabl 1-A Relevé des sources'!$A$6:$H$31,4,FALSE)</f>
        <v>#N/A</v>
      </c>
      <c r="G42" s="596"/>
      <c r="H42" s="595"/>
      <c r="I42" s="143" t="e">
        <f>VLOOKUP($B42,'Tabl 1-A Relevé des sources'!$A$6:$H$31,5,FALSE)</f>
        <v>#N/A</v>
      </c>
      <c r="J42" s="143" t="e">
        <f>VLOOKUP($B42,'Tabl 1-A Relevé des sources'!$A$6:$H$31,6,FALSE)</f>
        <v>#N/A</v>
      </c>
      <c r="K42" s="553"/>
      <c r="L42" s="236"/>
      <c r="M42" s="234"/>
      <c r="N42" s="234"/>
      <c r="O42" s="160" t="str">
        <f t="shared" si="0"/>
        <v>erreur</v>
      </c>
    </row>
    <row r="43" spans="1:15" ht="32.25" customHeight="1" x14ac:dyDescent="0.25">
      <c r="A43" s="598"/>
      <c r="B43" s="317"/>
      <c r="C43" s="143" t="e">
        <f>VLOOKUP($B43,'Tabl 1-A Relevé des sources'!$A$6:$H$31,2,FALSE)</f>
        <v>#N/A</v>
      </c>
      <c r="D43" s="594" t="e">
        <f>VLOOKUP($B43,'Tabl 1-A Relevé des sources'!$A$6:$H$31,3,FALSE)</f>
        <v>#N/A</v>
      </c>
      <c r="E43" s="595"/>
      <c r="F43" s="594" t="e">
        <f>VLOOKUP($B43,'Tabl 1-A Relevé des sources'!$A$6:$H$31,4,FALSE)</f>
        <v>#N/A</v>
      </c>
      <c r="G43" s="596"/>
      <c r="H43" s="595"/>
      <c r="I43" s="143" t="e">
        <f>VLOOKUP($B43,'Tabl 1-A Relevé des sources'!$A$6:$H$31,5,FALSE)</f>
        <v>#N/A</v>
      </c>
      <c r="J43" s="143" t="e">
        <f>VLOOKUP($B43,'Tabl 1-A Relevé des sources'!$A$6:$H$31,6,FALSE)</f>
        <v>#N/A</v>
      </c>
      <c r="K43" s="553"/>
      <c r="L43" s="236"/>
      <c r="M43" s="274"/>
      <c r="N43" s="274"/>
      <c r="O43" s="160" t="str">
        <f t="shared" si="0"/>
        <v>erreur</v>
      </c>
    </row>
    <row r="44" spans="1:15" ht="32.25" customHeight="1" x14ac:dyDescent="0.25">
      <c r="A44" s="598"/>
      <c r="B44" s="317"/>
      <c r="C44" s="143" t="e">
        <f>VLOOKUP($B44,'Tabl 1-A Relevé des sources'!$A$6:$H$31,2,FALSE)</f>
        <v>#N/A</v>
      </c>
      <c r="D44" s="594" t="e">
        <f>VLOOKUP($B44,'Tabl 1-A Relevé des sources'!$A$6:$H$31,3,FALSE)</f>
        <v>#N/A</v>
      </c>
      <c r="E44" s="595"/>
      <c r="F44" s="594" t="e">
        <f>VLOOKUP($B44,'Tabl 1-A Relevé des sources'!$A$6:$H$31,4,FALSE)</f>
        <v>#N/A</v>
      </c>
      <c r="G44" s="596"/>
      <c r="H44" s="595"/>
      <c r="I44" s="143" t="e">
        <f>VLOOKUP($B44,'Tabl 1-A Relevé des sources'!$A$6:$H$31,5,FALSE)</f>
        <v>#N/A</v>
      </c>
      <c r="J44" s="143" t="e">
        <f>VLOOKUP($B44,'Tabl 1-A Relevé des sources'!$A$6:$H$31,6,FALSE)</f>
        <v>#N/A</v>
      </c>
      <c r="K44" s="553"/>
      <c r="L44" s="236"/>
      <c r="M44" s="274"/>
      <c r="N44" s="274"/>
      <c r="O44" s="160" t="str">
        <f t="shared" ref="O44:O51" si="4">IF(M44="V-nu","F0",IF(AND(M44="V1",N44="T1"),"F0",IF(AND(M44="V1",N44="T2"),"F1",IF(AND(M44="V1",N44="T3"),"F1",IF(AND(M44="V2",N44="T1"),"F1",IF(AND(M44="V2",N44="T2"),"F2",IF(AND(M44="V2",N44="T3"),"F2",IF(AND(M44="V3",N44="T1"),"F1",IF(AND(M44="V3",N44="T2"),"F2",IF(AND(M44="V3",N44="T3"),"F3","erreur"))))))))))</f>
        <v>erreur</v>
      </c>
    </row>
    <row r="45" spans="1:15" ht="32.25" customHeight="1" x14ac:dyDescent="0.25">
      <c r="A45" s="598"/>
      <c r="B45" s="317"/>
      <c r="C45" s="143" t="e">
        <f>VLOOKUP($B45,'Tabl 1-A Relevé des sources'!$A$6:$H$31,2,FALSE)</f>
        <v>#N/A</v>
      </c>
      <c r="D45" s="594" t="e">
        <f>VLOOKUP($B45,'Tabl 1-A Relevé des sources'!$A$6:$H$31,3,FALSE)</f>
        <v>#N/A</v>
      </c>
      <c r="E45" s="595"/>
      <c r="F45" s="594" t="e">
        <f>VLOOKUP($B45,'Tabl 1-A Relevé des sources'!$A$6:$H$31,4,FALSE)</f>
        <v>#N/A</v>
      </c>
      <c r="G45" s="596"/>
      <c r="H45" s="595"/>
      <c r="I45" s="143" t="e">
        <f>VLOOKUP($B45,'Tabl 1-A Relevé des sources'!$A$6:$H$31,5,FALSE)</f>
        <v>#N/A</v>
      </c>
      <c r="J45" s="143" t="e">
        <f>VLOOKUP($B45,'Tabl 1-A Relevé des sources'!$A$6:$H$31,6,FALSE)</f>
        <v>#N/A</v>
      </c>
      <c r="K45" s="553"/>
      <c r="L45" s="236"/>
      <c r="M45" s="274"/>
      <c r="N45" s="274"/>
      <c r="O45" s="160" t="str">
        <f t="shared" si="4"/>
        <v>erreur</v>
      </c>
    </row>
    <row r="46" spans="1:15" ht="95.25" customHeight="1" x14ac:dyDescent="0.25">
      <c r="A46" s="598"/>
      <c r="B46" s="317"/>
      <c r="C46" s="143" t="e">
        <f>VLOOKUP($B46,'Tabl 1-A Relevé des sources'!$A$6:$H$31,2,FALSE)</f>
        <v>#N/A</v>
      </c>
      <c r="D46" s="594" t="e">
        <f>VLOOKUP($B46,'Tabl 1-A Relevé des sources'!$A$6:$H$31,3,FALSE)</f>
        <v>#N/A</v>
      </c>
      <c r="E46" s="595"/>
      <c r="F46" s="594" t="e">
        <f>VLOOKUP($B46,'Tabl 1-A Relevé des sources'!$A$6:$H$31,4,FALSE)</f>
        <v>#N/A</v>
      </c>
      <c r="G46" s="596"/>
      <c r="H46" s="595"/>
      <c r="I46" s="143" t="e">
        <f>VLOOKUP($B46,'Tabl 1-A Relevé des sources'!$A$6:$H$31,5,FALSE)</f>
        <v>#N/A</v>
      </c>
      <c r="J46" s="143" t="e">
        <f>VLOOKUP($B46,'Tabl 1-A Relevé des sources'!$A$6:$H$31,6,FALSE)</f>
        <v>#N/A</v>
      </c>
      <c r="K46" s="553"/>
      <c r="L46" s="236"/>
      <c r="M46" s="342"/>
      <c r="N46" s="342"/>
      <c r="O46" s="160" t="str">
        <f t="shared" si="4"/>
        <v>erreur</v>
      </c>
    </row>
    <row r="47" spans="1:15" ht="99" customHeight="1" x14ac:dyDescent="0.25">
      <c r="A47" s="598"/>
      <c r="B47" s="446"/>
      <c r="C47" s="143" t="e">
        <f>VLOOKUP($B47,'Tabl 1-A Relevé des sources'!$A$6:$H$31,2,FALSE)</f>
        <v>#N/A</v>
      </c>
      <c r="D47" s="594" t="e">
        <f>VLOOKUP($B47,'Tabl 1-A Relevé des sources'!$A$6:$H$31,3,FALSE)</f>
        <v>#N/A</v>
      </c>
      <c r="E47" s="595"/>
      <c r="F47" s="594" t="e">
        <f>VLOOKUP($B47,'Tabl 1-A Relevé des sources'!$A$6:$H$31,4,FALSE)</f>
        <v>#N/A</v>
      </c>
      <c r="G47" s="596"/>
      <c r="H47" s="595"/>
      <c r="I47" s="143" t="e">
        <f>VLOOKUP($B47,'Tabl 1-A Relevé des sources'!$A$6:$H$31,5,FALSE)</f>
        <v>#N/A</v>
      </c>
      <c r="J47" s="143" t="e">
        <f>VLOOKUP($B47,'Tabl 1-A Relevé des sources'!$A$6:$H$31,6,FALSE)</f>
        <v>#N/A</v>
      </c>
      <c r="K47" s="553"/>
      <c r="L47" s="236"/>
      <c r="M47" s="342"/>
      <c r="N47" s="342"/>
      <c r="O47" s="160" t="str">
        <f t="shared" si="4"/>
        <v>erreur</v>
      </c>
    </row>
    <row r="48" spans="1:15" ht="32.25" customHeight="1" x14ac:dyDescent="0.25">
      <c r="A48" s="598"/>
      <c r="B48" s="317"/>
      <c r="C48" s="143" t="e">
        <f>VLOOKUP($B48,'Tabl 1-A Relevé des sources'!$A$6:$H$31,2,FALSE)</f>
        <v>#N/A</v>
      </c>
      <c r="D48" s="594" t="e">
        <f>VLOOKUP($B48,'Tabl 1-A Relevé des sources'!$A$6:$H$31,3,FALSE)</f>
        <v>#N/A</v>
      </c>
      <c r="E48" s="595"/>
      <c r="F48" s="594" t="e">
        <f>VLOOKUP($B48,'Tabl 1-A Relevé des sources'!$A$6:$H$31,4,FALSE)</f>
        <v>#N/A</v>
      </c>
      <c r="G48" s="596"/>
      <c r="H48" s="595"/>
      <c r="I48" s="143" t="e">
        <f>VLOOKUP($B48,'Tabl 1-A Relevé des sources'!$A$6:$H$31,5,FALSE)</f>
        <v>#N/A</v>
      </c>
      <c r="J48" s="143" t="e">
        <f>VLOOKUP($B48,'Tabl 1-A Relevé des sources'!$A$6:$H$31,6,FALSE)</f>
        <v>#N/A</v>
      </c>
      <c r="K48" s="553"/>
      <c r="L48" s="236"/>
      <c r="M48" s="342"/>
      <c r="N48" s="342"/>
      <c r="O48" s="160" t="str">
        <f t="shared" si="4"/>
        <v>erreur</v>
      </c>
    </row>
    <row r="49" spans="1:15" ht="32.25" customHeight="1" x14ac:dyDescent="0.25">
      <c r="A49" s="598"/>
      <c r="B49" s="317"/>
      <c r="C49" s="143" t="e">
        <f>VLOOKUP($B49,'Tabl 1-A Relevé des sources'!$A$6:$H$31,2,FALSE)</f>
        <v>#N/A</v>
      </c>
      <c r="D49" s="594" t="e">
        <f>VLOOKUP($B49,'Tabl 1-A Relevé des sources'!$A$6:$H$31,3,FALSE)</f>
        <v>#N/A</v>
      </c>
      <c r="E49" s="595"/>
      <c r="F49" s="594" t="e">
        <f>VLOOKUP($B49,'Tabl 1-A Relevé des sources'!$A$6:$H$31,4,FALSE)</f>
        <v>#N/A</v>
      </c>
      <c r="G49" s="596"/>
      <c r="H49" s="595"/>
      <c r="I49" s="143" t="e">
        <f>VLOOKUP($B49,'Tabl 1-A Relevé des sources'!$A$6:$H$31,5,FALSE)</f>
        <v>#N/A</v>
      </c>
      <c r="J49" s="143" t="e">
        <f>VLOOKUP($B49,'Tabl 1-A Relevé des sources'!$A$6:$H$31,6,FALSE)</f>
        <v>#N/A</v>
      </c>
      <c r="K49" s="553"/>
      <c r="L49" s="236"/>
      <c r="M49" s="342"/>
      <c r="N49" s="342"/>
      <c r="O49" s="160" t="str">
        <f t="shared" ref="O49:O50" si="5">IF(M49="V-nu","F0",IF(AND(M49="V1",N49="T1"),"F0",IF(AND(M49="V1",N49="T2"),"F1",IF(AND(M49="V1",N49="T3"),"F1",IF(AND(M49="V2",N49="T1"),"F1",IF(AND(M49="V2",N49="T2"),"F2",IF(AND(M49="V2",N49="T3"),"F2",IF(AND(M49="V3",N49="T1"),"F1",IF(AND(M49="V3",N49="T2"),"F2",IF(AND(M49="V3",N49="T3"),"F3","erreur"))))))))))</f>
        <v>erreur</v>
      </c>
    </row>
    <row r="50" spans="1:15" ht="32.25" customHeight="1" x14ac:dyDescent="0.25">
      <c r="A50" s="598"/>
      <c r="B50" s="317"/>
      <c r="C50" s="143" t="e">
        <f>VLOOKUP($B50,'Tabl 1-A Relevé des sources'!$A$6:$H$31,2,FALSE)</f>
        <v>#N/A</v>
      </c>
      <c r="D50" s="594" t="e">
        <f>VLOOKUP($B50,'Tabl 1-A Relevé des sources'!$A$6:$H$31,3,FALSE)</f>
        <v>#N/A</v>
      </c>
      <c r="E50" s="595"/>
      <c r="F50" s="594" t="e">
        <f>VLOOKUP($B50,'Tabl 1-A Relevé des sources'!$A$6:$H$31,4,FALSE)</f>
        <v>#N/A</v>
      </c>
      <c r="G50" s="596"/>
      <c r="H50" s="595"/>
      <c r="I50" s="143" t="e">
        <f>VLOOKUP($B50,'Tabl 1-A Relevé des sources'!$A$6:$H$31,5,FALSE)</f>
        <v>#N/A</v>
      </c>
      <c r="J50" s="143" t="e">
        <f>VLOOKUP($B50,'Tabl 1-A Relevé des sources'!$A$6:$H$31,6,FALSE)</f>
        <v>#N/A</v>
      </c>
      <c r="K50" s="553"/>
      <c r="L50" s="236"/>
      <c r="M50" s="342"/>
      <c r="N50" s="342"/>
      <c r="O50" s="160" t="str">
        <f t="shared" si="5"/>
        <v>erreur</v>
      </c>
    </row>
    <row r="51" spans="1:15" ht="32.25" customHeight="1" x14ac:dyDescent="0.25">
      <c r="A51" s="598"/>
      <c r="B51" s="317"/>
      <c r="C51" s="143" t="e">
        <f>VLOOKUP($B51,'Tabl 1-A Relevé des sources'!$A$6:$H$31,2,FALSE)</f>
        <v>#N/A</v>
      </c>
      <c r="D51" s="594" t="e">
        <f>VLOOKUP($B51,'Tabl 1-A Relevé des sources'!$A$6:$H$31,3,FALSE)</f>
        <v>#N/A</v>
      </c>
      <c r="E51" s="595"/>
      <c r="F51" s="594" t="e">
        <f>VLOOKUP($B51,'Tabl 1-A Relevé des sources'!$A$6:$H$31,4,FALSE)</f>
        <v>#N/A</v>
      </c>
      <c r="G51" s="596"/>
      <c r="H51" s="595"/>
      <c r="I51" s="143" t="e">
        <f>VLOOKUP($B51,'Tabl 1-A Relevé des sources'!$A$6:$H$31,5,FALSE)</f>
        <v>#N/A</v>
      </c>
      <c r="J51" s="143" t="e">
        <f>VLOOKUP($B51,'Tabl 1-A Relevé des sources'!$A$6:$H$31,6,FALSE)</f>
        <v>#N/A</v>
      </c>
      <c r="K51" s="553"/>
      <c r="L51" s="236"/>
      <c r="M51" s="274"/>
      <c r="N51" s="274"/>
      <c r="O51" s="160" t="str">
        <f t="shared" si="4"/>
        <v>erreur</v>
      </c>
    </row>
    <row r="52" spans="1:15" ht="32.25" customHeight="1" x14ac:dyDescent="0.25">
      <c r="A52" s="598"/>
      <c r="B52" s="317"/>
      <c r="C52" s="143" t="e">
        <f>VLOOKUP($B52,'Tabl 1-A Relevé des sources'!$A$6:$H$31,2,FALSE)</f>
        <v>#N/A</v>
      </c>
      <c r="D52" s="594" t="e">
        <f>VLOOKUP($B52,'Tabl 1-A Relevé des sources'!$A$6:$H$31,3,FALSE)</f>
        <v>#N/A</v>
      </c>
      <c r="E52" s="595"/>
      <c r="F52" s="594" t="e">
        <f>VLOOKUP($B52,'Tabl 1-A Relevé des sources'!$A$6:$H$31,4,FALSE)</f>
        <v>#N/A</v>
      </c>
      <c r="G52" s="596"/>
      <c r="H52" s="595"/>
      <c r="I52" s="143" t="e">
        <f>VLOOKUP($B52,'Tabl 1-A Relevé des sources'!$A$6:$H$31,5,FALSE)</f>
        <v>#N/A</v>
      </c>
      <c r="J52" s="143" t="e">
        <f>VLOOKUP($B52,'Tabl 1-A Relevé des sources'!$A$6:$H$31,6,FALSE)</f>
        <v>#N/A</v>
      </c>
      <c r="K52" s="553"/>
      <c r="L52" s="236"/>
      <c r="M52" s="274"/>
      <c r="N52" s="274"/>
      <c r="O52" s="160" t="str">
        <f t="shared" si="0"/>
        <v>erreur</v>
      </c>
    </row>
    <row r="53" spans="1:15" ht="32.25" customHeight="1" x14ac:dyDescent="0.25">
      <c r="A53" s="598"/>
      <c r="B53" s="317"/>
      <c r="C53" s="143" t="e">
        <f>VLOOKUP($B53,'Tabl 1-A Relevé des sources'!$A$6:$H$31,2,FALSE)</f>
        <v>#N/A</v>
      </c>
      <c r="D53" s="594" t="e">
        <f>VLOOKUP($B53,'Tabl 1-A Relevé des sources'!$A$6:$H$31,3,FALSE)</f>
        <v>#N/A</v>
      </c>
      <c r="E53" s="595"/>
      <c r="F53" s="594" t="e">
        <f>VLOOKUP($B53,'Tabl 1-A Relevé des sources'!$A$6:$H$31,4,FALSE)</f>
        <v>#N/A</v>
      </c>
      <c r="G53" s="596"/>
      <c r="H53" s="595"/>
      <c r="I53" s="143" t="e">
        <f>VLOOKUP($B53,'Tabl 1-A Relevé des sources'!$A$6:$H$31,5,FALSE)</f>
        <v>#N/A</v>
      </c>
      <c r="J53" s="143" t="e">
        <f>VLOOKUP($B53,'Tabl 1-A Relevé des sources'!$A$6:$H$31,6,FALSE)</f>
        <v>#N/A</v>
      </c>
      <c r="K53" s="553"/>
      <c r="L53" s="236"/>
      <c r="M53" s="274"/>
      <c r="N53" s="274"/>
      <c r="O53" s="160" t="str">
        <f t="shared" si="0"/>
        <v>erreur</v>
      </c>
    </row>
    <row r="54" spans="1:15" ht="32.25" customHeight="1" x14ac:dyDescent="0.25">
      <c r="A54" s="598"/>
      <c r="B54" s="317"/>
      <c r="C54" s="143" t="e">
        <f>VLOOKUP($B54,'Tabl 1-A Relevé des sources'!$A$6:$H$31,2,FALSE)</f>
        <v>#N/A</v>
      </c>
      <c r="D54" s="594" t="e">
        <f>VLOOKUP($B54,'Tabl 1-A Relevé des sources'!$A$6:$H$31,3,FALSE)</f>
        <v>#N/A</v>
      </c>
      <c r="E54" s="595"/>
      <c r="F54" s="594" t="e">
        <f>VLOOKUP($B54,'Tabl 1-A Relevé des sources'!$A$6:$H$31,4,FALSE)</f>
        <v>#N/A</v>
      </c>
      <c r="G54" s="596"/>
      <c r="H54" s="595"/>
      <c r="I54" s="143" t="e">
        <f>VLOOKUP($B54,'Tabl 1-A Relevé des sources'!$A$6:$H$31,5,FALSE)</f>
        <v>#N/A</v>
      </c>
      <c r="J54" s="143" t="e">
        <f>VLOOKUP($B54,'Tabl 1-A Relevé des sources'!$A$6:$H$31,6,FALSE)</f>
        <v>#N/A</v>
      </c>
      <c r="K54" s="553"/>
      <c r="L54" s="236"/>
      <c r="M54" s="234"/>
      <c r="N54" s="234"/>
      <c r="O54" s="160" t="str">
        <f t="shared" si="0"/>
        <v>erreur</v>
      </c>
    </row>
    <row r="55" spans="1:15" ht="6.75" customHeight="1" x14ac:dyDescent="0.25">
      <c r="A55" s="599"/>
      <c r="B55" s="148"/>
      <c r="C55" s="7"/>
      <c r="D55" s="7"/>
      <c r="E55" s="7"/>
      <c r="F55" s="7"/>
      <c r="G55" s="7"/>
      <c r="H55" s="7"/>
      <c r="I55" s="7"/>
      <c r="J55" s="7"/>
      <c r="K55" s="7"/>
      <c r="L55" s="329"/>
      <c r="M55" s="7"/>
      <c r="N55" s="7"/>
      <c r="O55" s="159"/>
    </row>
    <row r="56" spans="1:15" ht="36.75" customHeight="1" x14ac:dyDescent="0.25">
      <c r="A56" s="604" t="s">
        <v>13</v>
      </c>
      <c r="B56" s="317"/>
      <c r="C56" s="143" t="e">
        <f>VLOOKUP($B56,'Tabl 1-A Relevé des sources'!$A$6:$H$31,2,FALSE)</f>
        <v>#N/A</v>
      </c>
      <c r="D56" s="594" t="e">
        <f>VLOOKUP($B56,'Tabl 1-A Relevé des sources'!$A$6:$H$31,3,FALSE)</f>
        <v>#N/A</v>
      </c>
      <c r="E56" s="595"/>
      <c r="F56" s="594" t="e">
        <f>VLOOKUP($B56,'Tabl 1-A Relevé des sources'!$A$6:$H$31,4,FALSE)</f>
        <v>#N/A</v>
      </c>
      <c r="G56" s="596"/>
      <c r="H56" s="595"/>
      <c r="I56" s="143" t="e">
        <f>VLOOKUP($B56,'Tabl 1-A Relevé des sources'!$A$6:$H$31,5,FALSE)</f>
        <v>#N/A</v>
      </c>
      <c r="J56" s="143" t="e">
        <f>VLOOKUP($B56,'Tabl 1-A Relevé des sources'!$A$6:$H$31,6,FALSE)</f>
        <v>#N/A</v>
      </c>
      <c r="K56" s="553"/>
      <c r="L56" s="235"/>
      <c r="M56" s="234"/>
      <c r="N56" s="234"/>
      <c r="O56" s="160" t="str">
        <f t="shared" si="0"/>
        <v>erreur</v>
      </c>
    </row>
    <row r="57" spans="1:15" ht="36.75" customHeight="1" x14ac:dyDescent="0.25">
      <c r="A57" s="605"/>
      <c r="B57" s="317"/>
      <c r="C57" s="143" t="e">
        <f>VLOOKUP($B57,'Tabl 1-A Relevé des sources'!$A$6:$H$31,2,FALSE)</f>
        <v>#N/A</v>
      </c>
      <c r="D57" s="594" t="e">
        <f>VLOOKUP($B57,'Tabl 1-A Relevé des sources'!$A$6:$H$31,3,FALSE)</f>
        <v>#N/A</v>
      </c>
      <c r="E57" s="595"/>
      <c r="F57" s="594" t="e">
        <f>VLOOKUP($B57,'Tabl 1-A Relevé des sources'!$A$6:$H$31,4,FALSE)</f>
        <v>#N/A</v>
      </c>
      <c r="G57" s="596"/>
      <c r="H57" s="595"/>
      <c r="I57" s="143" t="e">
        <f>VLOOKUP($B57,'Tabl 1-A Relevé des sources'!$A$6:$H$31,5,FALSE)</f>
        <v>#N/A</v>
      </c>
      <c r="J57" s="143" t="e">
        <f>VLOOKUP($B57,'Tabl 1-A Relevé des sources'!$A$6:$H$31,6,FALSE)</f>
        <v>#N/A</v>
      </c>
      <c r="K57" s="553"/>
      <c r="L57" s="235"/>
      <c r="M57" s="234"/>
      <c r="N57" s="234"/>
      <c r="O57" s="160" t="str">
        <f t="shared" si="0"/>
        <v>erreur</v>
      </c>
    </row>
    <row r="58" spans="1:15" ht="36.75" customHeight="1" x14ac:dyDescent="0.25">
      <c r="A58" s="605"/>
      <c r="B58" s="317"/>
      <c r="C58" s="143" t="e">
        <f>VLOOKUP($B58,'Tabl 1-A Relevé des sources'!$A$6:$H$31,2,FALSE)</f>
        <v>#N/A</v>
      </c>
      <c r="D58" s="594" t="e">
        <f>VLOOKUP($B58,'Tabl 1-A Relevé des sources'!$A$6:$H$31,3,FALSE)</f>
        <v>#N/A</v>
      </c>
      <c r="E58" s="595"/>
      <c r="F58" s="594" t="e">
        <f>VLOOKUP($B58,'Tabl 1-A Relevé des sources'!$A$6:$H$31,4,FALSE)</f>
        <v>#N/A</v>
      </c>
      <c r="G58" s="596"/>
      <c r="H58" s="595"/>
      <c r="I58" s="143" t="e">
        <f>VLOOKUP($B58,'Tabl 1-A Relevé des sources'!$A$6:$H$31,5,FALSE)</f>
        <v>#N/A</v>
      </c>
      <c r="J58" s="143" t="e">
        <f>VLOOKUP($B58,'Tabl 1-A Relevé des sources'!$A$6:$H$31,6,FALSE)</f>
        <v>#N/A</v>
      </c>
      <c r="K58" s="553"/>
      <c r="L58" s="235"/>
      <c r="M58" s="234"/>
      <c r="N58" s="234"/>
      <c r="O58" s="160" t="str">
        <f t="shared" si="0"/>
        <v>erreur</v>
      </c>
    </row>
    <row r="59" spans="1:15" ht="36.75" customHeight="1" x14ac:dyDescent="0.25">
      <c r="A59" s="605"/>
      <c r="B59" s="317"/>
      <c r="C59" s="143" t="e">
        <f>VLOOKUP($B59,'Tabl 1-A Relevé des sources'!$A$6:$H$31,2,FALSE)</f>
        <v>#N/A</v>
      </c>
      <c r="D59" s="594" t="e">
        <f>VLOOKUP($B59,'Tabl 1-A Relevé des sources'!$A$6:$H$31,3,FALSE)</f>
        <v>#N/A</v>
      </c>
      <c r="E59" s="595"/>
      <c r="F59" s="594" t="e">
        <f>VLOOKUP($B59,'Tabl 1-A Relevé des sources'!$A$6:$H$31,4,FALSE)</f>
        <v>#N/A</v>
      </c>
      <c r="G59" s="596"/>
      <c r="H59" s="595"/>
      <c r="I59" s="143" t="e">
        <f>VLOOKUP($B59,'Tabl 1-A Relevé des sources'!$A$6:$H$31,5,FALSE)</f>
        <v>#N/A</v>
      </c>
      <c r="J59" s="143" t="e">
        <f>VLOOKUP($B59,'Tabl 1-A Relevé des sources'!$A$6:$H$31,6,FALSE)</f>
        <v>#N/A</v>
      </c>
      <c r="K59" s="553"/>
      <c r="L59" s="235"/>
      <c r="M59" s="234"/>
      <c r="N59" s="234"/>
      <c r="O59" s="160" t="str">
        <f t="shared" si="0"/>
        <v>erreur</v>
      </c>
    </row>
    <row r="60" spans="1:15" ht="36.75" customHeight="1" x14ac:dyDescent="0.25">
      <c r="A60" s="605"/>
      <c r="B60" s="317"/>
      <c r="C60" s="143" t="e">
        <f>VLOOKUP($B60,'Tabl 1-A Relevé des sources'!$A$6:$H$31,2,FALSE)</f>
        <v>#N/A</v>
      </c>
      <c r="D60" s="594" t="e">
        <f>VLOOKUP($B60,'Tabl 1-A Relevé des sources'!$A$6:$H$31,3,FALSE)</f>
        <v>#N/A</v>
      </c>
      <c r="E60" s="595"/>
      <c r="F60" s="594" t="e">
        <f>VLOOKUP($B60,'Tabl 1-A Relevé des sources'!$A$6:$H$31,4,FALSE)</f>
        <v>#N/A</v>
      </c>
      <c r="G60" s="596"/>
      <c r="H60" s="595"/>
      <c r="I60" s="143" t="e">
        <f>VLOOKUP($B60,'Tabl 1-A Relevé des sources'!$A$6:$H$31,5,FALSE)</f>
        <v>#N/A</v>
      </c>
      <c r="J60" s="143" t="e">
        <f>VLOOKUP($B60,'Tabl 1-A Relevé des sources'!$A$6:$H$31,6,FALSE)</f>
        <v>#N/A</v>
      </c>
      <c r="K60" s="553"/>
      <c r="L60" s="235"/>
      <c r="M60" s="234"/>
      <c r="N60" s="234"/>
      <c r="O60" s="160" t="str">
        <f t="shared" si="0"/>
        <v>erreur</v>
      </c>
    </row>
    <row r="61" spans="1:15" ht="51" customHeight="1" x14ac:dyDescent="0.25">
      <c r="A61" s="605"/>
      <c r="B61" s="317"/>
      <c r="C61" s="143" t="e">
        <f>VLOOKUP($B61,'Tabl 1-A Relevé des sources'!$A$6:$H$31,2,FALSE)</f>
        <v>#N/A</v>
      </c>
      <c r="D61" s="613" t="e">
        <f>VLOOKUP($B61,'Tabl 1-A Relevé des sources'!$A$6:$H$31,3,FALSE)</f>
        <v>#N/A</v>
      </c>
      <c r="E61" s="615"/>
      <c r="F61" s="594" t="e">
        <f>VLOOKUP($B61,'Tabl 1-A Relevé des sources'!$A$6:$H$31,4,FALSE)</f>
        <v>#N/A</v>
      </c>
      <c r="G61" s="596"/>
      <c r="H61" s="595"/>
      <c r="I61" s="143" t="e">
        <f>VLOOKUP($B61,'Tabl 1-A Relevé des sources'!$A$6:$H$31,5,FALSE)</f>
        <v>#N/A</v>
      </c>
      <c r="J61" s="143" t="e">
        <f>VLOOKUP($B61,'Tabl 1-A Relevé des sources'!$A$6:$H$31,6,FALSE)</f>
        <v>#N/A</v>
      </c>
      <c r="K61" s="553"/>
      <c r="L61" s="235"/>
      <c r="M61" s="234"/>
      <c r="N61" s="234"/>
      <c r="O61" s="160" t="str">
        <f t="shared" si="0"/>
        <v>erreur</v>
      </c>
    </row>
    <row r="62" spans="1:15" ht="36.75" customHeight="1" x14ac:dyDescent="0.25">
      <c r="A62" s="605"/>
      <c r="B62" s="317"/>
      <c r="C62" s="143" t="e">
        <f>VLOOKUP($B62,'Tabl 1-A Relevé des sources'!$A$6:$H$31,2,FALSE)</f>
        <v>#N/A</v>
      </c>
      <c r="D62" s="594" t="e">
        <f>VLOOKUP($B62,'Tabl 1-A Relevé des sources'!$A$6:$H$31,3,FALSE)</f>
        <v>#N/A</v>
      </c>
      <c r="E62" s="595"/>
      <c r="F62" s="594" t="e">
        <f>VLOOKUP($B62,'Tabl 1-A Relevé des sources'!$A$6:$H$31,4,FALSE)</f>
        <v>#N/A</v>
      </c>
      <c r="G62" s="596"/>
      <c r="H62" s="595"/>
      <c r="I62" s="143" t="e">
        <f>VLOOKUP($B62,'Tabl 1-A Relevé des sources'!$A$6:$H$31,5,FALSE)</f>
        <v>#N/A</v>
      </c>
      <c r="J62" s="143" t="e">
        <f>VLOOKUP($B62,'Tabl 1-A Relevé des sources'!$A$6:$H$31,6,FALSE)</f>
        <v>#N/A</v>
      </c>
      <c r="K62" s="553"/>
      <c r="L62" s="235"/>
      <c r="M62" s="342"/>
      <c r="N62" s="342"/>
      <c r="O62" s="160" t="str">
        <f t="shared" ref="O62:O66" si="6">IF(M62="V-nu","F0",IF(AND(M62="V1",N62="T1"),"F0",IF(AND(M62="V1",N62="T2"),"F1",IF(AND(M62="V1",N62="T3"),"F1",IF(AND(M62="V2",N62="T1"),"F1",IF(AND(M62="V2",N62="T2"),"F2",IF(AND(M62="V2",N62="T3"),"F2",IF(AND(M62="V3",N62="T1"),"F1",IF(AND(M62="V3",N62="T2"),"F2",IF(AND(M62="V3",N62="T3"),"F3","erreur"))))))))))</f>
        <v>erreur</v>
      </c>
    </row>
    <row r="63" spans="1:15" ht="36.75" customHeight="1" x14ac:dyDescent="0.25">
      <c r="A63" s="605"/>
      <c r="B63" s="317"/>
      <c r="C63" s="143" t="e">
        <f>VLOOKUP($B63,'Tabl 1-A Relevé des sources'!$A$6:$H$31,2,FALSE)</f>
        <v>#N/A</v>
      </c>
      <c r="D63" s="594" t="e">
        <f>VLOOKUP($B63,'Tabl 1-A Relevé des sources'!$A$6:$H$31,3,FALSE)</f>
        <v>#N/A</v>
      </c>
      <c r="E63" s="595"/>
      <c r="F63" s="594" t="e">
        <f>VLOOKUP($B63,'Tabl 1-A Relevé des sources'!$A$6:$H$31,4,FALSE)</f>
        <v>#N/A</v>
      </c>
      <c r="G63" s="596"/>
      <c r="H63" s="595"/>
      <c r="I63" s="143" t="e">
        <f>VLOOKUP($B63,'Tabl 1-A Relevé des sources'!$A$6:$H$31,5,FALSE)</f>
        <v>#N/A</v>
      </c>
      <c r="J63" s="143" t="e">
        <f>VLOOKUP($B63,'Tabl 1-A Relevé des sources'!$A$6:$H$31,6,FALSE)</f>
        <v>#N/A</v>
      </c>
      <c r="K63" s="553"/>
      <c r="L63" s="235"/>
      <c r="M63" s="342"/>
      <c r="N63" s="342"/>
      <c r="O63" s="160" t="str">
        <f t="shared" si="6"/>
        <v>erreur</v>
      </c>
    </row>
    <row r="64" spans="1:15" ht="36.75" customHeight="1" x14ac:dyDescent="0.25">
      <c r="A64" s="605"/>
      <c r="B64" s="317"/>
      <c r="C64" s="143" t="e">
        <f>VLOOKUP($B64,'Tabl 1-A Relevé des sources'!$A$6:$H$31,2,FALSE)</f>
        <v>#N/A</v>
      </c>
      <c r="D64" s="594" t="e">
        <f>VLOOKUP($B64,'Tabl 1-A Relevé des sources'!$A$6:$H$31,3,FALSE)</f>
        <v>#N/A</v>
      </c>
      <c r="E64" s="595"/>
      <c r="F64" s="594" t="e">
        <f>VLOOKUP($B64,'Tabl 1-A Relevé des sources'!$A$6:$H$31,4,FALSE)</f>
        <v>#N/A</v>
      </c>
      <c r="G64" s="596"/>
      <c r="H64" s="595"/>
      <c r="I64" s="143" t="e">
        <f>VLOOKUP($B64,'Tabl 1-A Relevé des sources'!$A$6:$H$31,5,FALSE)</f>
        <v>#N/A</v>
      </c>
      <c r="J64" s="143" t="e">
        <f>VLOOKUP($B64,'Tabl 1-A Relevé des sources'!$A$6:$H$31,6,FALSE)</f>
        <v>#N/A</v>
      </c>
      <c r="K64" s="553"/>
      <c r="L64" s="235"/>
      <c r="M64" s="342"/>
      <c r="N64" s="342"/>
      <c r="O64" s="160" t="str">
        <f t="shared" si="6"/>
        <v>erreur</v>
      </c>
    </row>
    <row r="65" spans="1:15" ht="36.75" customHeight="1" x14ac:dyDescent="0.25">
      <c r="A65" s="605"/>
      <c r="B65" s="317"/>
      <c r="C65" s="143" t="e">
        <f>VLOOKUP($B65,'Tabl 1-A Relevé des sources'!$A$6:$H$31,2,FALSE)</f>
        <v>#N/A</v>
      </c>
      <c r="D65" s="594" t="e">
        <f>VLOOKUP($B65,'Tabl 1-A Relevé des sources'!$A$6:$H$31,3,FALSE)</f>
        <v>#N/A</v>
      </c>
      <c r="E65" s="595"/>
      <c r="F65" s="594" t="e">
        <f>VLOOKUP($B65,'Tabl 1-A Relevé des sources'!$A$6:$H$31,4,FALSE)</f>
        <v>#N/A</v>
      </c>
      <c r="G65" s="596"/>
      <c r="H65" s="595"/>
      <c r="I65" s="143" t="e">
        <f>VLOOKUP($B65,'Tabl 1-A Relevé des sources'!$A$6:$H$31,5,FALSE)</f>
        <v>#N/A</v>
      </c>
      <c r="J65" s="143" t="e">
        <f>VLOOKUP($B65,'Tabl 1-A Relevé des sources'!$A$6:$H$31,6,FALSE)</f>
        <v>#N/A</v>
      </c>
      <c r="K65" s="553"/>
      <c r="L65" s="235"/>
      <c r="M65" s="342"/>
      <c r="N65" s="342"/>
      <c r="O65" s="160" t="str">
        <f t="shared" si="6"/>
        <v>erreur</v>
      </c>
    </row>
    <row r="66" spans="1:15" ht="36.75" customHeight="1" x14ac:dyDescent="0.25">
      <c r="A66" s="605"/>
      <c r="B66" s="317"/>
      <c r="C66" s="143" t="e">
        <f>VLOOKUP($B66,'Tabl 1-A Relevé des sources'!$A$6:$H$31,2,FALSE)</f>
        <v>#N/A</v>
      </c>
      <c r="D66" s="594" t="e">
        <f>VLOOKUP($B66,'Tabl 1-A Relevé des sources'!$A$6:$H$31,3,FALSE)</f>
        <v>#N/A</v>
      </c>
      <c r="E66" s="595"/>
      <c r="F66" s="594" t="e">
        <f>VLOOKUP($B66,'Tabl 1-A Relevé des sources'!$A$6:$H$31,4,FALSE)</f>
        <v>#N/A</v>
      </c>
      <c r="G66" s="596"/>
      <c r="H66" s="595"/>
      <c r="I66" s="143" t="e">
        <f>VLOOKUP($B66,'Tabl 1-A Relevé des sources'!$A$6:$H$31,5,FALSE)</f>
        <v>#N/A</v>
      </c>
      <c r="J66" s="143" t="e">
        <f>VLOOKUP($B66,'Tabl 1-A Relevé des sources'!$A$6:$H$31,6,FALSE)</f>
        <v>#N/A</v>
      </c>
      <c r="K66" s="553"/>
      <c r="L66" s="235"/>
      <c r="M66" s="342"/>
      <c r="N66" s="342"/>
      <c r="O66" s="160" t="str">
        <f t="shared" si="6"/>
        <v>erreur</v>
      </c>
    </row>
    <row r="67" spans="1:15" ht="36.75" customHeight="1" x14ac:dyDescent="0.25">
      <c r="A67" s="605"/>
      <c r="B67" s="317"/>
      <c r="C67" s="143" t="e">
        <f>VLOOKUP($B67,'Tabl 1-A Relevé des sources'!$A$6:$H$31,2,FALSE)</f>
        <v>#N/A</v>
      </c>
      <c r="D67" s="594" t="e">
        <f>VLOOKUP($B67,'Tabl 1-A Relevé des sources'!$A$6:$H$31,3,FALSE)</f>
        <v>#N/A</v>
      </c>
      <c r="E67" s="595"/>
      <c r="F67" s="594" t="e">
        <f>VLOOKUP($B67,'Tabl 1-A Relevé des sources'!$A$6:$H$31,4,FALSE)</f>
        <v>#N/A</v>
      </c>
      <c r="G67" s="596"/>
      <c r="H67" s="595"/>
      <c r="I67" s="143" t="e">
        <f>VLOOKUP($B67,'Tabl 1-A Relevé des sources'!$A$6:$H$31,5,FALSE)</f>
        <v>#N/A</v>
      </c>
      <c r="J67" s="143" t="e">
        <f>VLOOKUP($B67,'Tabl 1-A Relevé des sources'!$A$6:$H$31,6,FALSE)</f>
        <v>#N/A</v>
      </c>
      <c r="K67" s="553"/>
      <c r="L67" s="235"/>
      <c r="M67" s="234"/>
      <c r="N67" s="234"/>
      <c r="O67" s="160" t="str">
        <f t="shared" si="0"/>
        <v>erreur</v>
      </c>
    </row>
    <row r="68" spans="1:15" ht="36.75" customHeight="1" x14ac:dyDescent="0.25">
      <c r="A68" s="605"/>
      <c r="B68" s="317"/>
      <c r="C68" s="143" t="e">
        <f>VLOOKUP($B68,'Tabl 1-A Relevé des sources'!$A$6:$H$31,2,FALSE)</f>
        <v>#N/A</v>
      </c>
      <c r="D68" s="594" t="e">
        <f>VLOOKUP($B68,'Tabl 1-A Relevé des sources'!$A$6:$H$31,3,FALSE)</f>
        <v>#N/A</v>
      </c>
      <c r="E68" s="595"/>
      <c r="F68" s="594" t="e">
        <f>VLOOKUP($B68,'Tabl 1-A Relevé des sources'!$A$6:$H$31,4,FALSE)</f>
        <v>#N/A</v>
      </c>
      <c r="G68" s="596"/>
      <c r="H68" s="595"/>
      <c r="I68" s="143" t="e">
        <f>VLOOKUP($B68,'Tabl 1-A Relevé des sources'!$A$6:$H$31,5,FALSE)</f>
        <v>#N/A</v>
      </c>
      <c r="J68" s="143" t="e">
        <f>VLOOKUP($B68,'Tabl 1-A Relevé des sources'!$A$6:$H$31,6,FALSE)</f>
        <v>#N/A</v>
      </c>
      <c r="K68" s="553"/>
      <c r="L68" s="235"/>
      <c r="M68" s="274"/>
      <c r="N68" s="274"/>
      <c r="O68" s="160" t="str">
        <f t="shared" ref="O68" si="7">IF(M68="V-nu","F0",IF(AND(M68="V1",N68="T1"),"F0",IF(AND(M68="V1",N68="T2"),"F1",IF(AND(M68="V1",N68="T3"),"F1",IF(AND(M68="V2",N68="T1"),"F1",IF(AND(M68="V2",N68="T2"),"F2",IF(AND(M68="V2",N68="T3"),"F2",IF(AND(M68="V3",N68="T1"),"F1",IF(AND(M68="V3",N68="T2"),"F2",IF(AND(M68="V3",N68="T3"),"F3","erreur"))))))))))</f>
        <v>erreur</v>
      </c>
    </row>
    <row r="69" spans="1:15" ht="36.75" customHeight="1" x14ac:dyDescent="0.25">
      <c r="A69" s="605"/>
      <c r="B69" s="317"/>
      <c r="C69" s="143" t="e">
        <f>VLOOKUP($B69,'Tabl 1-A Relevé des sources'!$A$6:$H$31,2,FALSE)</f>
        <v>#N/A</v>
      </c>
      <c r="D69" s="594" t="e">
        <f>VLOOKUP($B69,'Tabl 1-A Relevé des sources'!$A$6:$H$31,3,FALSE)</f>
        <v>#N/A</v>
      </c>
      <c r="E69" s="595"/>
      <c r="F69" s="594" t="e">
        <f>VLOOKUP($B69,'Tabl 1-A Relevé des sources'!$A$6:$H$31,4,FALSE)</f>
        <v>#N/A</v>
      </c>
      <c r="G69" s="596"/>
      <c r="H69" s="595"/>
      <c r="I69" s="143" t="e">
        <f>VLOOKUP($B69,'Tabl 1-A Relevé des sources'!$A$6:$H$31,5,FALSE)</f>
        <v>#N/A</v>
      </c>
      <c r="J69" s="143" t="e">
        <f>VLOOKUP($B69,'Tabl 1-A Relevé des sources'!$A$6:$H$31,6,FALSE)</f>
        <v>#N/A</v>
      </c>
      <c r="K69" s="553"/>
      <c r="L69" s="235"/>
      <c r="M69" s="234"/>
      <c r="N69" s="234"/>
      <c r="O69" s="160" t="str">
        <f t="shared" si="0"/>
        <v>erreur</v>
      </c>
    </row>
    <row r="70" spans="1:15" ht="36.75" customHeight="1" x14ac:dyDescent="0.25">
      <c r="A70" s="605"/>
      <c r="B70" s="317"/>
      <c r="C70" s="143" t="e">
        <f>VLOOKUP($B70,'Tabl 1-A Relevé des sources'!$A$6:$H$31,2,FALSE)</f>
        <v>#N/A</v>
      </c>
      <c r="D70" s="594" t="e">
        <f>VLOOKUP($B70,'Tabl 1-A Relevé des sources'!$A$6:$H$31,3,FALSE)</f>
        <v>#N/A</v>
      </c>
      <c r="E70" s="595"/>
      <c r="F70" s="594" t="e">
        <f>VLOOKUP($B70,'Tabl 1-A Relevé des sources'!$A$6:$H$31,4,FALSE)</f>
        <v>#N/A</v>
      </c>
      <c r="G70" s="596"/>
      <c r="H70" s="595"/>
      <c r="I70" s="143" t="e">
        <f>VLOOKUP($B70,'Tabl 1-A Relevé des sources'!$A$6:$H$31,5,FALSE)</f>
        <v>#N/A</v>
      </c>
      <c r="J70" s="143" t="e">
        <f>VLOOKUP($B70,'Tabl 1-A Relevé des sources'!$A$6:$H$31,6,FALSE)</f>
        <v>#N/A</v>
      </c>
      <c r="K70" s="553"/>
      <c r="L70" s="235"/>
      <c r="M70" s="234"/>
      <c r="N70" s="234"/>
      <c r="O70" s="160" t="str">
        <f t="shared" si="0"/>
        <v>erreur</v>
      </c>
    </row>
    <row r="71" spans="1:15" ht="7.5" customHeight="1" x14ac:dyDescent="0.25">
      <c r="A71" s="605"/>
      <c r="B71" s="148"/>
      <c r="C71" s="7"/>
      <c r="D71" s="7"/>
      <c r="E71" s="7"/>
      <c r="F71" s="7"/>
      <c r="G71" s="7"/>
      <c r="H71" s="7"/>
      <c r="I71" s="7"/>
      <c r="J71" s="7"/>
      <c r="K71" s="7"/>
      <c r="L71" s="329"/>
      <c r="M71" s="7"/>
      <c r="N71" s="7"/>
      <c r="O71" s="159"/>
    </row>
    <row r="72" spans="1:15" ht="37.5" customHeight="1" x14ac:dyDescent="0.25">
      <c r="A72" s="600" t="s">
        <v>14</v>
      </c>
      <c r="B72" s="317"/>
      <c r="C72" s="143" t="e">
        <f>VLOOKUP($B72,'Tabl 1-A Relevé des sources'!$A$6:$H$31,2,FALSE)</f>
        <v>#N/A</v>
      </c>
      <c r="D72" s="594" t="e">
        <f>VLOOKUP($B72,'Tabl 1-A Relevé des sources'!$A$6:$H$31,3,FALSE)</f>
        <v>#N/A</v>
      </c>
      <c r="E72" s="595"/>
      <c r="F72" s="594" t="e">
        <f>VLOOKUP($B72,'Tabl 1-A Relevé des sources'!$A$6:$H$31,4,FALSE)</f>
        <v>#N/A</v>
      </c>
      <c r="G72" s="596"/>
      <c r="H72" s="595"/>
      <c r="I72" s="143" t="e">
        <f>VLOOKUP($B72,'Tabl 1-A Relevé des sources'!$A$6:$H$31,5,FALSE)</f>
        <v>#N/A</v>
      </c>
      <c r="J72" s="143" t="e">
        <f>VLOOKUP($B72,'Tabl 1-A Relevé des sources'!$A$6:$H$31,6,FALSE)</f>
        <v>#N/A</v>
      </c>
      <c r="K72" s="553"/>
      <c r="L72" s="235"/>
      <c r="M72" s="234"/>
      <c r="N72" s="234"/>
      <c r="O72" s="160" t="str">
        <f t="shared" si="0"/>
        <v>erreur</v>
      </c>
    </row>
    <row r="73" spans="1:15" ht="37.5" customHeight="1" x14ac:dyDescent="0.25">
      <c r="A73" s="601"/>
      <c r="B73" s="317"/>
      <c r="C73" s="143" t="e">
        <f>VLOOKUP($B73,'Tabl 1-A Relevé des sources'!$A$6:$H$31,2,FALSE)</f>
        <v>#N/A</v>
      </c>
      <c r="D73" s="594" t="e">
        <f>VLOOKUP($B73,'Tabl 1-A Relevé des sources'!$A$6:$H$31,3,FALSE)</f>
        <v>#N/A</v>
      </c>
      <c r="E73" s="595"/>
      <c r="F73" s="594" t="e">
        <f>VLOOKUP($B73,'Tabl 1-A Relevé des sources'!$A$6:$H$31,4,FALSE)</f>
        <v>#N/A</v>
      </c>
      <c r="G73" s="596"/>
      <c r="H73" s="595"/>
      <c r="I73" s="143" t="e">
        <f>VLOOKUP($B73,'Tabl 1-A Relevé des sources'!$A$6:$H$31,5,FALSE)</f>
        <v>#N/A</v>
      </c>
      <c r="J73" s="143" t="e">
        <f>VLOOKUP($B73,'Tabl 1-A Relevé des sources'!$A$6:$H$31,6,FALSE)</f>
        <v>#N/A</v>
      </c>
      <c r="K73" s="553"/>
      <c r="L73" s="236"/>
      <c r="M73" s="234"/>
      <c r="N73" s="234"/>
      <c r="O73" s="160" t="str">
        <f t="shared" si="0"/>
        <v>erreur</v>
      </c>
    </row>
    <row r="74" spans="1:15" ht="86.25" customHeight="1" x14ac:dyDescent="0.25">
      <c r="A74" s="601"/>
      <c r="B74" s="317"/>
      <c r="C74" s="143" t="e">
        <f>VLOOKUP($B74,'Tabl 1-A Relevé des sources'!$A$6:$H$31,2,FALSE)</f>
        <v>#N/A</v>
      </c>
      <c r="D74" s="594" t="e">
        <f>VLOOKUP($B74,'Tabl 1-A Relevé des sources'!$A$6:$H$31,3,FALSE)</f>
        <v>#N/A</v>
      </c>
      <c r="E74" s="595"/>
      <c r="F74" s="594" t="e">
        <f>VLOOKUP($B74,'Tabl 1-A Relevé des sources'!$A$6:$H$31,4,FALSE)</f>
        <v>#N/A</v>
      </c>
      <c r="G74" s="596"/>
      <c r="H74" s="595"/>
      <c r="I74" s="143" t="e">
        <f>VLOOKUP($B74,'Tabl 1-A Relevé des sources'!$A$6:$H$31,5,FALSE)</f>
        <v>#N/A</v>
      </c>
      <c r="J74" s="143" t="e">
        <f>VLOOKUP($B74,'Tabl 1-A Relevé des sources'!$A$6:$H$31,6,FALSE)</f>
        <v>#N/A</v>
      </c>
      <c r="K74" s="553"/>
      <c r="L74" s="235"/>
      <c r="M74" s="234"/>
      <c r="N74" s="234"/>
      <c r="O74" s="160" t="str">
        <f t="shared" si="0"/>
        <v>erreur</v>
      </c>
    </row>
    <row r="75" spans="1:15" ht="37.5" customHeight="1" x14ac:dyDescent="0.25">
      <c r="A75" s="601"/>
      <c r="B75" s="317"/>
      <c r="C75" s="143" t="e">
        <f>VLOOKUP($B75,'Tabl 1-A Relevé des sources'!$A$6:$H$31,2,FALSE)</f>
        <v>#N/A</v>
      </c>
      <c r="D75" s="594" t="e">
        <f>VLOOKUP($B75,'Tabl 1-A Relevé des sources'!$A$6:$H$31,3,FALSE)</f>
        <v>#N/A</v>
      </c>
      <c r="E75" s="595"/>
      <c r="F75" s="594" t="e">
        <f>VLOOKUP($B75,'Tabl 1-A Relevé des sources'!$A$6:$H$31,4,FALSE)</f>
        <v>#N/A</v>
      </c>
      <c r="G75" s="596"/>
      <c r="H75" s="595"/>
      <c r="I75" s="143" t="e">
        <f>VLOOKUP($B75,'Tabl 1-A Relevé des sources'!$A$6:$H$31,5,FALSE)</f>
        <v>#N/A</v>
      </c>
      <c r="J75" s="143" t="e">
        <f>VLOOKUP($B75,'Tabl 1-A Relevé des sources'!$A$6:$H$31,6,FALSE)</f>
        <v>#N/A</v>
      </c>
      <c r="K75" s="553"/>
      <c r="L75" s="236"/>
      <c r="M75" s="274"/>
      <c r="N75" s="274"/>
      <c r="O75" s="160" t="str">
        <f t="shared" ref="O75:O79" si="8">IF(M75="V-nu","F0",IF(AND(M75="V1",N75="T1"),"F0",IF(AND(M75="V1",N75="T2"),"F1",IF(AND(M75="V1",N75="T3"),"F1",IF(AND(M75="V2",N75="T1"),"F1",IF(AND(M75="V2",N75="T2"),"F2",IF(AND(M75="V2",N75="T3"),"F2",IF(AND(M75="V3",N75="T1"),"F1",IF(AND(M75="V3",N75="T2"),"F2",IF(AND(M75="V3",N75="T3"),"F3","erreur"))))))))))</f>
        <v>erreur</v>
      </c>
    </row>
    <row r="76" spans="1:15" ht="37.5" customHeight="1" x14ac:dyDescent="0.25">
      <c r="A76" s="601"/>
      <c r="B76" s="317"/>
      <c r="C76" s="143" t="e">
        <f>VLOOKUP($B76,'Tabl 1-A Relevé des sources'!$A$6:$H$31,2,FALSE)</f>
        <v>#N/A</v>
      </c>
      <c r="D76" s="594" t="e">
        <f>VLOOKUP($B76,'Tabl 1-A Relevé des sources'!$A$6:$H$31,3,FALSE)</f>
        <v>#N/A</v>
      </c>
      <c r="E76" s="595"/>
      <c r="F76" s="594" t="e">
        <f>VLOOKUP($B76,'Tabl 1-A Relevé des sources'!$A$6:$H$31,4,FALSE)</f>
        <v>#N/A</v>
      </c>
      <c r="G76" s="596"/>
      <c r="H76" s="595"/>
      <c r="I76" s="143" t="e">
        <f>VLOOKUP($B76,'Tabl 1-A Relevé des sources'!$A$6:$H$31,5,FALSE)</f>
        <v>#N/A</v>
      </c>
      <c r="J76" s="143" t="e">
        <f>VLOOKUP($B76,'Tabl 1-A Relevé des sources'!$A$6:$H$31,6,FALSE)</f>
        <v>#N/A</v>
      </c>
      <c r="K76" s="553"/>
      <c r="L76" s="235"/>
      <c r="M76" s="274"/>
      <c r="N76" s="274"/>
      <c r="O76" s="160" t="str">
        <f t="shared" si="8"/>
        <v>erreur</v>
      </c>
    </row>
    <row r="77" spans="1:15" ht="37.5" customHeight="1" x14ac:dyDescent="0.25">
      <c r="A77" s="601"/>
      <c r="B77" s="317"/>
      <c r="C77" s="143" t="e">
        <f>VLOOKUP($B77,'Tabl 1-A Relevé des sources'!$A$6:$H$31,2,FALSE)</f>
        <v>#N/A</v>
      </c>
      <c r="D77" s="594" t="e">
        <f>VLOOKUP($B77,'Tabl 1-A Relevé des sources'!$A$6:$H$31,3,FALSE)</f>
        <v>#N/A</v>
      </c>
      <c r="E77" s="595"/>
      <c r="F77" s="594" t="e">
        <f>VLOOKUP($B77,'Tabl 1-A Relevé des sources'!$A$6:$H$31,4,FALSE)</f>
        <v>#N/A</v>
      </c>
      <c r="G77" s="596"/>
      <c r="H77" s="595"/>
      <c r="I77" s="143" t="e">
        <f>VLOOKUP($B77,'Tabl 1-A Relevé des sources'!$A$6:$H$31,5,FALSE)</f>
        <v>#N/A</v>
      </c>
      <c r="J77" s="143" t="e">
        <f>VLOOKUP($B77,'Tabl 1-A Relevé des sources'!$A$6:$H$31,6,FALSE)</f>
        <v>#N/A</v>
      </c>
      <c r="K77" s="553"/>
      <c r="L77" s="236"/>
      <c r="M77" s="274"/>
      <c r="N77" s="274"/>
      <c r="O77" s="160" t="str">
        <f t="shared" si="8"/>
        <v>erreur</v>
      </c>
    </row>
    <row r="78" spans="1:15" ht="37.5" customHeight="1" x14ac:dyDescent="0.25">
      <c r="A78" s="601"/>
      <c r="B78" s="317"/>
      <c r="C78" s="143" t="e">
        <f>VLOOKUP($B78,'Tabl 1-A Relevé des sources'!$A$6:$H$31,2,FALSE)</f>
        <v>#N/A</v>
      </c>
      <c r="D78" s="594" t="e">
        <f>VLOOKUP($B78,'Tabl 1-A Relevé des sources'!$A$6:$H$31,3,FALSE)</f>
        <v>#N/A</v>
      </c>
      <c r="E78" s="595"/>
      <c r="F78" s="594" t="e">
        <f>VLOOKUP($B78,'Tabl 1-A Relevé des sources'!$A$6:$H$31,4,FALSE)</f>
        <v>#N/A</v>
      </c>
      <c r="G78" s="596"/>
      <c r="H78" s="595"/>
      <c r="I78" s="143" t="e">
        <f>VLOOKUP($B78,'Tabl 1-A Relevé des sources'!$A$6:$H$31,5,FALSE)</f>
        <v>#N/A</v>
      </c>
      <c r="J78" s="143" t="e">
        <f>VLOOKUP($B78,'Tabl 1-A Relevé des sources'!$A$6:$H$31,6,FALSE)</f>
        <v>#N/A</v>
      </c>
      <c r="K78" s="553"/>
      <c r="L78" s="235"/>
      <c r="M78" s="342"/>
      <c r="N78" s="342"/>
      <c r="O78" s="160" t="str">
        <f t="shared" si="8"/>
        <v>erreur</v>
      </c>
    </row>
    <row r="79" spans="1:15" ht="37.5" customHeight="1" x14ac:dyDescent="0.25">
      <c r="A79" s="601"/>
      <c r="B79" s="317"/>
      <c r="C79" s="143" t="e">
        <f>VLOOKUP($B79,'Tabl 1-A Relevé des sources'!$A$6:$H$31,2,FALSE)</f>
        <v>#N/A</v>
      </c>
      <c r="D79" s="594" t="e">
        <f>VLOOKUP($B79,'Tabl 1-A Relevé des sources'!$A$6:$H$31,3,FALSE)</f>
        <v>#N/A</v>
      </c>
      <c r="E79" s="595"/>
      <c r="F79" s="594" t="e">
        <f>VLOOKUP($B79,'Tabl 1-A Relevé des sources'!$A$6:$H$31,4,FALSE)</f>
        <v>#N/A</v>
      </c>
      <c r="G79" s="596"/>
      <c r="H79" s="595"/>
      <c r="I79" s="143" t="e">
        <f>VLOOKUP($B79,'Tabl 1-A Relevé des sources'!$A$6:$H$31,5,FALSE)</f>
        <v>#N/A</v>
      </c>
      <c r="J79" s="143" t="e">
        <f>VLOOKUP($B79,'Tabl 1-A Relevé des sources'!$A$6:$H$31,6,FALSE)</f>
        <v>#N/A</v>
      </c>
      <c r="K79" s="553"/>
      <c r="L79" s="236"/>
      <c r="M79" s="342"/>
      <c r="N79" s="342"/>
      <c r="O79" s="160" t="str">
        <f t="shared" si="8"/>
        <v>erreur</v>
      </c>
    </row>
    <row r="80" spans="1:15" ht="37.5" customHeight="1" x14ac:dyDescent="0.25">
      <c r="A80" s="601"/>
      <c r="B80" s="317"/>
      <c r="C80" s="143" t="e">
        <f>VLOOKUP($B80,'Tabl 1-A Relevé des sources'!$A$6:$H$31,2,FALSE)</f>
        <v>#N/A</v>
      </c>
      <c r="D80" s="594" t="e">
        <f>VLOOKUP($B80,'Tabl 1-A Relevé des sources'!$A$6:$H$31,3,FALSE)</f>
        <v>#N/A</v>
      </c>
      <c r="E80" s="595"/>
      <c r="F80" s="594" t="e">
        <f>VLOOKUP($B80,'Tabl 1-A Relevé des sources'!$A$6:$H$31,4,FALSE)</f>
        <v>#N/A</v>
      </c>
      <c r="G80" s="596"/>
      <c r="H80" s="595"/>
      <c r="I80" s="143" t="e">
        <f>VLOOKUP($B80,'Tabl 1-A Relevé des sources'!$A$6:$H$31,5,FALSE)</f>
        <v>#N/A</v>
      </c>
      <c r="J80" s="143" t="e">
        <f>VLOOKUP($B80,'Tabl 1-A Relevé des sources'!$A$6:$H$31,6,FALSE)</f>
        <v>#N/A</v>
      </c>
      <c r="K80" s="553"/>
      <c r="L80" s="235"/>
      <c r="M80" s="342"/>
      <c r="N80" s="342"/>
      <c r="O80" s="160" t="str">
        <f t="shared" ref="O80:O82" si="9">IF(M80="V-nu","F0",IF(AND(M80="V1",N80="T1"),"F0",IF(AND(M80="V1",N80="T2"),"F1",IF(AND(M80="V1",N80="T3"),"F1",IF(AND(M80="V2",N80="T1"),"F1",IF(AND(M80="V2",N80="T2"),"F2",IF(AND(M80="V2",N80="T3"),"F2",IF(AND(M80="V3",N80="T1"),"F1",IF(AND(M80="V3",N80="T2"),"F2",IF(AND(M80="V3",N80="T3"),"F3","erreur"))))))))))</f>
        <v>erreur</v>
      </c>
    </row>
    <row r="81" spans="1:15" ht="37.5" customHeight="1" x14ac:dyDescent="0.25">
      <c r="A81" s="601"/>
      <c r="B81" s="317"/>
      <c r="C81" s="143" t="e">
        <f>VLOOKUP($B81,'Tabl 1-A Relevé des sources'!$A$6:$H$31,2,FALSE)</f>
        <v>#N/A</v>
      </c>
      <c r="D81" s="594" t="e">
        <f>VLOOKUP($B81,'Tabl 1-A Relevé des sources'!$A$6:$H$31,3,FALSE)</f>
        <v>#N/A</v>
      </c>
      <c r="E81" s="595"/>
      <c r="F81" s="594" t="e">
        <f>VLOOKUP($B81,'Tabl 1-A Relevé des sources'!$A$6:$H$31,4,FALSE)</f>
        <v>#N/A</v>
      </c>
      <c r="G81" s="596"/>
      <c r="H81" s="595"/>
      <c r="I81" s="143" t="e">
        <f>VLOOKUP($B81,'Tabl 1-A Relevé des sources'!$A$6:$H$31,5,FALSE)</f>
        <v>#N/A</v>
      </c>
      <c r="J81" s="143" t="e">
        <f>VLOOKUP($B81,'Tabl 1-A Relevé des sources'!$A$6:$H$31,6,FALSE)</f>
        <v>#N/A</v>
      </c>
      <c r="K81" s="553"/>
      <c r="L81" s="236"/>
      <c r="M81" s="342"/>
      <c r="N81" s="342"/>
      <c r="O81" s="160" t="str">
        <f t="shared" si="9"/>
        <v>erreur</v>
      </c>
    </row>
    <row r="82" spans="1:15" ht="37.5" customHeight="1" x14ac:dyDescent="0.25">
      <c r="A82" s="601"/>
      <c r="B82" s="317"/>
      <c r="C82" s="143" t="e">
        <f>VLOOKUP($B82,'Tabl 1-A Relevé des sources'!$A$6:$H$31,2,FALSE)</f>
        <v>#N/A</v>
      </c>
      <c r="D82" s="594" t="e">
        <f>VLOOKUP($B82,'Tabl 1-A Relevé des sources'!$A$6:$H$31,3,FALSE)</f>
        <v>#N/A</v>
      </c>
      <c r="E82" s="595"/>
      <c r="F82" s="594" t="e">
        <f>VLOOKUP($B82,'Tabl 1-A Relevé des sources'!$A$6:$H$31,4,FALSE)</f>
        <v>#N/A</v>
      </c>
      <c r="G82" s="596"/>
      <c r="H82" s="595"/>
      <c r="I82" s="143" t="e">
        <f>VLOOKUP($B82,'Tabl 1-A Relevé des sources'!$A$6:$H$31,5,FALSE)</f>
        <v>#N/A</v>
      </c>
      <c r="J82" s="143" t="e">
        <f>VLOOKUP($B82,'Tabl 1-A Relevé des sources'!$A$6:$H$31,6,FALSE)</f>
        <v>#N/A</v>
      </c>
      <c r="K82" s="553"/>
      <c r="L82" s="235"/>
      <c r="M82" s="342"/>
      <c r="N82" s="342"/>
      <c r="O82" s="160" t="str">
        <f t="shared" si="9"/>
        <v>erreur</v>
      </c>
    </row>
    <row r="83" spans="1:15" ht="37.5" customHeight="1" x14ac:dyDescent="0.25">
      <c r="A83" s="601"/>
      <c r="B83" s="317"/>
      <c r="C83" s="143" t="e">
        <f>VLOOKUP($B83,'Tabl 1-A Relevé des sources'!$A$6:$H$31,2,FALSE)</f>
        <v>#N/A</v>
      </c>
      <c r="D83" s="594" t="e">
        <f>VLOOKUP($B83,'Tabl 1-A Relevé des sources'!$A$6:$H$31,3,FALSE)</f>
        <v>#N/A</v>
      </c>
      <c r="E83" s="595"/>
      <c r="F83" s="594" t="e">
        <f>VLOOKUP($B83,'Tabl 1-A Relevé des sources'!$A$6:$H$31,4,FALSE)</f>
        <v>#N/A</v>
      </c>
      <c r="G83" s="596"/>
      <c r="H83" s="595"/>
      <c r="I83" s="143" t="e">
        <f>VLOOKUP($B83,'Tabl 1-A Relevé des sources'!$A$6:$H$31,5,FALSE)</f>
        <v>#N/A</v>
      </c>
      <c r="J83" s="143" t="e">
        <f>VLOOKUP($B83,'Tabl 1-A Relevé des sources'!$A$6:$H$31,6,FALSE)</f>
        <v>#N/A</v>
      </c>
      <c r="K83" s="553"/>
      <c r="L83" s="236"/>
      <c r="M83" s="274"/>
      <c r="N83" s="274"/>
      <c r="O83" s="160" t="str">
        <f t="shared" ref="O83:O84" si="10">IF(M83="V-nu","F0",IF(AND(M83="V1",N83="T1"),"F0",IF(AND(M83="V1",N83="T2"),"F1",IF(AND(M83="V1",N83="T3"),"F1",IF(AND(M83="V2",N83="T1"),"F1",IF(AND(M83="V2",N83="T2"),"F2",IF(AND(M83="V2",N83="T3"),"F2",IF(AND(M83="V3",N83="T1"),"F1",IF(AND(M83="V3",N83="T2"),"F2",IF(AND(M83="V3",N83="T3"),"F3","erreur"))))))))))</f>
        <v>erreur</v>
      </c>
    </row>
    <row r="84" spans="1:15" ht="37.5" customHeight="1" x14ac:dyDescent="0.25">
      <c r="A84" s="601"/>
      <c r="B84" s="317"/>
      <c r="C84" s="143" t="e">
        <f>VLOOKUP($B84,'Tabl 1-A Relevé des sources'!$A$6:$H$31,2,FALSE)</f>
        <v>#N/A</v>
      </c>
      <c r="D84" s="594" t="e">
        <f>VLOOKUP($B84,'Tabl 1-A Relevé des sources'!$A$6:$H$31,3,FALSE)</f>
        <v>#N/A</v>
      </c>
      <c r="E84" s="595"/>
      <c r="F84" s="594" t="e">
        <f>VLOOKUP($B84,'Tabl 1-A Relevé des sources'!$A$6:$H$31,4,FALSE)</f>
        <v>#N/A</v>
      </c>
      <c r="G84" s="596"/>
      <c r="H84" s="595"/>
      <c r="I84" s="143" t="e">
        <f>VLOOKUP($B84,'Tabl 1-A Relevé des sources'!$A$6:$H$31,5,FALSE)</f>
        <v>#N/A</v>
      </c>
      <c r="J84" s="143" t="e">
        <f>VLOOKUP($B84,'Tabl 1-A Relevé des sources'!$A$6:$H$31,6,FALSE)</f>
        <v>#N/A</v>
      </c>
      <c r="K84" s="553"/>
      <c r="L84" s="235"/>
      <c r="M84" s="274"/>
      <c r="N84" s="274"/>
      <c r="O84" s="160" t="str">
        <f t="shared" si="10"/>
        <v>erreur</v>
      </c>
    </row>
    <row r="85" spans="1:15" ht="37.5" customHeight="1" x14ac:dyDescent="0.25">
      <c r="A85" s="601"/>
      <c r="B85" s="317"/>
      <c r="C85" s="143" t="e">
        <f>VLOOKUP($B85,'Tabl 1-A Relevé des sources'!$A$6:$H$31,2,FALSE)</f>
        <v>#N/A</v>
      </c>
      <c r="D85" s="594" t="e">
        <f>VLOOKUP($B85,'Tabl 1-A Relevé des sources'!$A$6:$H$31,3,FALSE)</f>
        <v>#N/A</v>
      </c>
      <c r="E85" s="595"/>
      <c r="F85" s="594" t="e">
        <f>VLOOKUP($B85,'Tabl 1-A Relevé des sources'!$A$6:$H$31,4,FALSE)</f>
        <v>#N/A</v>
      </c>
      <c r="G85" s="596"/>
      <c r="H85" s="595"/>
      <c r="I85" s="143" t="e">
        <f>VLOOKUP($B85,'Tabl 1-A Relevé des sources'!$A$6:$H$31,5,FALSE)</f>
        <v>#N/A</v>
      </c>
      <c r="J85" s="143" t="e">
        <f>VLOOKUP($B85,'Tabl 1-A Relevé des sources'!$A$6:$H$31,6,FALSE)</f>
        <v>#N/A</v>
      </c>
      <c r="K85" s="553"/>
      <c r="L85" s="236"/>
      <c r="M85" s="234"/>
      <c r="N85" s="234"/>
      <c r="O85" s="160" t="str">
        <f t="shared" si="0"/>
        <v>erreur</v>
      </c>
    </row>
    <row r="86" spans="1:15" ht="37.5" customHeight="1" x14ac:dyDescent="0.25">
      <c r="A86" s="601"/>
      <c r="B86" s="317"/>
      <c r="C86" s="143" t="e">
        <f>VLOOKUP($B86,'Tabl 1-A Relevé des sources'!$A$6:$H$31,2)</f>
        <v>#N/A</v>
      </c>
      <c r="D86" s="594" t="e">
        <f>VLOOKUP($B86,'Tabl 1-A Relevé des sources'!$A$6:$H$31,3,FALSE)</f>
        <v>#N/A</v>
      </c>
      <c r="E86" s="595"/>
      <c r="F86" s="594" t="e">
        <f>VLOOKUP($B86,'Tabl 1-A Relevé des sources'!$A$6:$H$31,4,FALSE)</f>
        <v>#N/A</v>
      </c>
      <c r="G86" s="596"/>
      <c r="H86" s="595"/>
      <c r="I86" s="143" t="e">
        <f>VLOOKUP($B86,'Tabl 1-A Relevé des sources'!$A$6:$H$31,5,FALSE)</f>
        <v>#N/A</v>
      </c>
      <c r="J86" s="143" t="e">
        <f>VLOOKUP($B86,'Tabl 1-A Relevé des sources'!$A$6:$H$31,6,FALSE)</f>
        <v>#N/A</v>
      </c>
      <c r="K86" s="553"/>
      <c r="L86" s="235"/>
      <c r="M86" s="234"/>
      <c r="N86" s="234"/>
      <c r="O86" s="160" t="str">
        <f t="shared" si="0"/>
        <v>erreur</v>
      </c>
    </row>
    <row r="87" spans="1:15" ht="7.5" customHeight="1" x14ac:dyDescent="0.25">
      <c r="A87" s="601"/>
      <c r="B87" s="148"/>
      <c r="C87" s="7"/>
      <c r="D87" s="7"/>
      <c r="E87" s="7"/>
      <c r="F87" s="7"/>
      <c r="G87" s="7"/>
      <c r="H87" s="7"/>
      <c r="I87" s="7"/>
      <c r="J87" s="7"/>
      <c r="K87" s="7"/>
      <c r="L87" s="329"/>
      <c r="M87" s="7"/>
      <c r="N87" s="7"/>
      <c r="O87" s="159"/>
    </row>
  </sheetData>
  <sheetProtection formatCells="0" formatColumns="0" formatRows="0" insertRows="0"/>
  <protectedRanges>
    <protectedRange sqref="L18:N22 L24:N38 L40:N54 L56:N70 L72:N86 L12:N16" name="Range2"/>
    <protectedRange sqref="B12:B16 B72:B86 B24:B38 B40:B54 B56:B70 B18:B22" name="Range1"/>
    <protectedRange sqref="K12:K16 K18:K22 K24:K38 K40:K54 K56:K70 K72:K86" name="Range5"/>
  </protectedRanges>
  <mergeCells count="155">
    <mergeCell ref="D33:E33"/>
    <mergeCell ref="F49:H49"/>
    <mergeCell ref="F79:H79"/>
    <mergeCell ref="D80:E80"/>
    <mergeCell ref="D56:E56"/>
    <mergeCell ref="D57:E57"/>
    <mergeCell ref="D83:E83"/>
    <mergeCell ref="F83:H83"/>
    <mergeCell ref="D75:E75"/>
    <mergeCell ref="F75:H75"/>
    <mergeCell ref="D76:E76"/>
    <mergeCell ref="F76:H76"/>
    <mergeCell ref="D77:E77"/>
    <mergeCell ref="F77:H77"/>
    <mergeCell ref="F80:H80"/>
    <mergeCell ref="D81:E81"/>
    <mergeCell ref="F81:H81"/>
    <mergeCell ref="D82:E82"/>
    <mergeCell ref="F82:H82"/>
    <mergeCell ref="D50:E50"/>
    <mergeCell ref="F50:H50"/>
    <mergeCell ref="D62:E62"/>
    <mergeCell ref="D64:E64"/>
    <mergeCell ref="F64:H64"/>
    <mergeCell ref="D84:E84"/>
    <mergeCell ref="F84:H84"/>
    <mergeCell ref="D66:E66"/>
    <mergeCell ref="F66:H66"/>
    <mergeCell ref="D78:E78"/>
    <mergeCell ref="F78:H78"/>
    <mergeCell ref="F16:H16"/>
    <mergeCell ref="D17:E17"/>
    <mergeCell ref="F17:H17"/>
    <mergeCell ref="D18:E18"/>
    <mergeCell ref="F18:H18"/>
    <mergeCell ref="F31:H31"/>
    <mergeCell ref="F32:H32"/>
    <mergeCell ref="F33:H33"/>
    <mergeCell ref="D25:E25"/>
    <mergeCell ref="F25:H25"/>
    <mergeCell ref="D26:E26"/>
    <mergeCell ref="F26:H26"/>
    <mergeCell ref="D27:E27"/>
    <mergeCell ref="F27:H27"/>
    <mergeCell ref="D28:E28"/>
    <mergeCell ref="F28:H28"/>
    <mergeCell ref="D29:E29"/>
    <mergeCell ref="F29:H29"/>
    <mergeCell ref="D46:E46"/>
    <mergeCell ref="F46:H46"/>
    <mergeCell ref="D47:E47"/>
    <mergeCell ref="F47:H47"/>
    <mergeCell ref="D48:E48"/>
    <mergeCell ref="F48:H48"/>
    <mergeCell ref="D49:E49"/>
    <mergeCell ref="D85:E85"/>
    <mergeCell ref="D70:E70"/>
    <mergeCell ref="F67:H67"/>
    <mergeCell ref="F69:H69"/>
    <mergeCell ref="D61:E61"/>
    <mergeCell ref="F57:H57"/>
    <mergeCell ref="F58:H58"/>
    <mergeCell ref="F59:H59"/>
    <mergeCell ref="F60:H60"/>
    <mergeCell ref="F61:H61"/>
    <mergeCell ref="D67:E67"/>
    <mergeCell ref="D69:E69"/>
    <mergeCell ref="D68:E68"/>
    <mergeCell ref="F68:H68"/>
    <mergeCell ref="D73:E73"/>
    <mergeCell ref="D74:E74"/>
    <mergeCell ref="D58:E58"/>
    <mergeCell ref="D13:E13"/>
    <mergeCell ref="D14:E14"/>
    <mergeCell ref="D36:E36"/>
    <mergeCell ref="D35:E35"/>
    <mergeCell ref="D38:E38"/>
    <mergeCell ref="D45:E45"/>
    <mergeCell ref="D16:E16"/>
    <mergeCell ref="F45:H45"/>
    <mergeCell ref="D51:E51"/>
    <mergeCell ref="F51:H51"/>
    <mergeCell ref="F36:H36"/>
    <mergeCell ref="D37:E37"/>
    <mergeCell ref="F37:H37"/>
    <mergeCell ref="D44:E44"/>
    <mergeCell ref="F44:H44"/>
    <mergeCell ref="D40:E40"/>
    <mergeCell ref="D41:E41"/>
    <mergeCell ref="F40:H40"/>
    <mergeCell ref="F41:H41"/>
    <mergeCell ref="F38:H38"/>
    <mergeCell ref="F42:H42"/>
    <mergeCell ref="F43:H43"/>
    <mergeCell ref="D43:E43"/>
    <mergeCell ref="D42:E42"/>
    <mergeCell ref="F30:H30"/>
    <mergeCell ref="D24:E24"/>
    <mergeCell ref="D30:E30"/>
    <mergeCell ref="D79:E79"/>
    <mergeCell ref="A2:O2"/>
    <mergeCell ref="A10:O10"/>
    <mergeCell ref="A12:A23"/>
    <mergeCell ref="A24:A39"/>
    <mergeCell ref="F12:H12"/>
    <mergeCell ref="F13:H13"/>
    <mergeCell ref="F14:H14"/>
    <mergeCell ref="F15:H15"/>
    <mergeCell ref="F19:H19"/>
    <mergeCell ref="F20:H20"/>
    <mergeCell ref="F21:H21"/>
    <mergeCell ref="F24:H24"/>
    <mergeCell ref="D4:E4"/>
    <mergeCell ref="D5:E5"/>
    <mergeCell ref="D6:E6"/>
    <mergeCell ref="D8:E8"/>
    <mergeCell ref="D31:E31"/>
    <mergeCell ref="D32:E32"/>
    <mergeCell ref="D34:E34"/>
    <mergeCell ref="D12:E12"/>
    <mergeCell ref="F70:H70"/>
    <mergeCell ref="A40:A55"/>
    <mergeCell ref="A72:A87"/>
    <mergeCell ref="F11:H11"/>
    <mergeCell ref="D11:E11"/>
    <mergeCell ref="A56:A71"/>
    <mergeCell ref="D15:E15"/>
    <mergeCell ref="D19:E19"/>
    <mergeCell ref="D20:E20"/>
    <mergeCell ref="D21:E21"/>
    <mergeCell ref="D22:E22"/>
    <mergeCell ref="F22:H22"/>
    <mergeCell ref="D86:E86"/>
    <mergeCell ref="F72:H72"/>
    <mergeCell ref="F73:H73"/>
    <mergeCell ref="F74:H74"/>
    <mergeCell ref="F85:H85"/>
    <mergeCell ref="F86:H86"/>
    <mergeCell ref="D72:E72"/>
    <mergeCell ref="F53:H53"/>
    <mergeCell ref="F54:H54"/>
    <mergeCell ref="F56:H56"/>
    <mergeCell ref="F34:H34"/>
    <mergeCell ref="F35:H35"/>
    <mergeCell ref="D54:E54"/>
    <mergeCell ref="D52:E52"/>
    <mergeCell ref="F52:H52"/>
    <mergeCell ref="D53:E53"/>
    <mergeCell ref="F62:H62"/>
    <mergeCell ref="D63:E63"/>
    <mergeCell ref="F63:H63"/>
    <mergeCell ref="F65:H65"/>
    <mergeCell ref="D60:E60"/>
    <mergeCell ref="D59:E59"/>
    <mergeCell ref="D65:E65"/>
  </mergeCells>
  <conditionalFormatting sqref="O85:O1048576 O30:O45 O51:O61 O67:O77 O1:O24">
    <cfRule type="containsText" dxfId="915" priority="6" operator="containsText" text="erreur">
      <formula>NOT(ISERROR(SEARCH("erreur",O1)))</formula>
    </cfRule>
  </conditionalFormatting>
  <conditionalFormatting sqref="O83:O84">
    <cfRule type="containsText" dxfId="914" priority="5" operator="containsText" text="erreur">
      <formula>NOT(ISERROR(SEARCH("erreur",O83)))</formula>
    </cfRule>
  </conditionalFormatting>
  <conditionalFormatting sqref="O25:O29">
    <cfRule type="containsText" dxfId="913" priority="4" operator="containsText" text="erreur">
      <formula>NOT(ISERROR(SEARCH("erreur",O25)))</formula>
    </cfRule>
  </conditionalFormatting>
  <conditionalFormatting sqref="O46:O50">
    <cfRule type="containsText" dxfId="912" priority="3" operator="containsText" text="erreur">
      <formula>NOT(ISERROR(SEARCH("erreur",O46)))</formula>
    </cfRule>
  </conditionalFormatting>
  <conditionalFormatting sqref="O62:O66">
    <cfRule type="containsText" dxfId="911" priority="2" operator="containsText" text="erreur">
      <formula>NOT(ISERROR(SEARCH("erreur",O62)))</formula>
    </cfRule>
  </conditionalFormatting>
  <conditionalFormatting sqref="O78:O82">
    <cfRule type="containsText" dxfId="910" priority="1" operator="containsText" text="erreur">
      <formula>NOT(ISERROR(SEARCH("erreur",O78)))</formula>
    </cfRule>
  </conditionalFormatting>
  <dataValidations count="4">
    <dataValidation type="list" allowBlank="1" showInputMessage="1" showErrorMessage="1" sqref="M17" xr:uid="{00000000-0002-0000-0200-000000000000}">
      <formula1>"V1,V2,V3"</formula1>
    </dataValidation>
    <dataValidation type="list" allowBlank="1" showInputMessage="1" showErrorMessage="1" sqref="N24:N38 N12:N22 N40:N54 N56:N70 N72:N86" xr:uid="{00000000-0002-0000-0200-000001000000}">
      <formula1>"T1,T2,T3"</formula1>
    </dataValidation>
    <dataValidation type="list" allowBlank="1" showInputMessage="1" showErrorMessage="1" sqref="M12:M16 M18:M22 M24:M38 M40:M54 M56:M70 M72:M86" xr:uid="{00000000-0002-0000-0200-000002000000}">
      <formula1>"V-nu,V1,V2,V3"</formula1>
    </dataValidation>
    <dataValidation type="list" allowBlank="1" showInputMessage="1" showErrorMessage="1" sqref="K12:K16 K18:K22 K24:K38 K40:K54 K56:K70 K72:K86" xr:uid="{A4CFF528-637C-4D66-85DB-B611B1EAC5B3}">
      <formula1>"N0,N1,N2,N3"</formula1>
    </dataValidation>
  </dataValidations>
  <pageMargins left="0.7" right="0.7" top="0.75" bottom="0.75" header="0.3" footer="0.3"/>
  <pageSetup paperSize="9" scale="36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44"/>
  <sheetViews>
    <sheetView topLeftCell="E7" zoomScale="85" zoomScaleNormal="85" workbookViewId="0">
      <selection activeCell="Q29" sqref="Q29"/>
    </sheetView>
  </sheetViews>
  <sheetFormatPr defaultColWidth="8.7109375" defaultRowHeight="15.75" x14ac:dyDescent="0.25"/>
  <cols>
    <col min="1" max="1" width="11.140625" customWidth="1"/>
    <col min="2" max="2" width="10.85546875" style="161" customWidth="1"/>
    <col min="4" max="4" width="14.28515625" customWidth="1"/>
    <col min="5" max="5" width="12.42578125" customWidth="1"/>
    <col min="6" max="10" width="12.7109375" customWidth="1"/>
    <col min="11" max="11" width="16.140625" customWidth="1"/>
    <col min="12" max="12" width="19.28515625" customWidth="1"/>
    <col min="13" max="13" width="14.85546875" customWidth="1"/>
    <col min="14" max="14" width="10.28515625" customWidth="1"/>
    <col min="15" max="15" width="11.85546875" customWidth="1"/>
    <col min="16" max="16" width="11.28515625" customWidth="1"/>
    <col min="19" max="19" width="15.140625" customWidth="1"/>
    <col min="20" max="20" width="8.7109375" style="413"/>
    <col min="21" max="21" width="11.5703125" style="413" customWidth="1"/>
    <col min="23" max="23" width="2.140625" customWidth="1"/>
  </cols>
  <sheetData>
    <row r="2" spans="1:22" ht="26.25" x14ac:dyDescent="0.4">
      <c r="A2" s="630" t="s">
        <v>257</v>
      </c>
      <c r="B2" s="631"/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</row>
    <row r="3" spans="1:22" x14ac:dyDescent="0.25">
      <c r="A3" s="69"/>
      <c r="B3" s="155"/>
      <c r="C3" s="70"/>
      <c r="D3" s="70"/>
      <c r="E3" s="70"/>
      <c r="F3" s="70"/>
      <c r="G3" s="72"/>
      <c r="H3" s="70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</row>
    <row r="4" spans="1:22" x14ac:dyDescent="0.25">
      <c r="A4" s="73" t="s">
        <v>0</v>
      </c>
      <c r="B4" s="182"/>
      <c r="C4" s="74"/>
      <c r="D4" s="610" t="str">
        <f>'Tableau 1-B Analyse du Contexte'!$C$5</f>
        <v>TCHAD</v>
      </c>
      <c r="E4" s="610"/>
      <c r="F4" s="85"/>
      <c r="G4" s="72"/>
      <c r="H4" s="85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</row>
    <row r="5" spans="1:22" x14ac:dyDescent="0.25">
      <c r="A5" s="75" t="s">
        <v>1</v>
      </c>
      <c r="B5" s="183"/>
      <c r="C5" s="76"/>
      <c r="D5" s="611">
        <f>'Tableau 1-B Analyse du Contexte'!$C$6</f>
        <v>0</v>
      </c>
      <c r="E5" s="611"/>
      <c r="F5" s="85"/>
      <c r="G5" s="72"/>
      <c r="H5" s="85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</row>
    <row r="6" spans="1:22" x14ac:dyDescent="0.25">
      <c r="A6" s="75" t="s">
        <v>2</v>
      </c>
      <c r="B6" s="183"/>
      <c r="C6" s="76"/>
      <c r="D6" s="611">
        <f>'Tableau 1-B Analyse du Contexte'!$C$7</f>
        <v>0</v>
      </c>
      <c r="E6" s="611"/>
      <c r="F6" s="85"/>
      <c r="G6" s="72"/>
      <c r="H6" s="85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</row>
    <row r="7" spans="1:22" x14ac:dyDescent="0.25">
      <c r="A7" s="69"/>
      <c r="B7" s="155"/>
      <c r="C7" s="70"/>
      <c r="D7" s="70"/>
      <c r="E7" s="70"/>
      <c r="F7" s="70"/>
      <c r="G7" s="72"/>
      <c r="H7" s="70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</row>
    <row r="8" spans="1:22" x14ac:dyDescent="0.25">
      <c r="A8" s="73" t="s">
        <v>3</v>
      </c>
      <c r="B8" s="182"/>
      <c r="C8" s="74"/>
      <c r="D8" s="612" t="str">
        <f>'Tableau 1-B Analyse du Contexte'!$C$9</f>
        <v>Fevrier 2020</v>
      </c>
      <c r="E8" s="612"/>
      <c r="F8" s="85"/>
      <c r="G8" s="72"/>
      <c r="H8" s="85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</row>
    <row r="9" spans="1:22" x14ac:dyDescent="0.25">
      <c r="A9" s="69"/>
      <c r="B9" s="155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</row>
    <row r="10" spans="1:22" ht="23.25" customHeight="1" x14ac:dyDescent="0.25">
      <c r="A10" s="632" t="s">
        <v>185</v>
      </c>
      <c r="B10" s="633"/>
      <c r="C10" s="633"/>
      <c r="D10" s="633"/>
      <c r="E10" s="633"/>
      <c r="F10" s="633"/>
      <c r="G10" s="633"/>
      <c r="H10" s="633"/>
      <c r="I10" s="633"/>
      <c r="J10" s="633"/>
      <c r="K10" s="633"/>
      <c r="L10" s="633"/>
      <c r="M10" s="633"/>
      <c r="N10" s="633"/>
      <c r="O10" s="633"/>
      <c r="P10" s="633"/>
      <c r="Q10" s="633"/>
      <c r="R10" s="633"/>
      <c r="S10" s="633"/>
      <c r="T10" s="633"/>
      <c r="U10" s="633"/>
      <c r="V10" s="633"/>
    </row>
    <row r="12" spans="1:22" ht="79.5" customHeight="1" x14ac:dyDescent="0.25">
      <c r="A12" s="639" t="s">
        <v>15</v>
      </c>
      <c r="B12" s="619" t="s">
        <v>134</v>
      </c>
      <c r="C12" s="639" t="s">
        <v>142</v>
      </c>
      <c r="D12" s="639"/>
      <c r="E12" s="619" t="s">
        <v>5</v>
      </c>
      <c r="F12" s="619"/>
      <c r="G12" s="619" t="s">
        <v>10</v>
      </c>
      <c r="H12" s="619"/>
      <c r="I12" s="619"/>
      <c r="J12" s="619" t="s">
        <v>6</v>
      </c>
      <c r="K12" s="619" t="s">
        <v>7</v>
      </c>
      <c r="L12" s="619" t="s">
        <v>187</v>
      </c>
      <c r="M12" s="619"/>
      <c r="N12" s="619"/>
      <c r="O12" s="619"/>
      <c r="P12" s="619"/>
      <c r="Q12" s="619"/>
      <c r="R12" s="619"/>
      <c r="S12" s="163" t="s">
        <v>213</v>
      </c>
      <c r="T12" s="407" t="s">
        <v>156</v>
      </c>
      <c r="U12" s="407" t="s">
        <v>155</v>
      </c>
      <c r="V12" s="163" t="s">
        <v>8</v>
      </c>
    </row>
    <row r="13" spans="1:22" ht="28.5" customHeight="1" thickBot="1" x14ac:dyDescent="0.3">
      <c r="A13" s="639"/>
      <c r="B13" s="619"/>
      <c r="C13" s="639"/>
      <c r="D13" s="639"/>
      <c r="E13" s="619"/>
      <c r="F13" s="619"/>
      <c r="G13" s="619"/>
      <c r="H13" s="619"/>
      <c r="I13" s="619"/>
      <c r="J13" s="619"/>
      <c r="K13" s="619"/>
      <c r="L13" s="168"/>
      <c r="M13" s="399" t="s">
        <v>221</v>
      </c>
      <c r="N13" s="57"/>
      <c r="O13" s="59"/>
      <c r="P13" s="36"/>
      <c r="Q13" s="37"/>
      <c r="R13" s="38"/>
      <c r="S13" s="169"/>
      <c r="T13" s="408"/>
      <c r="U13" s="408"/>
      <c r="V13" s="169"/>
    </row>
    <row r="14" spans="1:22" ht="21.75" customHeight="1" x14ac:dyDescent="0.25">
      <c r="A14" s="600" t="s">
        <v>76</v>
      </c>
      <c r="B14" s="640"/>
      <c r="C14" s="642" t="e">
        <f>VLOOKUP($B14,'Tabl 1-A Relevé des sources'!$A$6:$H$31,2,FALSE)</f>
        <v>#N/A</v>
      </c>
      <c r="D14" s="643"/>
      <c r="E14" s="642" t="e">
        <f>VLOOKUP($B14,'Tabl 1-A Relevé des sources'!$A$6:$H$31,3,FALSE)</f>
        <v>#N/A</v>
      </c>
      <c r="F14" s="643"/>
      <c r="G14" s="642" t="e">
        <f>VLOOKUP($B14,'Tabl 1-A Relevé des sources'!$A$6:$H$31,4,FALSE)</f>
        <v>#N/A</v>
      </c>
      <c r="H14" s="662"/>
      <c r="I14" s="643"/>
      <c r="J14" s="622" t="e">
        <f>VLOOKUP($B14,'Tabl 1-A Relevé des sources'!$A$6:$H$31,5,FALSE)</f>
        <v>#N/A</v>
      </c>
      <c r="K14" s="622" t="e">
        <f>VLOOKUP($B14,'Tabl 1-A Relevé des sources'!$A$6:$H$31,6,FALSE)</f>
        <v>#N/A</v>
      </c>
      <c r="L14" s="620" t="s">
        <v>18</v>
      </c>
      <c r="M14" s="1"/>
      <c r="N14" s="658" t="s">
        <v>21</v>
      </c>
      <c r="O14" s="658"/>
      <c r="P14" s="165" t="s">
        <v>20</v>
      </c>
      <c r="Q14" s="658" t="s">
        <v>19</v>
      </c>
      <c r="R14" s="658"/>
      <c r="S14" s="654"/>
      <c r="T14" s="654"/>
      <c r="U14" s="654"/>
      <c r="V14" s="656" t="str">
        <f>IF(T14="V-nu","F0",IF(AND(T14="V1",U14="T1"),"F0",IF(AND(T14="V1",U14="T2"),"F1",IF(AND(T14="V1",U14="T3"),"F1",IF(AND(T14="V2",U14="T1"),"F1",IF(AND(T14="V2",U14="T2"),"F2",IF(AND(T14="V2",U14="T3"),"F2",IF(AND(T14="V3",U14="T1"),"F1",IF(AND(T14="V3",U14="T2"),"F2",IF(AND(T14="V3",U14="T3"),"F3","Erreur"))))))))))</f>
        <v>Erreur</v>
      </c>
    </row>
    <row r="15" spans="1:22" ht="21.75" customHeight="1" x14ac:dyDescent="0.25">
      <c r="A15" s="600"/>
      <c r="B15" s="641"/>
      <c r="C15" s="644"/>
      <c r="D15" s="645"/>
      <c r="E15" s="644"/>
      <c r="F15" s="645"/>
      <c r="G15" s="644"/>
      <c r="H15" s="663"/>
      <c r="I15" s="645"/>
      <c r="J15" s="623"/>
      <c r="K15" s="623"/>
      <c r="L15" s="620"/>
      <c r="M15" s="341" t="str">
        <f>IF(SUM(N15:R15)=1,"OK","Erreur")</f>
        <v>Erreur</v>
      </c>
      <c r="N15" s="627"/>
      <c r="O15" s="628"/>
      <c r="P15" s="548"/>
      <c r="Q15" s="627"/>
      <c r="R15" s="628"/>
      <c r="S15" s="655"/>
      <c r="T15" s="655"/>
      <c r="U15" s="655"/>
      <c r="V15" s="656"/>
    </row>
    <row r="16" spans="1:22" ht="21.75" customHeight="1" thickBot="1" x14ac:dyDescent="0.3">
      <c r="A16" s="600"/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"/>
      <c r="N16" s="57" t="s">
        <v>190</v>
      </c>
      <c r="O16" s="59" t="s">
        <v>191</v>
      </c>
      <c r="P16" s="36" t="s">
        <v>192</v>
      </c>
      <c r="Q16" s="37" t="s">
        <v>193</v>
      </c>
      <c r="R16" s="38" t="s">
        <v>194</v>
      </c>
      <c r="S16" s="169"/>
      <c r="T16" s="408"/>
      <c r="U16" s="408"/>
      <c r="V16" s="169"/>
    </row>
    <row r="17" spans="1:22" ht="36" customHeight="1" x14ac:dyDescent="0.25">
      <c r="A17" s="600"/>
      <c r="B17" s="237"/>
      <c r="C17" s="626" t="e">
        <f>VLOOKUP($B17,'Tabl 1-A Relevé des sources'!$A$6:$H$31,2,FALSE)</f>
        <v>#N/A</v>
      </c>
      <c r="D17" s="626"/>
      <c r="E17" s="626" t="e">
        <f>VLOOKUP($B17,'Tabl 1-A Relevé des sources'!$A$6:$H$31,3,FALSE)</f>
        <v>#N/A</v>
      </c>
      <c r="F17" s="626"/>
      <c r="G17" s="626" t="e">
        <f>VLOOKUP($B17,'Tabl 1-A Relevé des sources'!$A$6:$H$31,4,FALSE)</f>
        <v>#N/A</v>
      </c>
      <c r="H17" s="626"/>
      <c r="I17" s="626"/>
      <c r="J17" s="315" t="e">
        <f>VLOOKUP($B17,'Tabl 1-A Relevé des sources'!$A$6:$H$31,5,FALSE)</f>
        <v>#N/A</v>
      </c>
      <c r="K17" s="315" t="e">
        <f>VLOOKUP($B17,'Tabl 1-A Relevé des sources'!$A$6:$H$31,5,FALSE)</f>
        <v>#N/A</v>
      </c>
      <c r="L17" s="188" t="s">
        <v>22</v>
      </c>
      <c r="M17" s="341" t="str">
        <f>IF(SUM(N17:R17)=1,"OK","Erreur")</f>
        <v>Erreur</v>
      </c>
      <c r="N17" s="548"/>
      <c r="O17" s="548"/>
      <c r="P17" s="548"/>
      <c r="Q17" s="548"/>
      <c r="R17" s="548"/>
      <c r="S17" s="553"/>
      <c r="T17" s="409"/>
      <c r="U17" s="409"/>
      <c r="V17" s="187" t="str">
        <f>IF(T17="V-nu","F0",IF(AND(T17="V1",U17="T1"),"F0",IF(AND(T17="V1",U17="T2"),"F1",IF(AND(T17="V1",U17="T3"),"F1",IF(AND(T17="V2",U17="T1"),"F1",IF(AND(T17="V2",U17="T2"),"F2",IF(AND(T17="V2",U17="T3"),"F2",IF(AND(T17="V3",U17="T1"),"F1",IF(AND(T17="V3",U17="T2"),"F2",IF(AND(T17="V3",U17="T3"),"F3","Erreur"))))))))))</f>
        <v>Erreur</v>
      </c>
    </row>
    <row r="18" spans="1:22" ht="39" customHeight="1" x14ac:dyDescent="0.25">
      <c r="A18" s="600"/>
      <c r="B18" s="237"/>
      <c r="C18" s="626" t="e">
        <f>VLOOKUP($B18,'Tabl 1-A Relevé des sources'!$A$6:$H$31,2,FALSE)</f>
        <v>#N/A</v>
      </c>
      <c r="D18" s="626"/>
      <c r="E18" s="626" t="e">
        <f>VLOOKUP($B18,'Tabl 1-A Relevé des sources'!$A$6:$H$31,3,FALSE)</f>
        <v>#N/A</v>
      </c>
      <c r="F18" s="626"/>
      <c r="G18" s="626" t="e">
        <f>VLOOKUP($B18,'Tabl 1-A Relevé des sources'!$A$6:$H$31,4,FALSE)</f>
        <v>#N/A</v>
      </c>
      <c r="H18" s="626"/>
      <c r="I18" s="626"/>
      <c r="J18" s="315" t="e">
        <f>VLOOKUP($B18,'Tabl 1-A Relevé des sources'!$A$6:$H$31,5,FALSE)</f>
        <v>#N/A</v>
      </c>
      <c r="K18" s="315" t="e">
        <f>VLOOKUP($B18,'Tabl 1-A Relevé des sources'!$A$6:$H$31,5,FALSE)</f>
        <v>#N/A</v>
      </c>
      <c r="L18" s="188" t="s">
        <v>23</v>
      </c>
      <c r="M18" s="341" t="str">
        <f t="shared" ref="M18:M19" si="0">IF(SUM(N18:R18)=1,"OK","Erreur")</f>
        <v>Erreur</v>
      </c>
      <c r="N18" s="548"/>
      <c r="O18" s="548"/>
      <c r="P18" s="548"/>
      <c r="Q18" s="548"/>
      <c r="R18" s="548"/>
      <c r="S18" s="553"/>
      <c r="T18" s="409"/>
      <c r="U18" s="409"/>
      <c r="V18" s="187" t="str">
        <f t="shared" ref="V18:V19" si="1">IF(T18="V-nu","F0",IF(AND(T18="V1",U18="T1"),"F0",IF(AND(T18="V1",U18="T2"),"F1",IF(AND(T18="V1",U18="T3"),"F1",IF(AND(T18="V2",U18="T1"),"F1",IF(AND(T18="V2",U18="T2"),"F2",IF(AND(T18="V2",U18="T3"),"F2",IF(AND(T18="V3",U18="T1"),"F1",IF(AND(T18="V3",U18="T2"),"F2",IF(AND(T18="V3",U18="T3"),"F3","erreur"))))))))))</f>
        <v>erreur</v>
      </c>
    </row>
    <row r="19" spans="1:22" ht="43.5" customHeight="1" x14ac:dyDescent="0.25">
      <c r="A19" s="600"/>
      <c r="B19" s="237"/>
      <c r="C19" s="626" t="e">
        <f>VLOOKUP($B19,'Tabl 1-A Relevé des sources'!$A$6:$H$31,2,FALSE)</f>
        <v>#N/A</v>
      </c>
      <c r="D19" s="626"/>
      <c r="E19" s="626" t="e">
        <f>VLOOKUP($B19,'Tabl 1-A Relevé des sources'!$A$6:$H$31,3,FALSE)</f>
        <v>#N/A</v>
      </c>
      <c r="F19" s="626"/>
      <c r="G19" s="626" t="e">
        <f>VLOOKUP($B19,'Tabl 1-A Relevé des sources'!$A$6:$H$31,4,FALSE)</f>
        <v>#N/A</v>
      </c>
      <c r="H19" s="626"/>
      <c r="I19" s="626"/>
      <c r="J19" s="315" t="e">
        <f>VLOOKUP($B19,'Tabl 1-A Relevé des sources'!$A$6:$H$31,5,FALSE)</f>
        <v>#N/A</v>
      </c>
      <c r="K19" s="315" t="e">
        <f>VLOOKUP($B19,'Tabl 1-A Relevé des sources'!$A$6:$H$31,5,FALSE)</f>
        <v>#N/A</v>
      </c>
      <c r="L19" s="188" t="s">
        <v>24</v>
      </c>
      <c r="M19" s="341" t="str">
        <f t="shared" si="0"/>
        <v>Erreur</v>
      </c>
      <c r="N19" s="548"/>
      <c r="O19" s="548"/>
      <c r="P19" s="627"/>
      <c r="Q19" s="629"/>
      <c r="R19" s="628"/>
      <c r="S19" s="553"/>
      <c r="T19" s="409"/>
      <c r="U19" s="409"/>
      <c r="V19" s="187" t="str">
        <f t="shared" si="1"/>
        <v>erreur</v>
      </c>
    </row>
    <row r="20" spans="1:22" ht="15" x14ac:dyDescent="0.25">
      <c r="A20" s="600"/>
      <c r="B20" s="646"/>
      <c r="C20" s="635" t="e">
        <f>VLOOKUP($B20,'Tabl 1-A Relevé des sources'!$A$6:$H$31,2,FALSE)</f>
        <v>#N/A</v>
      </c>
      <c r="D20" s="635"/>
      <c r="E20" s="635" t="e">
        <f>VLOOKUP($B20,'Tabl 1-A Relevé des sources'!$A$6:$H$31,3,FALSE)</f>
        <v>#N/A</v>
      </c>
      <c r="F20" s="635"/>
      <c r="G20" s="635" t="e">
        <f>VLOOKUP($B20,'Tabl 1-A Relevé des sources'!$A$6:$H$31,4,FALSE)</f>
        <v>#N/A</v>
      </c>
      <c r="H20" s="635"/>
      <c r="I20" s="635"/>
      <c r="J20" s="634" t="e">
        <f>VLOOKUP($B20,'Tabl 1-A Relevé des sources'!$A$6:$H$31,5,FALSE)</f>
        <v>#N/A</v>
      </c>
      <c r="K20" s="634" t="e">
        <f>VLOOKUP($B20,'Tabl 1-A Relevé des sources'!$A$6:$H$31,6,FALSE)</f>
        <v>#N/A</v>
      </c>
      <c r="L20" s="621" t="s">
        <v>25</v>
      </c>
      <c r="M20" s="167" t="s">
        <v>170</v>
      </c>
      <c r="N20" s="164" t="s">
        <v>27</v>
      </c>
      <c r="O20" s="164" t="s">
        <v>253</v>
      </c>
      <c r="P20" s="164" t="s">
        <v>26</v>
      </c>
      <c r="Q20" s="637" t="s">
        <v>254</v>
      </c>
      <c r="R20" s="638"/>
      <c r="S20" s="653"/>
      <c r="T20" s="657"/>
      <c r="U20" s="657"/>
      <c r="V20" s="634" t="str">
        <f>IF(T20="V-nu","F0",IF(AND(T20="V1",U20="T1"),"F0",IF(AND(T20="V1",U20="T2"),"F1",IF(AND(T20="V1",U20="T3"),"F1",IF(AND(T20="V2",U20="T1"),"F1",IF(AND(T20="V2",U20="T2"),"F2",IF(AND(T20="V2",U20="T3"),"F2",IF(AND(T20="V3",U20="T1"),"F1",IF(AND(T20="V3",U20="T2"),"F2",IF(AND(T20="V3",U20="T3"),"F3","erreur"))))))))))</f>
        <v>erreur</v>
      </c>
    </row>
    <row r="21" spans="1:22" ht="15" x14ac:dyDescent="0.25">
      <c r="A21" s="600"/>
      <c r="B21" s="646"/>
      <c r="C21" s="635"/>
      <c r="D21" s="635"/>
      <c r="E21" s="635"/>
      <c r="F21" s="635"/>
      <c r="G21" s="635"/>
      <c r="H21" s="635"/>
      <c r="I21" s="635"/>
      <c r="J21" s="634"/>
      <c r="K21" s="634"/>
      <c r="L21" s="621"/>
      <c r="M21" s="162" t="s">
        <v>157</v>
      </c>
      <c r="N21" s="546"/>
      <c r="O21" s="546"/>
      <c r="P21" s="546"/>
      <c r="Q21" s="624"/>
      <c r="R21" s="625"/>
      <c r="S21" s="653"/>
      <c r="T21" s="657"/>
      <c r="U21" s="657"/>
      <c r="V21" s="634"/>
    </row>
    <row r="22" spans="1:22" ht="15" x14ac:dyDescent="0.25">
      <c r="A22" s="600"/>
      <c r="B22" s="646"/>
      <c r="C22" s="635"/>
      <c r="D22" s="635"/>
      <c r="E22" s="635"/>
      <c r="F22" s="635"/>
      <c r="G22" s="635"/>
      <c r="H22" s="635"/>
      <c r="I22" s="635"/>
      <c r="J22" s="634"/>
      <c r="K22" s="634"/>
      <c r="L22" s="621"/>
      <c r="M22" s="162" t="s">
        <v>158</v>
      </c>
      <c r="N22" s="546"/>
      <c r="O22" s="546"/>
      <c r="P22" s="546"/>
      <c r="Q22" s="624"/>
      <c r="R22" s="625"/>
      <c r="S22" s="653"/>
      <c r="T22" s="657"/>
      <c r="U22" s="657"/>
      <c r="V22" s="634"/>
    </row>
    <row r="23" spans="1:22" ht="15" x14ac:dyDescent="0.25">
      <c r="A23" s="600"/>
      <c r="B23" s="646"/>
      <c r="C23" s="635"/>
      <c r="D23" s="635"/>
      <c r="E23" s="635"/>
      <c r="F23" s="635"/>
      <c r="G23" s="635"/>
      <c r="H23" s="635"/>
      <c r="I23" s="635"/>
      <c r="J23" s="634"/>
      <c r="K23" s="634"/>
      <c r="L23" s="621"/>
      <c r="M23" s="162" t="s">
        <v>159</v>
      </c>
      <c r="N23" s="546"/>
      <c r="O23" s="546"/>
      <c r="P23" s="546"/>
      <c r="Q23" s="624"/>
      <c r="R23" s="625"/>
      <c r="S23" s="653"/>
      <c r="T23" s="657"/>
      <c r="U23" s="657"/>
      <c r="V23" s="634"/>
    </row>
    <row r="24" spans="1:22" ht="15" x14ac:dyDescent="0.25">
      <c r="A24" s="600"/>
      <c r="B24" s="646"/>
      <c r="C24" s="635"/>
      <c r="D24" s="635"/>
      <c r="E24" s="635"/>
      <c r="F24" s="635"/>
      <c r="G24" s="635"/>
      <c r="H24" s="635"/>
      <c r="I24" s="635"/>
      <c r="J24" s="634"/>
      <c r="K24" s="634"/>
      <c r="L24" s="621"/>
      <c r="M24" s="162" t="s">
        <v>160</v>
      </c>
      <c r="N24" s="546"/>
      <c r="O24" s="546"/>
      <c r="P24" s="546"/>
      <c r="Q24" s="624"/>
      <c r="R24" s="625"/>
      <c r="S24" s="653"/>
      <c r="T24" s="657"/>
      <c r="U24" s="657"/>
      <c r="V24" s="634"/>
    </row>
    <row r="25" spans="1:22" ht="15" x14ac:dyDescent="0.25">
      <c r="A25" s="600"/>
      <c r="B25" s="646"/>
      <c r="C25" s="635"/>
      <c r="D25" s="635"/>
      <c r="E25" s="635"/>
      <c r="F25" s="635"/>
      <c r="G25" s="635"/>
      <c r="H25" s="635"/>
      <c r="I25" s="635"/>
      <c r="J25" s="634"/>
      <c r="K25" s="634"/>
      <c r="L25" s="621"/>
      <c r="M25" s="162" t="s">
        <v>161</v>
      </c>
      <c r="N25" s="546"/>
      <c r="O25" s="546"/>
      <c r="P25" s="546"/>
      <c r="Q25" s="624"/>
      <c r="R25" s="625"/>
      <c r="S25" s="653"/>
      <c r="T25" s="657"/>
      <c r="U25" s="657"/>
      <c r="V25" s="634"/>
    </row>
    <row r="26" spans="1:22" ht="15" x14ac:dyDescent="0.25">
      <c r="A26" s="600"/>
      <c r="B26" s="646"/>
      <c r="C26" s="635"/>
      <c r="D26" s="635"/>
      <c r="E26" s="635"/>
      <c r="F26" s="635"/>
      <c r="G26" s="635"/>
      <c r="H26" s="635"/>
      <c r="I26" s="635"/>
      <c r="J26" s="634"/>
      <c r="K26" s="634"/>
      <c r="L26" s="621"/>
      <c r="M26" s="162" t="s">
        <v>162</v>
      </c>
      <c r="N26" s="547"/>
      <c r="O26" s="547"/>
      <c r="P26" s="547"/>
      <c r="Q26" s="624"/>
      <c r="R26" s="625"/>
      <c r="S26" s="653"/>
      <c r="T26" s="657"/>
      <c r="U26" s="657"/>
      <c r="V26" s="634"/>
    </row>
    <row r="27" spans="1:22" ht="15" x14ac:dyDescent="0.25">
      <c r="A27" s="600"/>
      <c r="B27" s="646"/>
      <c r="C27" s="635"/>
      <c r="D27" s="635"/>
      <c r="E27" s="635"/>
      <c r="F27" s="635"/>
      <c r="G27" s="635"/>
      <c r="H27" s="635"/>
      <c r="I27" s="635"/>
      <c r="J27" s="634"/>
      <c r="K27" s="634"/>
      <c r="L27" s="621"/>
      <c r="M27" s="162" t="s">
        <v>163</v>
      </c>
      <c r="N27" s="546"/>
      <c r="O27" s="546"/>
      <c r="P27" s="546"/>
      <c r="Q27" s="624"/>
      <c r="R27" s="625"/>
      <c r="S27" s="653"/>
      <c r="T27" s="657"/>
      <c r="U27" s="657"/>
      <c r="V27" s="634"/>
    </row>
    <row r="28" spans="1:22" ht="15" x14ac:dyDescent="0.25">
      <c r="A28" s="600"/>
      <c r="B28" s="646"/>
      <c r="C28" s="635"/>
      <c r="D28" s="635"/>
      <c r="E28" s="635"/>
      <c r="F28" s="635"/>
      <c r="G28" s="635"/>
      <c r="H28" s="635"/>
      <c r="I28" s="635"/>
      <c r="J28" s="634"/>
      <c r="K28" s="634"/>
      <c r="L28" s="621"/>
      <c r="M28" s="162" t="s">
        <v>164</v>
      </c>
      <c r="N28" s="546"/>
      <c r="O28" s="546"/>
      <c r="P28" s="546"/>
      <c r="Q28" s="624"/>
      <c r="R28" s="625"/>
      <c r="S28" s="653"/>
      <c r="T28" s="657"/>
      <c r="U28" s="657"/>
      <c r="V28" s="634"/>
    </row>
    <row r="29" spans="1:22" s="181" customFormat="1" ht="39.75" customHeight="1" x14ac:dyDescent="0.25">
      <c r="A29" s="600"/>
      <c r="B29" s="237"/>
      <c r="C29" s="635" t="e">
        <f>VLOOKUP($B29,'Tabl 1-A Relevé des sources'!$A$6:$H$31,2,FALSE)</f>
        <v>#N/A</v>
      </c>
      <c r="D29" s="635"/>
      <c r="E29" s="635" t="e">
        <f>VLOOKUP($B29,'Tabl 1-A Relevé des sources'!$A$6:$H$31,3,FALSE)</f>
        <v>#N/A</v>
      </c>
      <c r="F29" s="635"/>
      <c r="G29" s="635" t="e">
        <f>VLOOKUP($B29,'Tabl 1-A Relevé des sources'!$A$6:$H$31,4,FALSE)</f>
        <v>#N/A</v>
      </c>
      <c r="H29" s="635"/>
      <c r="I29" s="635"/>
      <c r="J29" s="186" t="e">
        <f>VLOOKUP($B29,'Tabl 1-A Relevé des sources'!$A$6:$H$31,5,FALSE)</f>
        <v>#N/A</v>
      </c>
      <c r="K29" s="186" t="e">
        <f>VLOOKUP($B29,'Tabl 1-A Relevé des sources'!$A$6:$H$31,5,FALSE)</f>
        <v>#N/A</v>
      </c>
      <c r="L29" s="659" t="s">
        <v>79</v>
      </c>
      <c r="M29" s="659"/>
      <c r="N29" s="443" t="s">
        <v>269</v>
      </c>
      <c r="O29" s="203"/>
      <c r="P29" s="203"/>
      <c r="Q29" s="203"/>
      <c r="R29" s="203"/>
      <c r="S29" s="553"/>
      <c r="T29" s="409"/>
      <c r="U29" s="410"/>
      <c r="V29" s="187" t="str">
        <f>IF(T29="V-nu","F0",IF(AND(T29="V1",U29="T1"),"F0",IF(AND(T29="V1",U29="T2"),"F1",IF(AND(T29="V1",U29="T3"),"F1",IF(AND(T29="V2",U29="T1"),"F1",IF(AND(T29="V2",U29="T2"),"F2",IF(AND(T29="V2",U29="T3"),"F2",IF(AND(T29="V3",U29="T1"),"F1",IF(AND(T29="V3",U29="T2"),"F2",IF(AND(T29="V3",U29="T3"),"F3","erreur"))))))))))</f>
        <v>erreur</v>
      </c>
    </row>
    <row r="30" spans="1:22" ht="9" customHeight="1" x14ac:dyDescent="0.25">
      <c r="A30" s="178"/>
      <c r="B30" s="184"/>
      <c r="C30" s="173"/>
      <c r="D30" s="173"/>
      <c r="E30" s="173"/>
      <c r="F30" s="173"/>
      <c r="G30" s="173"/>
      <c r="H30" s="173"/>
      <c r="I30" s="173"/>
      <c r="J30" s="172"/>
      <c r="K30" s="172"/>
      <c r="L30" s="174"/>
      <c r="M30" s="175"/>
      <c r="N30" s="172"/>
      <c r="O30" s="172"/>
      <c r="P30" s="172"/>
      <c r="Q30" s="172"/>
      <c r="R30" s="172"/>
      <c r="S30" s="172"/>
      <c r="T30" s="411"/>
      <c r="U30" s="411"/>
      <c r="V30" s="172"/>
    </row>
    <row r="31" spans="1:22" ht="37.5" customHeight="1" x14ac:dyDescent="0.25">
      <c r="A31" s="666" t="s">
        <v>16</v>
      </c>
      <c r="B31" s="640"/>
      <c r="C31" s="649" t="e">
        <f>VLOOKUP($B31,'Tabl 1-A Relevé des sources'!$A$6:$H$31,2,FALSE)</f>
        <v>#N/A</v>
      </c>
      <c r="D31" s="650"/>
      <c r="E31" s="649" t="e">
        <f>VLOOKUP($B31,'Tabl 1-A Relevé des sources'!$A$6:$H$31,3,FALSE)</f>
        <v>#N/A</v>
      </c>
      <c r="F31" s="650"/>
      <c r="G31" s="635" t="e">
        <f>VLOOKUP($B31,'Tabl 1-A Relevé des sources'!$A$6:$H$31,4,FALSE)</f>
        <v>#N/A</v>
      </c>
      <c r="H31" s="635"/>
      <c r="I31" s="635"/>
      <c r="J31" s="647" t="e">
        <f>VLOOKUP($B31,'Tabl 1-A Relevé des sources'!$A$6:$H$31,5,FALSE)</f>
        <v>#N/A</v>
      </c>
      <c r="K31" s="647" t="e">
        <f>VLOOKUP($B31,'Tabl 1-A Relevé des sources'!$A$6:$H$31,6,FALSE)</f>
        <v>#N/A</v>
      </c>
      <c r="L31" s="636" t="s">
        <v>189</v>
      </c>
      <c r="M31" s="177" t="s">
        <v>100</v>
      </c>
      <c r="N31" s="462">
        <v>1</v>
      </c>
      <c r="O31" s="463">
        <v>2</v>
      </c>
      <c r="P31" s="463">
        <v>3</v>
      </c>
      <c r="Q31" s="463">
        <v>4</v>
      </c>
      <c r="R31" s="176"/>
      <c r="S31" s="653"/>
      <c r="T31" s="654"/>
      <c r="U31" s="654"/>
      <c r="V31" s="656" t="str">
        <f>IF(T31="V-nu","F0",IF(AND(T31="V1",U31="T1"),"F0",IF(AND(T31="V1",U31="T2"),"F1",IF(AND(T31="V1",U31="T3"),"F1",IF(AND(T31="V2",U31="T1"),"F1",IF(AND(T31="V2",U31="T2"),"F2",IF(AND(T31="V2",U31="T3"),"F2",IF(AND(T31="V3",U31="T1"),"F1",IF(AND(T31="V3",U31="T2"),"F2",IF(AND(T31="V3",U31="T3"),"F3","erreur"))))))))))</f>
        <v>erreur</v>
      </c>
    </row>
    <row r="32" spans="1:22" ht="57.75" customHeight="1" x14ac:dyDescent="0.25">
      <c r="A32" s="666"/>
      <c r="B32" s="641"/>
      <c r="C32" s="651"/>
      <c r="D32" s="652"/>
      <c r="E32" s="651"/>
      <c r="F32" s="652"/>
      <c r="G32" s="635"/>
      <c r="H32" s="635"/>
      <c r="I32" s="635"/>
      <c r="J32" s="648"/>
      <c r="K32" s="648"/>
      <c r="L32" s="636"/>
      <c r="M32" s="341" t="str">
        <f t="shared" ref="M32" si="2">IF(SUM(N32:R32)=1,"OK","Erreur")</f>
        <v>Erreur</v>
      </c>
      <c r="N32" s="548"/>
      <c r="O32" s="548"/>
      <c r="P32" s="548"/>
      <c r="Q32" s="548"/>
      <c r="R32" s="176"/>
      <c r="S32" s="653"/>
      <c r="T32" s="655"/>
      <c r="U32" s="655"/>
      <c r="V32" s="656"/>
    </row>
    <row r="33" spans="1:22" ht="8.25" customHeight="1" x14ac:dyDescent="0.25">
      <c r="A33" s="179"/>
      <c r="B33" s="185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412"/>
      <c r="U33" s="412"/>
      <c r="V33" s="176"/>
    </row>
    <row r="34" spans="1:22" ht="21.75" customHeight="1" x14ac:dyDescent="0.25">
      <c r="A34" s="664" t="s">
        <v>17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90" t="s">
        <v>78</v>
      </c>
      <c r="N34" s="176"/>
      <c r="O34" s="176"/>
      <c r="P34" s="176"/>
      <c r="Q34" s="176"/>
      <c r="R34" s="176"/>
      <c r="S34" s="169"/>
      <c r="T34" s="408"/>
      <c r="U34" s="408"/>
      <c r="V34" s="169"/>
    </row>
    <row r="35" spans="1:22" ht="99" customHeight="1" x14ac:dyDescent="0.25">
      <c r="A35" s="665"/>
      <c r="B35" s="237"/>
      <c r="C35" s="626" t="e">
        <f>VLOOKUP($B35,'Tabl 1-A Relevé des sources'!$A$6:$H$31,2,FALSE)</f>
        <v>#N/A</v>
      </c>
      <c r="D35" s="626"/>
      <c r="E35" s="626" t="e">
        <f>VLOOKUP($B35,'Tabl 1-A Relevé des sources'!$A$6:$H$31,3,FALSE)</f>
        <v>#N/A</v>
      </c>
      <c r="F35" s="626"/>
      <c r="G35" s="626" t="e">
        <f>VLOOKUP($B35,'Tabl 1-A Relevé des sources'!$A$6:$H$31,4,FALSE)</f>
        <v>#N/A</v>
      </c>
      <c r="H35" s="626"/>
      <c r="I35" s="626"/>
      <c r="J35" s="180" t="e">
        <f>VLOOKUP($B35,'Tabl 1-A Relevé des sources'!$A$6:$H$31,5,FALSE)</f>
        <v>#N/A</v>
      </c>
      <c r="K35" s="180" t="e">
        <f>VLOOKUP($B35,'Tabl 1-A Relevé des sources'!$A$6:$H$31,5,FALSE)</f>
        <v>#N/A</v>
      </c>
      <c r="L35" s="189" t="s">
        <v>147</v>
      </c>
      <c r="M35" s="548"/>
      <c r="N35" s="176"/>
      <c r="O35" s="176"/>
      <c r="P35" s="176"/>
      <c r="Q35" s="176"/>
      <c r="R35" s="176"/>
      <c r="S35" s="553"/>
      <c r="T35" s="409"/>
      <c r="U35" s="410"/>
      <c r="V35" s="187" t="str">
        <f t="shared" ref="V35:V39" si="3">IF(T35="V-nu","F0",IF(AND(T35="V1",U35="T1"),"F0",IF(AND(T35="V1",U35="T2"),"F1",IF(AND(T35="V1",U35="T3"),"F1",IF(AND(T35="V2",U35="T1"),"F1",IF(AND(T35="V2",U35="T2"),"F2",IF(AND(T35="V2",U35="T3"),"F2",IF(AND(T35="V3",U35="T1"),"F1",IF(AND(T35="V3",U35="T2"),"F2",IF(AND(T35="V3",U35="T3"),"F3","erreur"))))))))))</f>
        <v>erreur</v>
      </c>
    </row>
    <row r="36" spans="1:22" ht="39" customHeight="1" x14ac:dyDescent="0.25">
      <c r="A36" s="665"/>
      <c r="B36" s="320"/>
      <c r="C36" s="626" t="e">
        <f>VLOOKUP($B36,'Tabl 1-A Relevé des sources'!$A$6:$H$31,2,FALSE)</f>
        <v>#N/A</v>
      </c>
      <c r="D36" s="626"/>
      <c r="E36" s="626" t="e">
        <f>VLOOKUP($B36,'Tabl 1-A Relevé des sources'!$A$6:$H$31,3,FALSE)</f>
        <v>#N/A</v>
      </c>
      <c r="F36" s="626"/>
      <c r="G36" s="626" t="e">
        <f>VLOOKUP($B36,'Tabl 1-A Relevé des sources'!$A$6:$H$31,4,FALSE)</f>
        <v>#N/A</v>
      </c>
      <c r="H36" s="626"/>
      <c r="I36" s="626"/>
      <c r="J36" s="180" t="e">
        <f>VLOOKUP($B36,'Tabl 1-A Relevé des sources'!$A$6:$H$31,5,FALSE)</f>
        <v>#N/A</v>
      </c>
      <c r="K36" s="180" t="e">
        <f>VLOOKUP($B36,'Tabl 1-A Relevé des sources'!$A$6:$H$31,5,FALSE)</f>
        <v>#N/A</v>
      </c>
      <c r="L36" s="333" t="s">
        <v>220</v>
      </c>
      <c r="M36" s="548"/>
      <c r="N36" s="176"/>
      <c r="O36" s="176"/>
      <c r="P36" s="176"/>
      <c r="Q36" s="176"/>
      <c r="R36" s="176"/>
      <c r="S36" s="553"/>
      <c r="T36" s="409"/>
      <c r="U36" s="410"/>
      <c r="V36" s="319" t="str">
        <f t="shared" si="3"/>
        <v>erreur</v>
      </c>
    </row>
    <row r="37" spans="1:22" ht="39" customHeight="1" x14ac:dyDescent="0.25">
      <c r="A37" s="665"/>
      <c r="B37" s="237"/>
      <c r="C37" s="626" t="e">
        <f>VLOOKUP($B37,'Tabl 1-A Relevé des sources'!$A$6:$H$31,2,FALSE)</f>
        <v>#N/A</v>
      </c>
      <c r="D37" s="626"/>
      <c r="E37" s="626" t="e">
        <f>VLOOKUP($B37,'Tabl 1-A Relevé des sources'!$A$6:$H$31,3,FALSE)</f>
        <v>#N/A</v>
      </c>
      <c r="F37" s="626"/>
      <c r="G37" s="626" t="e">
        <f>VLOOKUP($B37,'Tabl 1-A Relevé des sources'!$A$6:$H$31,4,FALSE)</f>
        <v>#N/A</v>
      </c>
      <c r="H37" s="626"/>
      <c r="I37" s="626"/>
      <c r="J37" s="180" t="e">
        <f>VLOOKUP($B37,'Tabl 1-A Relevé des sources'!$A$6:$H$31,5,FALSE)</f>
        <v>#N/A</v>
      </c>
      <c r="K37" s="180" t="e">
        <f>VLOOKUP($B37,'Tabl 1-A Relevé des sources'!$A$6:$H$31,5,FALSE)</f>
        <v>#N/A</v>
      </c>
      <c r="L37" s="334" t="s">
        <v>214</v>
      </c>
      <c r="M37" s="548"/>
      <c r="N37" s="176"/>
      <c r="O37" s="176"/>
      <c r="P37" s="176"/>
      <c r="Q37" s="176"/>
      <c r="R37" s="176"/>
      <c r="S37" s="553"/>
      <c r="T37" s="409"/>
      <c r="U37" s="410"/>
      <c r="V37" s="187" t="str">
        <f t="shared" ref="V37" si="4">IF(T37="V-nu","F0",IF(AND(T37="V1",U37="T1"),"F0",IF(AND(T37="V1",U37="T2"),"F1",IF(AND(T37="V1",U37="T3"),"F1",IF(AND(T37="V2",U37="T1"),"F1",IF(AND(T37="V2",U37="T2"),"F2",IF(AND(T37="V2",U37="T3"),"F2",IF(AND(T37="V3",U37="T1"),"F1",IF(AND(T37="V3",U37="T2"),"F2",IF(AND(T37="V3",U37="T3"),"F3","erreur"))))))))))</f>
        <v>erreur</v>
      </c>
    </row>
    <row r="38" spans="1:22" ht="36.75" customHeight="1" x14ac:dyDescent="0.25">
      <c r="A38" s="665"/>
      <c r="B38" s="237"/>
      <c r="C38" s="626" t="e">
        <f>VLOOKUP($B38,'Tabl 1-A Relevé des sources'!$A$6:$H$31,2,FALSE)</f>
        <v>#N/A</v>
      </c>
      <c r="D38" s="626"/>
      <c r="E38" s="626" t="e">
        <f>VLOOKUP($B38,'Tabl 1-A Relevé des sources'!$A$6:$H$31,3,FALSE)</f>
        <v>#N/A</v>
      </c>
      <c r="F38" s="626"/>
      <c r="G38" s="626" t="e">
        <f>VLOOKUP($B38,'Tabl 1-A Relevé des sources'!$A$6:$H$31,4,FALSE)</f>
        <v>#N/A</v>
      </c>
      <c r="H38" s="626"/>
      <c r="I38" s="626"/>
      <c r="J38" s="180" t="e">
        <f>VLOOKUP($B38,'Tabl 1-A Relevé des sources'!$A$6:$H$31,5,FALSE)</f>
        <v>#N/A</v>
      </c>
      <c r="K38" s="180" t="e">
        <f>VLOOKUP($B38,'Tabl 1-A Relevé des sources'!$A$6:$H$31,5,FALSE)</f>
        <v>#N/A</v>
      </c>
      <c r="L38" s="189" t="s">
        <v>28</v>
      </c>
      <c r="M38" s="548"/>
      <c r="N38" s="176"/>
      <c r="O38" s="176"/>
      <c r="P38" s="176"/>
      <c r="Q38" s="176"/>
      <c r="R38" s="176"/>
      <c r="S38" s="553"/>
      <c r="T38" s="409"/>
      <c r="U38" s="410"/>
      <c r="V38" s="187" t="str">
        <f t="shared" si="3"/>
        <v>erreur</v>
      </c>
    </row>
    <row r="39" spans="1:22" ht="45.75" customHeight="1" x14ac:dyDescent="0.25">
      <c r="A39" s="665"/>
      <c r="B39" s="237"/>
      <c r="C39" s="626" t="e">
        <f>VLOOKUP($B39,'Tabl 1-A Relevé des sources'!$A$6:$H$31,2,FALSE)</f>
        <v>#N/A</v>
      </c>
      <c r="D39" s="626"/>
      <c r="E39" s="626" t="e">
        <f>VLOOKUP($B39,'Tabl 1-A Relevé des sources'!$A$6:$H$31,3,FALSE)</f>
        <v>#N/A</v>
      </c>
      <c r="F39" s="626"/>
      <c r="G39" s="626" t="e">
        <f>VLOOKUP($B39,'Tabl 1-A Relevé des sources'!$A$6:$H$31,4,FALSE)</f>
        <v>#N/A</v>
      </c>
      <c r="H39" s="626"/>
      <c r="I39" s="626"/>
      <c r="J39" s="180" t="e">
        <f>VLOOKUP($B39,'Tabl 1-A Relevé des sources'!$A$6:$H$31,5,FALSE)</f>
        <v>#N/A</v>
      </c>
      <c r="K39" s="180" t="e">
        <f>VLOOKUP($B39,'Tabl 1-A Relevé des sources'!$A$6:$H$31,5,FALSE)</f>
        <v>#N/A</v>
      </c>
      <c r="L39" s="189" t="s">
        <v>148</v>
      </c>
      <c r="M39" s="548"/>
      <c r="N39" s="176"/>
      <c r="O39" s="176"/>
      <c r="P39" s="176"/>
      <c r="Q39" s="176"/>
      <c r="R39" s="176"/>
      <c r="S39" s="553"/>
      <c r="T39" s="409"/>
      <c r="U39" s="410"/>
      <c r="V39" s="187" t="str">
        <f t="shared" si="3"/>
        <v>erreur</v>
      </c>
    </row>
    <row r="40" spans="1:22" ht="10.5" customHeight="1" x14ac:dyDescent="0.25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</row>
    <row r="41" spans="1:22" ht="35.1" customHeight="1" x14ac:dyDescent="0.3">
      <c r="A41" s="597" t="s">
        <v>109</v>
      </c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398" t="s">
        <v>249</v>
      </c>
      <c r="N41" s="179"/>
      <c r="O41" s="179"/>
      <c r="P41" s="179"/>
      <c r="Q41" s="179"/>
      <c r="R41" s="179"/>
      <c r="S41" s="169"/>
      <c r="T41" s="408"/>
      <c r="U41" s="408"/>
      <c r="V41" s="169"/>
    </row>
    <row r="42" spans="1:22" ht="36.75" customHeight="1" x14ac:dyDescent="0.25">
      <c r="A42" s="660"/>
      <c r="B42" s="237"/>
      <c r="C42" s="626" t="e">
        <f>VLOOKUP($B42,'Tabl 1-A Relevé des sources'!$A$6:$H$31,2,FALSE)</f>
        <v>#N/A</v>
      </c>
      <c r="D42" s="626"/>
      <c r="E42" s="626" t="e">
        <f>VLOOKUP($B42,'Tabl 1-A Relevé des sources'!$A$6:$H$31,3,FALSE)</f>
        <v>#N/A</v>
      </c>
      <c r="F42" s="626"/>
      <c r="G42" s="626" t="e">
        <f>VLOOKUP($B42,'Tabl 1-A Relevé des sources'!$A$6:$H$31,4,FALSE)</f>
        <v>#N/A</v>
      </c>
      <c r="H42" s="626"/>
      <c r="I42" s="626"/>
      <c r="J42" s="180" t="e">
        <f>VLOOKUP($B42,'Tabl 1-A Relevé des sources'!$A$6:$H$31,5,FALSE)</f>
        <v>#N/A</v>
      </c>
      <c r="K42" s="180" t="e">
        <f>VLOOKUP($B42,'Tabl 1-A Relevé des sources'!$A$6:$H$31,5,FALSE)</f>
        <v>#N/A</v>
      </c>
      <c r="L42" s="189" t="s">
        <v>30</v>
      </c>
      <c r="M42" s="238"/>
      <c r="N42" s="179"/>
      <c r="O42" s="179"/>
      <c r="P42" s="179"/>
      <c r="Q42" s="179"/>
      <c r="R42" s="179"/>
      <c r="S42" s="553"/>
      <c r="T42" s="409"/>
      <c r="U42" s="410"/>
      <c r="V42" s="187" t="str">
        <f t="shared" ref="V42:V43" si="5">IF(T42="V-nu","F0",IF(AND(T42="V1",U42="T1"),"F0",IF(AND(T42="V1",U42="T2"),"F1",IF(AND(T42="V1",U42="T3"),"F1",IF(AND(T42="V2",U42="T1"),"F1",IF(AND(T42="V2",U42="T2"),"F2",IF(AND(T42="V2",U42="T3"),"F2",IF(AND(T42="V3",U42="T1"),"F1",IF(AND(T42="V3",U42="T2"),"F2",IF(AND(T42="V3",U42="T3"),"F3","erreur"))))))))))</f>
        <v>erreur</v>
      </c>
    </row>
    <row r="43" spans="1:22" ht="43.5" customHeight="1" x14ac:dyDescent="0.25">
      <c r="A43" s="661"/>
      <c r="B43" s="237"/>
      <c r="C43" s="626" t="e">
        <f>VLOOKUP($B43,'Tabl 1-A Relevé des sources'!$A$6:$H$31,2,FALSE)</f>
        <v>#N/A</v>
      </c>
      <c r="D43" s="626"/>
      <c r="E43" s="626" t="e">
        <f>VLOOKUP($B43,'Tabl 1-A Relevé des sources'!$A$6:$H$31,3,FALSE)</f>
        <v>#N/A</v>
      </c>
      <c r="F43" s="626"/>
      <c r="G43" s="626" t="e">
        <f>VLOOKUP($B43,'Tabl 1-A Relevé des sources'!$A$6:$H$31,4,FALSE)</f>
        <v>#N/A</v>
      </c>
      <c r="H43" s="626"/>
      <c r="I43" s="626"/>
      <c r="J43" s="180" t="e">
        <f>VLOOKUP($B43,'Tabl 1-A Relevé des sources'!$A$6:$H$31,5,FALSE)</f>
        <v>#N/A</v>
      </c>
      <c r="K43" s="180" t="e">
        <f>VLOOKUP($B43,'Tabl 1-A Relevé des sources'!$A$6:$H$31,5,FALSE)</f>
        <v>#N/A</v>
      </c>
      <c r="L43" s="189" t="s">
        <v>31</v>
      </c>
      <c r="M43" s="238"/>
      <c r="N43" s="179"/>
      <c r="O43" s="179"/>
      <c r="P43" s="179"/>
      <c r="Q43" s="179"/>
      <c r="R43" s="179"/>
      <c r="S43" s="553"/>
      <c r="T43" s="409"/>
      <c r="U43" s="410"/>
      <c r="V43" s="187" t="str">
        <f t="shared" si="5"/>
        <v>erreur</v>
      </c>
    </row>
    <row r="44" spans="1:22" ht="11.25" customHeight="1" x14ac:dyDescent="0.25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</row>
  </sheetData>
  <sheetProtection formatCells="0" formatColumns="0" formatRows="0" insertRows="0"/>
  <protectedRanges>
    <protectedRange sqref="S14 S17:S29 S31 S35:S39 S42:S43" name="Range5"/>
    <protectedRange sqref="T42:U43 T35:U39 T31:U32 T17:U29 T14:U15" name="Range3"/>
    <protectedRange sqref="N15:R15 N17:R19 M42:M43 N32:Q32 M35:M39 N21:R28" name="Range2"/>
    <protectedRange sqref="B14:B15 B17:B29 B31 B35:B39 B42:B43" name="Range1"/>
    <protectedRange sqref="N29" name="Range4"/>
  </protectedRanges>
  <mergeCells count="99">
    <mergeCell ref="C38:D38"/>
    <mergeCell ref="G14:I15"/>
    <mergeCell ref="E14:F15"/>
    <mergeCell ref="A34:A39"/>
    <mergeCell ref="C39:D39"/>
    <mergeCell ref="E39:F39"/>
    <mergeCell ref="C37:D37"/>
    <mergeCell ref="E37:F37"/>
    <mergeCell ref="G37:I37"/>
    <mergeCell ref="G39:I39"/>
    <mergeCell ref="E35:F35"/>
    <mergeCell ref="G35:I35"/>
    <mergeCell ref="E38:F38"/>
    <mergeCell ref="G38:I38"/>
    <mergeCell ref="G20:I28"/>
    <mergeCell ref="A31:A32"/>
    <mergeCell ref="A41:A43"/>
    <mergeCell ref="C42:D42"/>
    <mergeCell ref="E42:F42"/>
    <mergeCell ref="G42:I42"/>
    <mergeCell ref="C43:D43"/>
    <mergeCell ref="E43:F43"/>
    <mergeCell ref="G43:I43"/>
    <mergeCell ref="S31:S32"/>
    <mergeCell ref="U31:U32"/>
    <mergeCell ref="V31:V32"/>
    <mergeCell ref="K14:K15"/>
    <mergeCell ref="S20:S28"/>
    <mergeCell ref="T20:T28"/>
    <mergeCell ref="U20:U28"/>
    <mergeCell ref="V20:V28"/>
    <mergeCell ref="S14:S15"/>
    <mergeCell ref="T14:T15"/>
    <mergeCell ref="U14:U15"/>
    <mergeCell ref="V14:V15"/>
    <mergeCell ref="N14:O14"/>
    <mergeCell ref="Q14:R14"/>
    <mergeCell ref="L29:M29"/>
    <mergeCell ref="T31:T32"/>
    <mergeCell ref="K31:K32"/>
    <mergeCell ref="J31:J32"/>
    <mergeCell ref="B31:B32"/>
    <mergeCell ref="C31:D32"/>
    <mergeCell ref="E31:F32"/>
    <mergeCell ref="G31:I32"/>
    <mergeCell ref="A12:A13"/>
    <mergeCell ref="B12:B13"/>
    <mergeCell ref="C12:D13"/>
    <mergeCell ref="E12:F13"/>
    <mergeCell ref="E19:F19"/>
    <mergeCell ref="E17:F17"/>
    <mergeCell ref="E18:F18"/>
    <mergeCell ref="B14:B15"/>
    <mergeCell ref="C17:D17"/>
    <mergeCell ref="C18:D18"/>
    <mergeCell ref="C14:D15"/>
    <mergeCell ref="A14:A29"/>
    <mergeCell ref="B20:B28"/>
    <mergeCell ref="E20:F28"/>
    <mergeCell ref="C20:D28"/>
    <mergeCell ref="C19:D19"/>
    <mergeCell ref="C36:D36"/>
    <mergeCell ref="E36:F36"/>
    <mergeCell ref="G36:I36"/>
    <mergeCell ref="Q21:R21"/>
    <mergeCell ref="Q22:R22"/>
    <mergeCell ref="Q23:R23"/>
    <mergeCell ref="Q24:R24"/>
    <mergeCell ref="Q25:R25"/>
    <mergeCell ref="K20:K28"/>
    <mergeCell ref="J20:J28"/>
    <mergeCell ref="C29:D29"/>
    <mergeCell ref="E29:F29"/>
    <mergeCell ref="G29:I29"/>
    <mergeCell ref="L31:L32"/>
    <mergeCell ref="Q20:R20"/>
    <mergeCell ref="C35:D35"/>
    <mergeCell ref="A2:V2"/>
    <mergeCell ref="A10:V10"/>
    <mergeCell ref="D4:E4"/>
    <mergeCell ref="D5:E5"/>
    <mergeCell ref="D6:E6"/>
    <mergeCell ref="D8:E8"/>
    <mergeCell ref="G12:I13"/>
    <mergeCell ref="L14:L15"/>
    <mergeCell ref="L20:L28"/>
    <mergeCell ref="L12:R12"/>
    <mergeCell ref="J12:J13"/>
    <mergeCell ref="K12:K13"/>
    <mergeCell ref="J14:J15"/>
    <mergeCell ref="Q26:R26"/>
    <mergeCell ref="Q27:R27"/>
    <mergeCell ref="Q28:R28"/>
    <mergeCell ref="G19:I19"/>
    <mergeCell ref="G17:I17"/>
    <mergeCell ref="G18:I18"/>
    <mergeCell ref="N15:O15"/>
    <mergeCell ref="P19:R19"/>
    <mergeCell ref="Q15:R15"/>
  </mergeCells>
  <conditionalFormatting sqref="V1:V35 V37:V1048576">
    <cfRule type="containsText" dxfId="909" priority="18" operator="containsText" text="erreur">
      <formula>NOT(ISERROR(SEARCH("erreur",V1)))</formula>
    </cfRule>
  </conditionalFormatting>
  <conditionalFormatting sqref="V36">
    <cfRule type="containsText" dxfId="908" priority="17" operator="containsText" text="erreur">
      <formula>NOT(ISERROR(SEARCH("erreur",V36)))</formula>
    </cfRule>
  </conditionalFormatting>
  <dataValidations count="3">
    <dataValidation type="list" allowBlank="1" showInputMessage="1" showErrorMessage="1" sqref="U14 U17:U20 U29 U31 U42:U43 U35:U39" xr:uid="{00000000-0002-0000-0300-000000000000}">
      <formula1>"T1,T2,T3"</formula1>
    </dataValidation>
    <dataValidation type="list" allowBlank="1" showInputMessage="1" showErrorMessage="1" sqref="T42:T43 T14 T29 T17:T20 T31 T35:T39" xr:uid="{00000000-0002-0000-0300-000001000000}">
      <formula1>"V-nu,V1,V2,V3"</formula1>
    </dataValidation>
    <dataValidation type="list" allowBlank="1" showInputMessage="1" showErrorMessage="1" sqref="S14:S15 S17:S29 S31:S32 S35:S39 S42:S43" xr:uid="{BBE1A957-B508-4567-91C4-7F691AE1F768}">
      <formula1>"N0,N1,N2,N3"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73"/>
  <sheetViews>
    <sheetView topLeftCell="A22" zoomScale="80" zoomScaleNormal="80" zoomScaleSheetLayoutView="90" workbookViewId="0">
      <selection activeCell="G35" sqref="G35"/>
    </sheetView>
  </sheetViews>
  <sheetFormatPr defaultColWidth="11.5703125" defaultRowHeight="15" x14ac:dyDescent="0.25"/>
  <cols>
    <col min="2" max="2" width="8.42578125" customWidth="1"/>
    <col min="3" max="3" width="7" customWidth="1"/>
    <col min="4" max="4" width="16.7109375" style="107" customWidth="1"/>
    <col min="5" max="9" width="13.42578125" style="107" customWidth="1"/>
    <col min="10" max="10" width="1" customWidth="1"/>
    <col min="12" max="12" width="14.85546875" customWidth="1"/>
    <col min="13" max="13" width="16.28515625" customWidth="1"/>
    <col min="14" max="14" width="9.42578125" customWidth="1"/>
  </cols>
  <sheetData>
    <row r="1" spans="1:16" ht="15.75" x14ac:dyDescent="0.25">
      <c r="A1" s="3"/>
      <c r="B1" s="3"/>
      <c r="C1" s="3"/>
      <c r="D1" s="91"/>
      <c r="E1" s="91"/>
      <c r="F1" s="91"/>
      <c r="G1" s="91"/>
      <c r="H1" s="91"/>
      <c r="I1" s="91"/>
      <c r="J1" s="3"/>
      <c r="K1" s="3"/>
      <c r="L1" s="3"/>
      <c r="M1" s="3"/>
      <c r="N1" s="3"/>
      <c r="O1" s="3"/>
      <c r="P1" s="3"/>
    </row>
    <row r="2" spans="1:16" ht="23.25" x14ac:dyDescent="0.25">
      <c r="A2" s="679" t="s">
        <v>143</v>
      </c>
      <c r="B2" s="679"/>
      <c r="C2" s="679"/>
      <c r="D2" s="679"/>
      <c r="E2" s="679"/>
      <c r="F2" s="679"/>
      <c r="G2" s="679"/>
      <c r="H2" s="679"/>
      <c r="I2" s="679"/>
      <c r="J2" s="679"/>
      <c r="K2" s="679"/>
      <c r="L2" s="679"/>
      <c r="M2" s="679"/>
      <c r="N2" s="679"/>
      <c r="O2" s="679"/>
      <c r="P2" s="679"/>
    </row>
    <row r="3" spans="1:16" ht="15.75" x14ac:dyDescent="0.25">
      <c r="A3" s="69"/>
      <c r="B3" s="70"/>
      <c r="C3" s="70"/>
      <c r="D3" s="92"/>
      <c r="E3" s="92"/>
      <c r="F3" s="92"/>
      <c r="G3" s="92"/>
      <c r="H3" s="92"/>
      <c r="I3" s="92"/>
      <c r="J3" s="71"/>
      <c r="K3" s="72"/>
      <c r="L3" s="72"/>
      <c r="M3" s="72"/>
      <c r="N3" s="72"/>
      <c r="O3" s="72"/>
      <c r="P3" s="72"/>
    </row>
    <row r="4" spans="1:16" ht="15.75" x14ac:dyDescent="0.25">
      <c r="A4" s="73" t="s">
        <v>0</v>
      </c>
      <c r="B4" s="74"/>
      <c r="C4" s="74"/>
      <c r="D4" s="610" t="str">
        <f>'Tableau 1-B Analyse du Contexte'!$C$5</f>
        <v>TCHAD</v>
      </c>
      <c r="E4" s="610"/>
      <c r="F4" s="93"/>
      <c r="G4" s="93"/>
      <c r="H4" s="93"/>
      <c r="I4" s="93"/>
      <c r="J4" s="72"/>
      <c r="K4" s="72"/>
      <c r="L4" s="72"/>
      <c r="M4" s="72"/>
      <c r="N4" s="72"/>
      <c r="O4" s="72"/>
      <c r="P4" s="72"/>
    </row>
    <row r="5" spans="1:16" ht="15.75" x14ac:dyDescent="0.25">
      <c r="A5" s="75" t="s">
        <v>1</v>
      </c>
      <c r="B5" s="76"/>
      <c r="C5" s="76"/>
      <c r="D5" s="611">
        <f>'Tableau 1-B Analyse du Contexte'!$C$6</f>
        <v>0</v>
      </c>
      <c r="E5" s="611"/>
      <c r="F5" s="94"/>
      <c r="G5" s="94"/>
      <c r="H5" s="94"/>
      <c r="I5" s="94"/>
      <c r="J5" s="72"/>
      <c r="K5" s="72"/>
      <c r="L5" s="72"/>
      <c r="M5" s="72"/>
      <c r="N5" s="72"/>
      <c r="O5" s="72"/>
      <c r="P5" s="72"/>
    </row>
    <row r="6" spans="1:16" ht="15.75" x14ac:dyDescent="0.25">
      <c r="A6" s="75" t="s">
        <v>2</v>
      </c>
      <c r="B6" s="76"/>
      <c r="C6" s="76"/>
      <c r="D6" s="611">
        <f>'Tableau 1-B Analyse du Contexte'!$C$7</f>
        <v>0</v>
      </c>
      <c r="E6" s="611"/>
      <c r="F6" s="94"/>
      <c r="G6" s="94"/>
      <c r="H6" s="94"/>
      <c r="I6" s="94"/>
      <c r="J6" s="72"/>
      <c r="K6" s="72"/>
      <c r="L6" s="72"/>
      <c r="M6" s="72"/>
      <c r="N6" s="72"/>
      <c r="O6" s="72"/>
      <c r="P6" s="72"/>
    </row>
    <row r="7" spans="1:16" ht="15.75" x14ac:dyDescent="0.25">
      <c r="A7" s="69"/>
      <c r="B7" s="70"/>
      <c r="C7" s="70"/>
      <c r="D7" s="92"/>
      <c r="E7" s="92"/>
      <c r="F7" s="92"/>
      <c r="G7" s="92"/>
      <c r="H7" s="92"/>
      <c r="I7" s="92"/>
      <c r="J7" s="72"/>
      <c r="K7" s="72"/>
      <c r="L7" s="72"/>
      <c r="M7" s="72"/>
      <c r="N7" s="72"/>
      <c r="O7" s="72"/>
      <c r="P7" s="72"/>
    </row>
    <row r="8" spans="1:16" ht="15.75" x14ac:dyDescent="0.25">
      <c r="A8" s="73" t="s">
        <v>3</v>
      </c>
      <c r="B8" s="74"/>
      <c r="C8" s="74"/>
      <c r="D8" s="612" t="str">
        <f>'Tableau 1-B Analyse du Contexte'!$C$9</f>
        <v>Fevrier 2020</v>
      </c>
      <c r="E8" s="612"/>
      <c r="F8" s="93"/>
      <c r="G8" s="93"/>
      <c r="H8" s="93"/>
      <c r="I8" s="93"/>
      <c r="J8" s="72"/>
      <c r="K8" s="72"/>
      <c r="L8" s="72"/>
      <c r="M8" s="72"/>
      <c r="N8" s="72"/>
      <c r="O8" s="72"/>
      <c r="P8" s="72"/>
    </row>
    <row r="9" spans="1:16" ht="15.75" x14ac:dyDescent="0.25">
      <c r="A9" s="69"/>
      <c r="B9" s="70"/>
      <c r="C9" s="70"/>
      <c r="D9" s="92"/>
      <c r="E9" s="92"/>
      <c r="F9" s="92"/>
      <c r="G9" s="92"/>
      <c r="H9" s="92"/>
      <c r="I9" s="92"/>
      <c r="J9" s="70"/>
      <c r="K9" s="70"/>
      <c r="L9" s="70"/>
      <c r="M9" s="70"/>
      <c r="N9" s="70"/>
      <c r="O9" s="70"/>
      <c r="P9" s="77"/>
    </row>
    <row r="10" spans="1:16" ht="23.25" customHeight="1" thickBot="1" x14ac:dyDescent="0.3">
      <c r="A10" s="684" t="s">
        <v>47</v>
      </c>
      <c r="B10" s="685"/>
      <c r="C10" s="685"/>
      <c r="D10" s="685"/>
      <c r="E10" s="685"/>
      <c r="F10" s="685"/>
      <c r="G10" s="685"/>
      <c r="H10" s="685"/>
      <c r="I10" s="685"/>
      <c r="J10" s="685"/>
      <c r="K10" s="685"/>
      <c r="L10" s="685"/>
      <c r="M10" s="685"/>
      <c r="N10" s="685"/>
      <c r="O10" s="685"/>
      <c r="P10" s="686"/>
    </row>
    <row r="11" spans="1:16" ht="23.25" customHeight="1" x14ac:dyDescent="0.25">
      <c r="A11" s="9"/>
      <c r="B11" s="9"/>
      <c r="C11" s="9"/>
      <c r="D11" s="703" t="s">
        <v>66</v>
      </c>
      <c r="E11" s="703"/>
      <c r="F11" s="703"/>
      <c r="G11" s="703"/>
      <c r="H11" s="703"/>
      <c r="I11" s="703"/>
      <c r="J11" s="14"/>
      <c r="K11" s="702" t="s">
        <v>65</v>
      </c>
      <c r="L11" s="702"/>
      <c r="M11" s="702"/>
      <c r="N11" s="702"/>
      <c r="O11" s="702"/>
      <c r="P11" s="702"/>
    </row>
    <row r="12" spans="1:16" s="2" customFormat="1" ht="29.85" customHeight="1" x14ac:dyDescent="0.25">
      <c r="A12" s="4" t="s">
        <v>15</v>
      </c>
      <c r="B12" s="687" t="s">
        <v>48</v>
      </c>
      <c r="C12" s="688"/>
      <c r="D12" s="704" t="s">
        <v>211</v>
      </c>
      <c r="E12" s="705"/>
      <c r="F12" s="705"/>
      <c r="G12" s="705"/>
      <c r="H12" s="705"/>
      <c r="I12" s="706"/>
      <c r="J12" s="12"/>
      <c r="K12" s="680" t="s">
        <v>131</v>
      </c>
      <c r="L12" s="681"/>
      <c r="M12" s="681"/>
      <c r="N12" s="681"/>
      <c r="O12" s="681"/>
      <c r="P12" s="682"/>
    </row>
    <row r="13" spans="1:16" ht="51.75" customHeight="1" x14ac:dyDescent="0.25">
      <c r="A13" s="709" t="s">
        <v>4</v>
      </c>
      <c r="B13" s="710" t="s">
        <v>49</v>
      </c>
      <c r="C13" s="737"/>
      <c r="D13" s="707" t="str">
        <f>IF('Tableau 1-B Analyse du Contexte'!$K$7="Oui",IF('Tableau 1-C fact Cont'!L12="","N/A",'Tableau 1-C fact Cont'!L12),IF('Tableau 1-C fact Cont'!O12="F0",IF('Tableau 1-C fact Cont'!L12="","N/A","Score de Fiabilité nul-F0"),IF('Tableau 1-C fact Cont'!L12="","N/A",'Tableau 1-C fact Cont'!L12)))</f>
        <v>N/A</v>
      </c>
      <c r="E13" s="708"/>
      <c r="F13" s="708"/>
      <c r="G13" s="708"/>
      <c r="H13" s="708"/>
      <c r="I13" s="708"/>
      <c r="J13" s="61"/>
      <c r="K13" s="748"/>
      <c r="L13" s="696"/>
      <c r="M13" s="696"/>
      <c r="N13" s="696"/>
      <c r="O13" s="696"/>
      <c r="P13" s="697"/>
    </row>
    <row r="14" spans="1:16" ht="22.5" customHeight="1" x14ac:dyDescent="0.25">
      <c r="A14" s="598"/>
      <c r="B14" s="710"/>
      <c r="C14" s="737"/>
      <c r="D14" s="669" t="str">
        <f>IF('Tableau 1-B Analyse du Contexte'!$K$7="Oui",IF('Tableau 1-C fact Cont'!L13="","N/A",'Tableau 1-C fact Cont'!L13),IF('Tableau 1-C fact Cont'!O13="F0",IF('Tableau 1-C fact Cont'!L13="","N/A","Score de Fiabilité nul-F0"),IF('Tableau 1-C fact Cont'!L13="","N/A",'Tableau 1-C fact Cont'!L13)))</f>
        <v>N/A</v>
      </c>
      <c r="E14" s="670"/>
      <c r="F14" s="670"/>
      <c r="G14" s="670"/>
      <c r="H14" s="670"/>
      <c r="I14" s="670"/>
      <c r="J14" s="61"/>
      <c r="K14" s="748"/>
      <c r="L14" s="696"/>
      <c r="M14" s="696"/>
      <c r="N14" s="696"/>
      <c r="O14" s="696"/>
      <c r="P14" s="697"/>
    </row>
    <row r="15" spans="1:16" ht="22.5" customHeight="1" x14ac:dyDescent="0.25">
      <c r="A15" s="598"/>
      <c r="B15" s="710"/>
      <c r="C15" s="737"/>
      <c r="D15" s="669" t="str">
        <f>IF('Tableau 1-B Analyse du Contexte'!$K$7="Oui",IF('Tableau 1-C fact Cont'!L14="","N/A",'Tableau 1-C fact Cont'!L14),IF('Tableau 1-C fact Cont'!O14="F0",IF('Tableau 1-C fact Cont'!L14="","N/A","Score de Fiabilité nul-F0"),IF('Tableau 1-C fact Cont'!L14="","N/A",'Tableau 1-C fact Cont'!L14)))</f>
        <v>N/A</v>
      </c>
      <c r="E15" s="670"/>
      <c r="F15" s="670"/>
      <c r="G15" s="670"/>
      <c r="H15" s="670"/>
      <c r="I15" s="670"/>
      <c r="J15" s="61"/>
      <c r="K15" s="748"/>
      <c r="L15" s="696"/>
      <c r="M15" s="696"/>
      <c r="N15" s="696"/>
      <c r="O15" s="696"/>
      <c r="P15" s="697"/>
    </row>
    <row r="16" spans="1:16" ht="22.5" customHeight="1" x14ac:dyDescent="0.25">
      <c r="A16" s="598"/>
      <c r="B16" s="710"/>
      <c r="C16" s="737"/>
      <c r="D16" s="669" t="str">
        <f>IF('Tableau 1-B Analyse du Contexte'!$K$7="Oui",IF('Tableau 1-C fact Cont'!L15="","N/A",'Tableau 1-C fact Cont'!L15),IF('Tableau 1-C fact Cont'!O15="F0",IF('Tableau 1-C fact Cont'!L15="","N/A","Score de Fiabilité nul-F0"),IF('Tableau 1-C fact Cont'!L15="","N/A",'Tableau 1-C fact Cont'!L15)))</f>
        <v>N/A</v>
      </c>
      <c r="E16" s="670"/>
      <c r="F16" s="670"/>
      <c r="G16" s="670"/>
      <c r="H16" s="670"/>
      <c r="I16" s="670"/>
      <c r="J16" s="61"/>
      <c r="K16" s="696"/>
      <c r="L16" s="696"/>
      <c r="M16" s="696"/>
      <c r="N16" s="696"/>
      <c r="O16" s="696"/>
      <c r="P16" s="697"/>
    </row>
    <row r="17" spans="1:16" ht="22.5" customHeight="1" thickBot="1" x14ac:dyDescent="0.3">
      <c r="A17" s="598"/>
      <c r="B17" s="710"/>
      <c r="C17" s="737"/>
      <c r="D17" s="669" t="str">
        <f>IF('Tableau 1-B Analyse du Contexte'!$K$7="Oui",IF('Tableau 1-C fact Cont'!L16="","N/A",'Tableau 1-C fact Cont'!L16),IF('Tableau 1-C fact Cont'!O16="F0",IF('Tableau 1-C fact Cont'!L16="","N/A","Score de Fiabilité nul-F0"),IF('Tableau 1-C fact Cont'!L16="","N/A",'Tableau 1-C fact Cont'!L16)))</f>
        <v>N/A</v>
      </c>
      <c r="E17" s="670"/>
      <c r="F17" s="670"/>
      <c r="G17" s="670"/>
      <c r="H17" s="670"/>
      <c r="I17" s="670"/>
      <c r="J17" s="61"/>
      <c r="K17" s="696"/>
      <c r="L17" s="696"/>
      <c r="M17" s="696"/>
      <c r="N17" s="696"/>
      <c r="O17" s="696"/>
      <c r="P17" s="697"/>
    </row>
    <row r="18" spans="1:16" ht="22.5" customHeight="1" thickBot="1" x14ac:dyDescent="0.3">
      <c r="A18" s="598"/>
      <c r="B18" s="710"/>
      <c r="C18" s="737"/>
      <c r="D18" s="761"/>
      <c r="E18" s="762"/>
      <c r="F18" s="762"/>
      <c r="G18" s="762"/>
      <c r="H18" s="762"/>
      <c r="I18" s="763"/>
      <c r="J18" s="61"/>
      <c r="K18" s="698"/>
      <c r="L18" s="698"/>
      <c r="M18" s="698"/>
      <c r="N18" s="698"/>
      <c r="O18" s="698"/>
      <c r="P18" s="699"/>
    </row>
    <row r="19" spans="1:16" ht="8.1" customHeight="1" x14ac:dyDescent="0.25">
      <c r="A19" s="598"/>
      <c r="B19" s="710"/>
      <c r="C19" s="737"/>
      <c r="D19" s="761"/>
      <c r="E19" s="762"/>
      <c r="F19" s="762"/>
      <c r="G19" s="762"/>
      <c r="H19" s="762"/>
      <c r="I19" s="763"/>
      <c r="J19" s="61"/>
      <c r="K19" s="698"/>
      <c r="L19" s="698"/>
      <c r="M19" s="698"/>
      <c r="N19" s="698"/>
      <c r="O19" s="698"/>
      <c r="P19" s="699"/>
    </row>
    <row r="20" spans="1:16" ht="8.25" customHeight="1" x14ac:dyDescent="0.25">
      <c r="A20" s="598"/>
      <c r="B20" s="8"/>
      <c r="C20" s="16"/>
      <c r="D20" s="95"/>
      <c r="E20" s="96"/>
      <c r="F20" s="95"/>
      <c r="G20" s="96"/>
      <c r="H20" s="97"/>
      <c r="I20" s="95"/>
      <c r="J20" s="62"/>
      <c r="K20" s="63"/>
      <c r="L20" s="64"/>
      <c r="M20" s="65"/>
      <c r="N20" s="63"/>
      <c r="O20" s="64"/>
      <c r="P20" s="64"/>
    </row>
    <row r="21" spans="1:16" ht="42" customHeight="1" x14ac:dyDescent="0.25">
      <c r="A21" s="598"/>
      <c r="B21" s="738" t="s">
        <v>50</v>
      </c>
      <c r="C21" s="739"/>
      <c r="D21" s="669" t="str">
        <f>IF('Tableau 1-B Analyse du Contexte'!$K$7="Oui",IF('Tableau 1-C fact Cont'!L18="","N/A",'Tableau 1-C fact Cont'!L18),IF('Tableau 1-C fact Cont'!O18="F0",IF('Tableau 1-C fact Cont'!L18="","N/A","Score de Fiabilité nul-F0"),IF('Tableau 1-C fact Cont'!L18="","N/A",'Tableau 1-C fact Cont'!L18)))</f>
        <v>N/A</v>
      </c>
      <c r="E21" s="670"/>
      <c r="F21" s="670"/>
      <c r="G21" s="670"/>
      <c r="H21" s="670"/>
      <c r="I21" s="670"/>
      <c r="J21" s="62"/>
      <c r="K21" s="764"/>
      <c r="L21" s="765"/>
      <c r="M21" s="765"/>
      <c r="N21" s="765"/>
      <c r="O21" s="765"/>
      <c r="P21" s="766"/>
    </row>
    <row r="22" spans="1:16" ht="20.25" customHeight="1" x14ac:dyDescent="0.25">
      <c r="A22" s="598"/>
      <c r="B22" s="710"/>
      <c r="C22" s="711"/>
      <c r="D22" s="669" t="str">
        <f>IF('Tableau 1-B Analyse du Contexte'!$K$7="Oui",IF('Tableau 1-C fact Cont'!L19="","N/A",'Tableau 1-C fact Cont'!L19),IF('Tableau 1-C fact Cont'!O19="F0",IF('Tableau 1-C fact Cont'!L19="","N/A","Score de Fiabilité nul-F0"),IF('Tableau 1-C fact Cont'!L19="","N/A",'Tableau 1-C fact Cont'!L19)))</f>
        <v>N/A</v>
      </c>
      <c r="E22" s="670"/>
      <c r="F22" s="670"/>
      <c r="G22" s="670"/>
      <c r="H22" s="670"/>
      <c r="I22" s="670"/>
      <c r="J22" s="62"/>
      <c r="K22" s="748"/>
      <c r="L22" s="696"/>
      <c r="M22" s="696"/>
      <c r="N22" s="696"/>
      <c r="O22" s="696"/>
      <c r="P22" s="697"/>
    </row>
    <row r="23" spans="1:16" ht="34.5" customHeight="1" x14ac:dyDescent="0.25">
      <c r="A23" s="598"/>
      <c r="B23" s="710"/>
      <c r="C23" s="711"/>
      <c r="D23" s="746" t="str">
        <f>IF('Tableau 1-B Analyse du Contexte'!$K$7="Oui",IF('Tableau 1-C fact Cont'!L20="","N/A",'Tableau 1-C fact Cont'!L20),IF('Tableau 1-C fact Cont'!O20="F0",IF('Tableau 1-C fact Cont'!L20="","N/A","Score de Fiabilité nul-F0"),IF('Tableau 1-C fact Cont'!L20="","N/A",'Tableau 1-C fact Cont'!L20)))</f>
        <v>N/A</v>
      </c>
      <c r="E23" s="708"/>
      <c r="F23" s="708"/>
      <c r="G23" s="708"/>
      <c r="H23" s="708"/>
      <c r="I23" s="708"/>
      <c r="J23" s="62"/>
      <c r="K23" s="696"/>
      <c r="L23" s="696"/>
      <c r="M23" s="696"/>
      <c r="N23" s="696"/>
      <c r="O23" s="696"/>
      <c r="P23" s="697"/>
    </row>
    <row r="24" spans="1:16" ht="54.75" customHeight="1" x14ac:dyDescent="0.25">
      <c r="A24" s="598"/>
      <c r="B24" s="710"/>
      <c r="C24" s="711"/>
      <c r="D24" s="746" t="str">
        <f>IF('Tableau 1-B Analyse du Contexte'!$K$7="Oui",IF('Tableau 1-C fact Cont'!L21="","N/A",'Tableau 1-C fact Cont'!L21),IF('Tableau 1-C fact Cont'!O21="F0",IF('Tableau 1-C fact Cont'!L21="","N/A","Score de Fiabilité nul-F0"),IF('Tableau 1-C fact Cont'!L21="","N/A",'Tableau 1-C fact Cont'!L21)))</f>
        <v>N/A</v>
      </c>
      <c r="E24" s="708"/>
      <c r="F24" s="708"/>
      <c r="G24" s="708"/>
      <c r="H24" s="708"/>
      <c r="I24" s="708"/>
      <c r="J24" s="62"/>
      <c r="K24" s="748"/>
      <c r="L24" s="696"/>
      <c r="M24" s="696"/>
      <c r="N24" s="696"/>
      <c r="O24" s="696"/>
      <c r="P24" s="697"/>
    </row>
    <row r="25" spans="1:16" ht="20.25" customHeight="1" thickBot="1" x14ac:dyDescent="0.3">
      <c r="A25" s="598"/>
      <c r="B25" s="710"/>
      <c r="C25" s="711"/>
      <c r="D25" s="669" t="str">
        <f>IF('Tableau 1-B Analyse du Contexte'!$K$7="Oui",IF('Tableau 1-C fact Cont'!L22="","N/A",'Tableau 1-C fact Cont'!L22),IF('Tableau 1-C fact Cont'!O22="F0",IF('Tableau 1-C fact Cont'!L22="","N/A","Score de Fiabilité nul-F0"),IF('Tableau 1-C fact Cont'!L22="","N/A",'Tableau 1-C fact Cont'!L22)))</f>
        <v>N/A</v>
      </c>
      <c r="E25" s="670"/>
      <c r="F25" s="670"/>
      <c r="G25" s="670"/>
      <c r="H25" s="670"/>
      <c r="I25" s="670"/>
      <c r="J25" s="62"/>
      <c r="K25" s="696"/>
      <c r="L25" s="696"/>
      <c r="M25" s="696"/>
      <c r="N25" s="696"/>
      <c r="O25" s="696"/>
      <c r="P25" s="697"/>
    </row>
    <row r="26" spans="1:16" ht="20.25" customHeight="1" x14ac:dyDescent="0.25">
      <c r="A26" s="598"/>
      <c r="B26" s="710"/>
      <c r="C26" s="711"/>
      <c r="D26" s="761"/>
      <c r="E26" s="762"/>
      <c r="F26" s="762"/>
      <c r="G26" s="762"/>
      <c r="H26" s="762"/>
      <c r="I26" s="763"/>
      <c r="J26" s="62"/>
      <c r="K26" s="698"/>
      <c r="L26" s="698"/>
      <c r="M26" s="698"/>
      <c r="N26" s="698"/>
      <c r="O26" s="698"/>
      <c r="P26" s="699"/>
    </row>
    <row r="27" spans="1:16" ht="7.35" customHeight="1" x14ac:dyDescent="0.25">
      <c r="A27" s="598"/>
      <c r="B27" s="710"/>
      <c r="C27" s="711"/>
      <c r="D27" s="98"/>
      <c r="E27" s="98"/>
      <c r="F27" s="98"/>
      <c r="G27" s="98"/>
      <c r="H27" s="98"/>
      <c r="I27" s="98"/>
      <c r="J27" s="13"/>
      <c r="K27" s="11"/>
      <c r="L27" s="11"/>
      <c r="M27" s="11"/>
      <c r="N27" s="11"/>
      <c r="O27" s="11"/>
      <c r="P27" s="11"/>
    </row>
    <row r="28" spans="1:16" ht="9" customHeight="1" x14ac:dyDescent="0.25">
      <c r="A28" s="598"/>
      <c r="B28" s="689" t="s">
        <v>51</v>
      </c>
      <c r="C28" s="690"/>
      <c r="D28" s="712"/>
      <c r="E28" s="713"/>
      <c r="F28" s="713"/>
      <c r="G28" s="713"/>
      <c r="H28" s="713"/>
      <c r="I28" s="713"/>
      <c r="J28" s="13"/>
      <c r="K28" s="730"/>
      <c r="L28" s="731"/>
      <c r="M28" s="731"/>
      <c r="N28" s="731"/>
      <c r="O28" s="731"/>
      <c r="P28" s="732"/>
    </row>
    <row r="29" spans="1:16" ht="9" customHeight="1" x14ac:dyDescent="0.25">
      <c r="A29" s="598"/>
      <c r="B29" s="689"/>
      <c r="C29" s="690"/>
      <c r="D29" s="714"/>
      <c r="E29" s="715"/>
      <c r="F29" s="715"/>
      <c r="G29" s="715"/>
      <c r="H29" s="715"/>
      <c r="I29" s="715"/>
      <c r="J29" s="13"/>
      <c r="K29" s="733"/>
      <c r="L29" s="733"/>
      <c r="M29" s="733"/>
      <c r="N29" s="733"/>
      <c r="O29" s="733"/>
      <c r="P29" s="734"/>
    </row>
    <row r="30" spans="1:16" ht="9" customHeight="1" x14ac:dyDescent="0.25">
      <c r="A30" s="598"/>
      <c r="B30" s="689"/>
      <c r="C30" s="690"/>
      <c r="D30" s="714"/>
      <c r="E30" s="715"/>
      <c r="F30" s="715"/>
      <c r="G30" s="715"/>
      <c r="H30" s="715"/>
      <c r="I30" s="715"/>
      <c r="J30" s="13"/>
      <c r="K30" s="733"/>
      <c r="L30" s="733"/>
      <c r="M30" s="733"/>
      <c r="N30" s="733"/>
      <c r="O30" s="733"/>
      <c r="P30" s="734"/>
    </row>
    <row r="31" spans="1:16" ht="9" customHeight="1" x14ac:dyDescent="0.25">
      <c r="A31" s="598"/>
      <c r="B31" s="689"/>
      <c r="C31" s="690"/>
      <c r="D31" s="714"/>
      <c r="E31" s="715"/>
      <c r="F31" s="715"/>
      <c r="G31" s="715"/>
      <c r="H31" s="715"/>
      <c r="I31" s="715"/>
      <c r="J31" s="13"/>
      <c r="K31" s="733"/>
      <c r="L31" s="733"/>
      <c r="M31" s="733"/>
      <c r="N31" s="733"/>
      <c r="O31" s="733"/>
      <c r="P31" s="734"/>
    </row>
    <row r="32" spans="1:16" ht="81.75" customHeight="1" thickBot="1" x14ac:dyDescent="0.3">
      <c r="A32" s="598"/>
      <c r="B32" s="689"/>
      <c r="C32" s="690"/>
      <c r="D32" s="714"/>
      <c r="E32" s="715"/>
      <c r="F32" s="715"/>
      <c r="G32" s="715"/>
      <c r="H32" s="715"/>
      <c r="I32" s="715"/>
      <c r="J32" s="13"/>
      <c r="K32" s="735"/>
      <c r="L32" s="735"/>
      <c r="M32" s="735"/>
      <c r="N32" s="735"/>
      <c r="O32" s="735"/>
      <c r="P32" s="736"/>
    </row>
    <row r="33" spans="1:16" ht="15.75" customHeight="1" x14ac:dyDescent="0.25">
      <c r="A33" s="598"/>
      <c r="B33" s="691" t="s">
        <v>52</v>
      </c>
      <c r="C33" s="17"/>
      <c r="D33" s="694" t="s">
        <v>53</v>
      </c>
      <c r="E33" s="694"/>
      <c r="F33" s="695"/>
      <c r="G33" s="673" t="s">
        <v>57</v>
      </c>
      <c r="H33" s="674"/>
      <c r="I33" s="675"/>
      <c r="J33" s="18"/>
      <c r="K33" s="700" t="s">
        <v>53</v>
      </c>
      <c r="L33" s="701"/>
      <c r="M33" s="701"/>
      <c r="N33" s="676" t="s">
        <v>57</v>
      </c>
      <c r="O33" s="677"/>
      <c r="P33" s="678"/>
    </row>
    <row r="34" spans="1:16" ht="15.75" x14ac:dyDescent="0.25">
      <c r="A34" s="598"/>
      <c r="B34" s="691"/>
      <c r="C34" s="17"/>
      <c r="D34" s="347" t="s">
        <v>56</v>
      </c>
      <c r="E34" s="53" t="s">
        <v>55</v>
      </c>
      <c r="F34" s="346" t="s">
        <v>224</v>
      </c>
      <c r="G34" s="101" t="s">
        <v>54</v>
      </c>
      <c r="H34" s="102" t="s">
        <v>55</v>
      </c>
      <c r="I34" s="103" t="s">
        <v>56</v>
      </c>
      <c r="J34" s="18"/>
      <c r="K34" s="347" t="s">
        <v>56</v>
      </c>
      <c r="L34" s="53" t="s">
        <v>55</v>
      </c>
      <c r="M34" s="346" t="s">
        <v>224</v>
      </c>
      <c r="N34" s="50" t="s">
        <v>54</v>
      </c>
      <c r="O34" s="51" t="s">
        <v>55</v>
      </c>
      <c r="P34" s="52" t="s">
        <v>56</v>
      </c>
    </row>
    <row r="35" spans="1:16" ht="18" customHeight="1" x14ac:dyDescent="0.25">
      <c r="A35" s="598"/>
      <c r="B35" s="691"/>
      <c r="C35" s="15" t="s">
        <v>58</v>
      </c>
      <c r="D35" s="166"/>
      <c r="E35" s="166"/>
      <c r="F35" s="448"/>
      <c r="G35" s="255"/>
      <c r="H35" s="166"/>
      <c r="I35" s="166"/>
      <c r="J35" s="193"/>
      <c r="K35" s="166"/>
      <c r="L35" s="166"/>
      <c r="M35" s="192"/>
      <c r="N35" s="255"/>
      <c r="O35" s="166"/>
      <c r="P35" s="166"/>
    </row>
    <row r="36" spans="1:16" ht="18" customHeight="1" x14ac:dyDescent="0.25">
      <c r="A36" s="598"/>
      <c r="B36" s="691"/>
      <c r="C36" s="15" t="s">
        <v>59</v>
      </c>
      <c r="D36" s="166"/>
      <c r="E36" s="166"/>
      <c r="F36" s="448"/>
      <c r="G36" s="255"/>
      <c r="H36" s="166"/>
      <c r="I36" s="166"/>
      <c r="J36" s="193"/>
      <c r="K36" s="166"/>
      <c r="L36" s="166"/>
      <c r="M36" s="192"/>
      <c r="N36" s="255"/>
      <c r="O36" s="166"/>
      <c r="P36" s="166"/>
    </row>
    <row r="37" spans="1:16" ht="18" customHeight="1" x14ac:dyDescent="0.25">
      <c r="A37" s="598"/>
      <c r="B37" s="691"/>
      <c r="C37" s="15" t="s">
        <v>60</v>
      </c>
      <c r="D37" s="166"/>
      <c r="E37" s="166"/>
      <c r="F37" s="192"/>
      <c r="G37" s="255"/>
      <c r="H37" s="166"/>
      <c r="I37" s="166"/>
      <c r="J37" s="193"/>
      <c r="K37" s="166"/>
      <c r="L37" s="166"/>
      <c r="M37" s="192"/>
      <c r="N37" s="255"/>
      <c r="O37" s="166"/>
      <c r="P37" s="166"/>
    </row>
    <row r="38" spans="1:16" ht="18" customHeight="1" x14ac:dyDescent="0.25">
      <c r="A38" s="598"/>
      <c r="B38" s="692"/>
      <c r="C38" s="15" t="s">
        <v>61</v>
      </c>
      <c r="D38" s="166"/>
      <c r="E38" s="166"/>
      <c r="F38" s="192"/>
      <c r="G38" s="255"/>
      <c r="H38" s="166"/>
      <c r="I38" s="166"/>
      <c r="J38" s="193"/>
      <c r="K38" s="166"/>
      <c r="L38" s="166"/>
      <c r="M38" s="192"/>
      <c r="N38" s="255"/>
      <c r="O38" s="166"/>
      <c r="P38" s="166"/>
    </row>
    <row r="39" spans="1:16" ht="5.85" customHeight="1" x14ac:dyDescent="0.25">
      <c r="A39" s="598"/>
      <c r="B39" s="11"/>
      <c r="C39" s="11"/>
      <c r="D39" s="98"/>
      <c r="E39" s="98"/>
      <c r="F39" s="98"/>
      <c r="G39" s="98"/>
      <c r="H39" s="98"/>
      <c r="I39" s="98"/>
      <c r="J39" s="13"/>
      <c r="K39" s="11"/>
      <c r="L39" s="11"/>
      <c r="M39" s="11"/>
      <c r="N39" s="11"/>
      <c r="O39" s="11"/>
      <c r="P39" s="11"/>
    </row>
    <row r="40" spans="1:16" s="22" customFormat="1" ht="48.75" customHeight="1" x14ac:dyDescent="0.25">
      <c r="A40" s="598"/>
      <c r="B40" s="693" t="s">
        <v>169</v>
      </c>
      <c r="C40" s="693"/>
      <c r="D40" s="693"/>
      <c r="E40" s="693"/>
      <c r="F40" s="693"/>
      <c r="G40" s="449" t="s">
        <v>62</v>
      </c>
      <c r="H40" s="449" t="s">
        <v>63</v>
      </c>
      <c r="I40" s="449" t="s">
        <v>64</v>
      </c>
      <c r="J40" s="25"/>
      <c r="K40" s="683" t="s">
        <v>62</v>
      </c>
      <c r="L40" s="683"/>
      <c r="M40" s="683" t="s">
        <v>63</v>
      </c>
      <c r="N40" s="683"/>
      <c r="O40" s="683" t="s">
        <v>64</v>
      </c>
      <c r="P40" s="683"/>
    </row>
    <row r="41" spans="1:16" ht="12" customHeight="1" x14ac:dyDescent="0.25">
      <c r="A41" s="598"/>
      <c r="B41" s="693"/>
      <c r="C41" s="693"/>
      <c r="D41" s="693"/>
      <c r="E41" s="693"/>
      <c r="F41" s="693"/>
      <c r="G41" s="727"/>
      <c r="H41" s="727"/>
      <c r="I41" s="780"/>
      <c r="J41" s="23"/>
      <c r="K41" s="783"/>
      <c r="L41" s="784"/>
      <c r="M41" s="755"/>
      <c r="N41" s="756"/>
      <c r="O41" s="788"/>
      <c r="P41" s="756"/>
    </row>
    <row r="42" spans="1:16" ht="12" customHeight="1" x14ac:dyDescent="0.25">
      <c r="A42" s="598"/>
      <c r="B42" s="693"/>
      <c r="C42" s="693"/>
      <c r="D42" s="693"/>
      <c r="E42" s="693"/>
      <c r="F42" s="693"/>
      <c r="G42" s="728"/>
      <c r="H42" s="728"/>
      <c r="I42" s="781"/>
      <c r="J42" s="23"/>
      <c r="K42" s="689"/>
      <c r="L42" s="690"/>
      <c r="M42" s="757"/>
      <c r="N42" s="758"/>
      <c r="O42" s="757"/>
      <c r="P42" s="758"/>
    </row>
    <row r="43" spans="1:16" ht="12" customHeight="1" x14ac:dyDescent="0.25">
      <c r="A43" s="599"/>
      <c r="B43" s="693"/>
      <c r="C43" s="693"/>
      <c r="D43" s="693"/>
      <c r="E43" s="693"/>
      <c r="F43" s="693"/>
      <c r="G43" s="729"/>
      <c r="H43" s="729"/>
      <c r="I43" s="782"/>
      <c r="J43" s="23"/>
      <c r="K43" s="785"/>
      <c r="L43" s="786"/>
      <c r="M43" s="759"/>
      <c r="N43" s="760"/>
      <c r="O43" s="759"/>
      <c r="P43" s="760"/>
    </row>
    <row r="44" spans="1:16" ht="6.75" customHeight="1" x14ac:dyDescent="0.25">
      <c r="A44" s="10"/>
      <c r="B44" s="10"/>
      <c r="C44" s="10"/>
      <c r="D44" s="106"/>
      <c r="E44" s="106"/>
      <c r="F44" s="106"/>
      <c r="G44" s="106"/>
      <c r="H44" s="106"/>
      <c r="I44" s="106"/>
      <c r="J44" s="7"/>
      <c r="K44" s="7"/>
      <c r="L44" s="7"/>
      <c r="M44" s="7"/>
      <c r="N44" s="7"/>
      <c r="O44" s="7"/>
      <c r="P44" s="7"/>
    </row>
    <row r="45" spans="1:16" ht="44.25" customHeight="1" x14ac:dyDescent="0.25">
      <c r="A45" s="709" t="s">
        <v>67</v>
      </c>
      <c r="B45" s="669" t="str">
        <f>IF('Tableau 1-B Analyse du Contexte'!$K$7="Oui",IF('Tableau 1-C fact Cont'!L24="","N/A",'Tableau 1-C fact Cont'!L24),IF('Tableau 1-C fact Cont'!O24="F0",IF('Tableau 1-C fact Cont'!L24="","N/A","Score de Fiabilité nul-F0"),IF('Tableau 1-C fact Cont'!L24="","N/A",'Tableau 1-C fact Cont'!L24)))</f>
        <v>N/A</v>
      </c>
      <c r="C45" s="670"/>
      <c r="D45" s="670"/>
      <c r="E45" s="670"/>
      <c r="F45" s="670"/>
      <c r="G45" s="670"/>
      <c r="H45" s="670"/>
      <c r="I45" s="671"/>
      <c r="J45" s="66"/>
      <c r="K45" s="749"/>
      <c r="L45" s="750"/>
      <c r="M45" s="750"/>
      <c r="N45" s="750"/>
      <c r="O45" s="750"/>
      <c r="P45" s="751"/>
    </row>
    <row r="46" spans="1:16" ht="42" customHeight="1" x14ac:dyDescent="0.25">
      <c r="A46" s="598"/>
      <c r="B46" s="669" t="str">
        <f>IF('Tableau 1-B Analyse du Contexte'!$K$7="Oui",IF('Tableau 1-C fact Cont'!L25="","N/A",'Tableau 1-C fact Cont'!L25),IF('Tableau 1-C fact Cont'!O25="F0",IF('Tableau 1-C fact Cont'!L25="","N/A","Score de Fiabilité nul-F0"),IF('Tableau 1-C fact Cont'!L25="","N/A",'Tableau 1-C fact Cont'!L25)))</f>
        <v>N/A</v>
      </c>
      <c r="C46" s="670"/>
      <c r="D46" s="670"/>
      <c r="E46" s="670"/>
      <c r="F46" s="670"/>
      <c r="G46" s="670"/>
      <c r="H46" s="670"/>
      <c r="I46" s="671"/>
      <c r="J46" s="66"/>
      <c r="K46" s="767"/>
      <c r="L46" s="768"/>
      <c r="M46" s="768"/>
      <c r="N46" s="768"/>
      <c r="O46" s="768"/>
      <c r="P46" s="769"/>
    </row>
    <row r="47" spans="1:16" ht="30" customHeight="1" x14ac:dyDescent="0.25">
      <c r="A47" s="598"/>
      <c r="B47" s="669" t="str">
        <f>IF('Tableau 1-B Analyse du Contexte'!$K$7="Oui",IF('Tableau 1-C fact Cont'!L26="","N/A",'Tableau 1-C fact Cont'!L26),IF('Tableau 1-C fact Cont'!O26="F0",IF('Tableau 1-C fact Cont'!L26="","N/A","Score de Fiabilité nul-F0"),IF('Tableau 1-C fact Cont'!L26="","N/A",'Tableau 1-C fact Cont'!L26)))</f>
        <v>N/A</v>
      </c>
      <c r="C47" s="670"/>
      <c r="D47" s="670"/>
      <c r="E47" s="670"/>
      <c r="F47" s="670"/>
      <c r="G47" s="670"/>
      <c r="H47" s="670"/>
      <c r="I47" s="671"/>
      <c r="J47" s="66"/>
      <c r="K47" s="770"/>
      <c r="L47" s="771"/>
      <c r="M47" s="771"/>
      <c r="N47" s="771"/>
      <c r="O47" s="771"/>
      <c r="P47" s="772"/>
    </row>
    <row r="48" spans="1:16" ht="34.5" customHeight="1" x14ac:dyDescent="0.25">
      <c r="A48" s="598"/>
      <c r="B48" s="669" t="str">
        <f>IF('Tableau 1-B Analyse du Contexte'!$K$7="Oui",IF('Tableau 1-C fact Cont'!L27="","N/A",'Tableau 1-C fact Cont'!L27),IF('Tableau 1-C fact Cont'!O27="F0",IF('Tableau 1-C fact Cont'!L27="","N/A","Score de Fiabilité nul-F0"),IF('Tableau 1-C fact Cont'!L27="","N/A",'Tableau 1-C fact Cont'!L27)))</f>
        <v>N/A</v>
      </c>
      <c r="C48" s="670"/>
      <c r="D48" s="670"/>
      <c r="E48" s="670"/>
      <c r="F48" s="670"/>
      <c r="G48" s="670"/>
      <c r="H48" s="670"/>
      <c r="I48" s="671"/>
      <c r="J48" s="66"/>
      <c r="K48" s="773"/>
      <c r="L48" s="774"/>
      <c r="M48" s="774"/>
      <c r="N48" s="774"/>
      <c r="O48" s="774"/>
      <c r="P48" s="775"/>
    </row>
    <row r="49" spans="1:18" ht="42" customHeight="1" x14ac:dyDescent="0.25">
      <c r="A49" s="598"/>
      <c r="B49" s="669" t="str">
        <f>IF('Tableau 1-B Analyse du Contexte'!$K$7="Oui",IF('Tableau 1-C fact Cont'!L28="","N/A",'Tableau 1-C fact Cont'!L28),IF('Tableau 1-C fact Cont'!O28="F0",IF('Tableau 1-C fact Cont'!L28="","N/A","Score de Fiabilité nul-F0"),IF('Tableau 1-C fact Cont'!L28="","N/A",'Tableau 1-C fact Cont'!L28)))</f>
        <v>N/A</v>
      </c>
      <c r="C49" s="670"/>
      <c r="D49" s="670"/>
      <c r="E49" s="670"/>
      <c r="F49" s="670"/>
      <c r="G49" s="670"/>
      <c r="H49" s="670"/>
      <c r="I49" s="671"/>
      <c r="J49" s="66"/>
      <c r="K49" s="773"/>
      <c r="L49" s="774"/>
      <c r="M49" s="774"/>
      <c r="N49" s="774"/>
      <c r="O49" s="774"/>
      <c r="P49" s="775"/>
    </row>
    <row r="50" spans="1:18" ht="37.5" customHeight="1" x14ac:dyDescent="0.25">
      <c r="A50" s="598"/>
      <c r="B50" s="746" t="str">
        <f>IF('Tableau 1-B Analyse du Contexte'!$K$7="Oui",IF('Tableau 1-C fact Cont'!L29="","N/A",'Tableau 1-C fact Cont'!L29),IF('Tableau 1-C fact Cont'!O29="F0",IF('Tableau 1-C fact Cont'!L29="","N/A","Score de Fiabilité nul-F0"),IF('Tableau 1-C fact Cont'!L29="","N/A",'Tableau 1-C fact Cont'!L29)))</f>
        <v>N/A</v>
      </c>
      <c r="C50" s="708"/>
      <c r="D50" s="708"/>
      <c r="E50" s="708"/>
      <c r="F50" s="708"/>
      <c r="G50" s="708"/>
      <c r="H50" s="708"/>
      <c r="I50" s="747"/>
      <c r="J50" s="66"/>
      <c r="K50" s="779"/>
      <c r="L50" s="750"/>
      <c r="M50" s="750"/>
      <c r="N50" s="750"/>
      <c r="O50" s="750"/>
      <c r="P50" s="751"/>
    </row>
    <row r="51" spans="1:18" ht="15" customHeight="1" x14ac:dyDescent="0.25">
      <c r="A51" s="598"/>
      <c r="B51" s="669" t="str">
        <f>IF('Tableau 1-B Analyse du Contexte'!$K$7="Oui",IF('Tableau 1-C fact Cont'!L30="","N/A",'Tableau 1-C fact Cont'!L30),IF('Tableau 1-C fact Cont'!O30="F0",IF('Tableau 1-C fact Cont'!L30="","N/A","Score de Fiabilité nul-F0"),IF('Tableau 1-C fact Cont'!L30="","N/A",'Tableau 1-C fact Cont'!L30)))</f>
        <v>N/A</v>
      </c>
      <c r="C51" s="670"/>
      <c r="D51" s="670"/>
      <c r="E51" s="670"/>
      <c r="F51" s="670"/>
      <c r="G51" s="670"/>
      <c r="H51" s="670"/>
      <c r="I51" s="671"/>
      <c r="J51" s="66"/>
      <c r="K51" s="749"/>
      <c r="L51" s="750"/>
      <c r="M51" s="750"/>
      <c r="N51" s="750"/>
      <c r="O51" s="750"/>
      <c r="P51" s="751"/>
      <c r="R51" s="321"/>
    </row>
    <row r="52" spans="1:18" ht="15" customHeight="1" x14ac:dyDescent="0.25">
      <c r="A52" s="598"/>
      <c r="B52" s="669" t="str">
        <f>IF('Tableau 1-B Analyse du Contexte'!$K$7="Oui",IF('Tableau 1-C fact Cont'!L31="","N/A",'Tableau 1-C fact Cont'!L31),IF('Tableau 1-C fact Cont'!O31="F0",IF('Tableau 1-C fact Cont'!L31="","N/A","Score de Fiabilité nul-F0"),IF('Tableau 1-C fact Cont'!L31="","N/A",'Tableau 1-C fact Cont'!L31)))</f>
        <v>N/A</v>
      </c>
      <c r="C52" s="670"/>
      <c r="D52" s="670"/>
      <c r="E52" s="670"/>
      <c r="F52" s="670"/>
      <c r="G52" s="670"/>
      <c r="H52" s="670"/>
      <c r="I52" s="671"/>
      <c r="J52" s="66"/>
      <c r="K52" s="275"/>
      <c r="L52" s="276"/>
      <c r="M52" s="276"/>
      <c r="N52" s="276"/>
      <c r="O52" s="276"/>
      <c r="P52" s="277"/>
    </row>
    <row r="53" spans="1:18" ht="15" customHeight="1" x14ac:dyDescent="0.25">
      <c r="A53" s="598"/>
      <c r="B53" s="669" t="str">
        <f>IF('Tableau 1-B Analyse du Contexte'!$K$7="Oui",IF('Tableau 1-C fact Cont'!L32="","N/A",'Tableau 1-C fact Cont'!L32),IF('Tableau 1-C fact Cont'!O32="F0",IF('Tableau 1-C fact Cont'!L32="","N/A","Score de Fiabilité nul-F0"),IF('Tableau 1-C fact Cont'!L32="","N/A",'Tableau 1-C fact Cont'!L32)))</f>
        <v>N/A</v>
      </c>
      <c r="C53" s="670"/>
      <c r="D53" s="670"/>
      <c r="E53" s="670"/>
      <c r="F53" s="670"/>
      <c r="G53" s="670"/>
      <c r="H53" s="670"/>
      <c r="I53" s="671"/>
      <c r="J53" s="66"/>
      <c r="K53" s="749"/>
      <c r="L53" s="750"/>
      <c r="M53" s="750"/>
      <c r="N53" s="750"/>
      <c r="O53" s="750"/>
      <c r="P53" s="751"/>
    </row>
    <row r="54" spans="1:18" ht="15" customHeight="1" x14ac:dyDescent="0.25">
      <c r="A54" s="598"/>
      <c r="B54" s="669" t="str">
        <f>IF('Tableau 1-B Analyse du Contexte'!$K$7="Oui",IF('Tableau 1-C fact Cont'!L33="","N/A",'Tableau 1-C fact Cont'!L33),IF('Tableau 1-C fact Cont'!O33="F0",IF('Tableau 1-C fact Cont'!L33="","N/A","Score de Fiabilité nul-F0"),IF('Tableau 1-C fact Cont'!L33="","N/A",'Tableau 1-C fact Cont'!L33)))</f>
        <v>N/A</v>
      </c>
      <c r="C54" s="670"/>
      <c r="D54" s="670"/>
      <c r="E54" s="670"/>
      <c r="F54" s="670"/>
      <c r="G54" s="670"/>
      <c r="H54" s="670"/>
      <c r="I54" s="671"/>
      <c r="J54" s="66"/>
      <c r="K54" s="779"/>
      <c r="L54" s="750"/>
      <c r="M54" s="750"/>
      <c r="N54" s="750"/>
      <c r="O54" s="750"/>
      <c r="P54" s="751"/>
    </row>
    <row r="55" spans="1:18" ht="15" customHeight="1" x14ac:dyDescent="0.25">
      <c r="A55" s="598"/>
      <c r="B55" s="669" t="str">
        <f>IF('Tableau 1-B Analyse du Contexte'!$K$7="Oui",IF('Tableau 1-C fact Cont'!L34="","N/A",'Tableau 1-C fact Cont'!L34),IF('Tableau 1-C fact Cont'!O34="F0",IF('Tableau 1-C fact Cont'!L34="","N/A","Score de Fiabilité nul-F0"),IF('Tableau 1-C fact Cont'!L34="","N/A",'Tableau 1-C fact Cont'!L34)))</f>
        <v>N/A</v>
      </c>
      <c r="C55" s="670"/>
      <c r="D55" s="670"/>
      <c r="E55" s="670"/>
      <c r="F55" s="670"/>
      <c r="G55" s="670"/>
      <c r="H55" s="670"/>
      <c r="I55" s="671"/>
      <c r="J55" s="66"/>
      <c r="K55" s="779"/>
      <c r="L55" s="750"/>
      <c r="M55" s="750"/>
      <c r="N55" s="750"/>
      <c r="O55" s="750"/>
      <c r="P55" s="751"/>
    </row>
    <row r="56" spans="1:18" ht="15" customHeight="1" x14ac:dyDescent="0.25">
      <c r="A56" s="598"/>
      <c r="B56" s="669" t="str">
        <f>IF('Tableau 1-B Analyse du Contexte'!$K$7="Oui",IF('Tableau 1-C fact Cont'!L35="","N/A",'Tableau 1-C fact Cont'!L35),IF('Tableau 1-C fact Cont'!O35="F0",IF('Tableau 1-C fact Cont'!L35="","N/A","Score de Fiabilité nul-F0"),IF('Tableau 1-C fact Cont'!L35="","N/A",'Tableau 1-C fact Cont'!L35)))</f>
        <v>N/A</v>
      </c>
      <c r="C56" s="670"/>
      <c r="D56" s="670"/>
      <c r="E56" s="670"/>
      <c r="F56" s="670"/>
      <c r="G56" s="670"/>
      <c r="H56" s="670"/>
      <c r="I56" s="671"/>
      <c r="J56" s="66"/>
      <c r="K56" s="749"/>
      <c r="L56" s="750"/>
      <c r="M56" s="750"/>
      <c r="N56" s="750"/>
      <c r="O56" s="750"/>
      <c r="P56" s="751"/>
      <c r="R56" s="321"/>
    </row>
    <row r="57" spans="1:18" ht="15" customHeight="1" x14ac:dyDescent="0.25">
      <c r="A57" s="598"/>
      <c r="B57" s="669" t="str">
        <f>IF('Tableau 1-B Analyse du Contexte'!$K$7="Oui",IF('Tableau 1-C fact Cont'!L36="","N/A",'Tableau 1-C fact Cont'!L36),IF('Tableau 1-C fact Cont'!O36="F0",IF('Tableau 1-C fact Cont'!L36="","N/A","Score de Fiabilité nul-F0"),IF('Tableau 1-C fact Cont'!L36="","N/A",'Tableau 1-C fact Cont'!L36)))</f>
        <v>N/A</v>
      </c>
      <c r="C57" s="670"/>
      <c r="D57" s="670"/>
      <c r="E57" s="670"/>
      <c r="F57" s="670"/>
      <c r="G57" s="670"/>
      <c r="H57" s="670"/>
      <c r="I57" s="671"/>
      <c r="J57" s="66"/>
      <c r="K57" s="343"/>
      <c r="L57" s="344"/>
      <c r="M57" s="344"/>
      <c r="N57" s="344"/>
      <c r="O57" s="344"/>
      <c r="P57" s="345"/>
    </row>
    <row r="58" spans="1:18" ht="15" customHeight="1" x14ac:dyDescent="0.25">
      <c r="A58" s="598"/>
      <c r="B58" s="669" t="str">
        <f>IF('Tableau 1-B Analyse du Contexte'!$K$7="Oui",IF('Tableau 1-C fact Cont'!L37="","N/A",'Tableau 1-C fact Cont'!L37),IF('Tableau 1-C fact Cont'!O37="F0",IF('Tableau 1-C fact Cont'!L37="","N/A","Score de Fiabilité nul-F0"),IF('Tableau 1-C fact Cont'!L37="","N/A",'Tableau 1-C fact Cont'!L37)))</f>
        <v>N/A</v>
      </c>
      <c r="C58" s="670"/>
      <c r="D58" s="670"/>
      <c r="E58" s="670"/>
      <c r="F58" s="670"/>
      <c r="G58" s="670"/>
      <c r="H58" s="670"/>
      <c r="I58" s="671"/>
      <c r="J58" s="66"/>
      <c r="K58" s="275"/>
      <c r="L58" s="276"/>
      <c r="M58" s="276"/>
      <c r="N58" s="276"/>
      <c r="O58" s="276"/>
      <c r="P58" s="277"/>
    </row>
    <row r="59" spans="1:18" ht="15" customHeight="1" x14ac:dyDescent="0.25">
      <c r="A59" s="598"/>
      <c r="B59" s="669" t="str">
        <f>IF('Tableau 1-B Analyse du Contexte'!$K$7="Oui",IF('Tableau 1-C fact Cont'!L38="","N/A",'Tableau 1-C fact Cont'!L38),IF('Tableau 1-C fact Cont'!O38="F0",IF('Tableau 1-C fact Cont'!L38="","N/A","Score de Fiabilité nul-F0"),IF('Tableau 1-C fact Cont'!L38="","N/A",'Tableau 1-C fact Cont'!L38)))</f>
        <v>N/A</v>
      </c>
      <c r="C59" s="670"/>
      <c r="D59" s="670"/>
      <c r="E59" s="670"/>
      <c r="F59" s="670"/>
      <c r="G59" s="670"/>
      <c r="H59" s="670"/>
      <c r="I59" s="671"/>
      <c r="J59" s="66"/>
      <c r="K59" s="275"/>
      <c r="L59" s="276"/>
      <c r="M59" s="276"/>
      <c r="N59" s="276"/>
      <c r="O59" s="276"/>
      <c r="P59" s="277"/>
    </row>
    <row r="60" spans="1:18" ht="15" customHeight="1" x14ac:dyDescent="0.25">
      <c r="A60" s="598"/>
      <c r="B60" s="776"/>
      <c r="C60" s="777"/>
      <c r="D60" s="777"/>
      <c r="E60" s="777"/>
      <c r="F60" s="777"/>
      <c r="G60" s="777"/>
      <c r="H60" s="777"/>
      <c r="I60" s="778"/>
      <c r="J60" s="66"/>
      <c r="K60" s="752"/>
      <c r="L60" s="753"/>
      <c r="M60" s="753"/>
      <c r="N60" s="753"/>
      <c r="O60" s="753"/>
      <c r="P60" s="754"/>
    </row>
    <row r="61" spans="1:18" ht="15" customHeight="1" x14ac:dyDescent="0.25">
      <c r="A61" s="598"/>
      <c r="B61" s="776"/>
      <c r="C61" s="777"/>
      <c r="D61" s="777"/>
      <c r="E61" s="777"/>
      <c r="F61" s="777"/>
      <c r="G61" s="777"/>
      <c r="H61" s="777"/>
      <c r="I61" s="778"/>
      <c r="J61" s="66"/>
      <c r="K61" s="752"/>
      <c r="L61" s="753"/>
      <c r="M61" s="753"/>
      <c r="N61" s="753"/>
      <c r="O61" s="753"/>
      <c r="P61" s="754"/>
    </row>
    <row r="62" spans="1:18" ht="5.85" customHeight="1" x14ac:dyDescent="0.25">
      <c r="A62" s="598"/>
      <c r="B62" s="67"/>
      <c r="C62" s="67"/>
      <c r="D62" s="67"/>
      <c r="E62" s="67"/>
      <c r="F62" s="67"/>
      <c r="G62" s="67"/>
      <c r="H62" s="67"/>
      <c r="I62" s="67"/>
      <c r="J62" s="66"/>
      <c r="K62" s="67"/>
      <c r="L62" s="67"/>
      <c r="M62" s="67"/>
      <c r="N62" s="67"/>
      <c r="O62" s="67"/>
      <c r="P62" s="67"/>
    </row>
    <row r="63" spans="1:18" ht="15.75" customHeight="1" x14ac:dyDescent="0.25">
      <c r="A63" s="598"/>
      <c r="B63" s="740" t="s">
        <v>51</v>
      </c>
      <c r="C63" s="740"/>
      <c r="D63" s="741"/>
      <c r="E63" s="731"/>
      <c r="F63" s="731"/>
      <c r="G63" s="731"/>
      <c r="H63" s="731"/>
      <c r="I63" s="732"/>
      <c r="J63" s="66"/>
      <c r="K63" s="741"/>
      <c r="L63" s="731"/>
      <c r="M63" s="731"/>
      <c r="N63" s="731"/>
      <c r="O63" s="731"/>
      <c r="P63" s="732"/>
    </row>
    <row r="64" spans="1:18" ht="15.75" x14ac:dyDescent="0.25">
      <c r="A64" s="598"/>
      <c r="B64" s="740"/>
      <c r="C64" s="740"/>
      <c r="D64" s="742"/>
      <c r="E64" s="733"/>
      <c r="F64" s="733"/>
      <c r="G64" s="733"/>
      <c r="H64" s="733"/>
      <c r="I64" s="734"/>
      <c r="J64" s="66"/>
      <c r="K64" s="742"/>
      <c r="L64" s="733"/>
      <c r="M64" s="733"/>
      <c r="N64" s="733"/>
      <c r="O64" s="733"/>
      <c r="P64" s="734"/>
    </row>
    <row r="65" spans="1:16" ht="15.75" x14ac:dyDescent="0.25">
      <c r="A65" s="598"/>
      <c r="B65" s="740"/>
      <c r="C65" s="740"/>
      <c r="D65" s="742"/>
      <c r="E65" s="733"/>
      <c r="F65" s="733"/>
      <c r="G65" s="733"/>
      <c r="H65" s="733"/>
      <c r="I65" s="734"/>
      <c r="J65" s="66"/>
      <c r="K65" s="742"/>
      <c r="L65" s="733"/>
      <c r="M65" s="733"/>
      <c r="N65" s="733"/>
      <c r="O65" s="733"/>
      <c r="P65" s="734"/>
    </row>
    <row r="66" spans="1:16" ht="15.75" x14ac:dyDescent="0.25">
      <c r="A66" s="598"/>
      <c r="B66" s="740"/>
      <c r="C66" s="740"/>
      <c r="D66" s="742"/>
      <c r="E66" s="733"/>
      <c r="F66" s="733"/>
      <c r="G66" s="733"/>
      <c r="H66" s="733"/>
      <c r="I66" s="734"/>
      <c r="J66" s="66"/>
      <c r="K66" s="742"/>
      <c r="L66" s="733"/>
      <c r="M66" s="733"/>
      <c r="N66" s="733"/>
      <c r="O66" s="733"/>
      <c r="P66" s="734"/>
    </row>
    <row r="67" spans="1:16" ht="84" customHeight="1" x14ac:dyDescent="0.25">
      <c r="A67" s="598"/>
      <c r="B67" s="740"/>
      <c r="C67" s="740"/>
      <c r="D67" s="743"/>
      <c r="E67" s="744"/>
      <c r="F67" s="744"/>
      <c r="G67" s="744"/>
      <c r="H67" s="744"/>
      <c r="I67" s="745"/>
      <c r="J67" s="66"/>
      <c r="K67" s="743"/>
      <c r="L67" s="744"/>
      <c r="M67" s="744"/>
      <c r="N67" s="744"/>
      <c r="O67" s="744"/>
      <c r="P67" s="745"/>
    </row>
    <row r="68" spans="1:16" ht="15.75" x14ac:dyDescent="0.25">
      <c r="A68" s="598"/>
      <c r="B68" s="691" t="s">
        <v>52</v>
      </c>
      <c r="C68" s="17"/>
      <c r="D68" s="694" t="s">
        <v>53</v>
      </c>
      <c r="E68" s="694"/>
      <c r="F68" s="695"/>
      <c r="G68" s="673" t="s">
        <v>57</v>
      </c>
      <c r="H68" s="674"/>
      <c r="I68" s="675"/>
      <c r="J68" s="60"/>
      <c r="K68" s="694" t="s">
        <v>53</v>
      </c>
      <c r="L68" s="694"/>
      <c r="M68" s="695"/>
      <c r="N68" s="673" t="s">
        <v>57</v>
      </c>
      <c r="O68" s="674"/>
      <c r="P68" s="787"/>
    </row>
    <row r="69" spans="1:16" ht="15.75" x14ac:dyDescent="0.25">
      <c r="A69" s="598"/>
      <c r="B69" s="691"/>
      <c r="C69" s="17"/>
      <c r="D69" s="347" t="s">
        <v>56</v>
      </c>
      <c r="E69" s="53" t="s">
        <v>55</v>
      </c>
      <c r="F69" s="346" t="s">
        <v>224</v>
      </c>
      <c r="G69" s="101" t="s">
        <v>54</v>
      </c>
      <c r="H69" s="102" t="s">
        <v>55</v>
      </c>
      <c r="I69" s="103" t="s">
        <v>56</v>
      </c>
      <c r="J69" s="18"/>
      <c r="K69" s="347" t="s">
        <v>56</v>
      </c>
      <c r="L69" s="53" t="s">
        <v>55</v>
      </c>
      <c r="M69" s="346" t="s">
        <v>224</v>
      </c>
      <c r="N69" s="50" t="s">
        <v>54</v>
      </c>
      <c r="O69" s="51" t="s">
        <v>55</v>
      </c>
      <c r="P69" s="52" t="s">
        <v>56</v>
      </c>
    </row>
    <row r="70" spans="1:16" ht="15.75" x14ac:dyDescent="0.25">
      <c r="A70" s="598"/>
      <c r="B70" s="691"/>
      <c r="C70" s="15" t="s">
        <v>58</v>
      </c>
      <c r="D70" s="166"/>
      <c r="E70" s="166"/>
      <c r="F70" s="192"/>
      <c r="G70" s="255"/>
      <c r="H70" s="166"/>
      <c r="I70" s="166"/>
      <c r="J70" s="193"/>
      <c r="K70" s="166"/>
      <c r="L70" s="166"/>
      <c r="M70" s="192"/>
      <c r="N70" s="255"/>
      <c r="O70" s="166"/>
      <c r="P70" s="166"/>
    </row>
    <row r="71" spans="1:16" ht="15.75" x14ac:dyDescent="0.25">
      <c r="A71" s="598"/>
      <c r="B71" s="691"/>
      <c r="C71" s="15" t="s">
        <v>59</v>
      </c>
      <c r="D71" s="166"/>
      <c r="E71" s="166"/>
      <c r="F71" s="192"/>
      <c r="G71" s="255"/>
      <c r="H71" s="166"/>
      <c r="I71" s="166"/>
      <c r="J71" s="193"/>
      <c r="K71" s="166"/>
      <c r="L71" s="166"/>
      <c r="M71" s="192"/>
      <c r="N71" s="255"/>
      <c r="O71" s="166"/>
      <c r="P71" s="166"/>
    </row>
    <row r="72" spans="1:16" ht="15.75" x14ac:dyDescent="0.25">
      <c r="A72" s="598"/>
      <c r="B72" s="691"/>
      <c r="C72" s="15" t="s">
        <v>60</v>
      </c>
      <c r="D72" s="166"/>
      <c r="E72" s="166"/>
      <c r="F72" s="192"/>
      <c r="G72" s="255"/>
      <c r="H72" s="166"/>
      <c r="I72" s="166"/>
      <c r="J72" s="193"/>
      <c r="K72" s="166"/>
      <c r="L72" s="166"/>
      <c r="M72" s="192"/>
      <c r="N72" s="255"/>
      <c r="O72" s="166"/>
      <c r="P72" s="166"/>
    </row>
    <row r="73" spans="1:16" ht="15.75" x14ac:dyDescent="0.25">
      <c r="A73" s="598"/>
      <c r="B73" s="692"/>
      <c r="C73" s="15" t="s">
        <v>61</v>
      </c>
      <c r="D73" s="166"/>
      <c r="E73" s="166"/>
      <c r="F73" s="192"/>
      <c r="G73" s="255"/>
      <c r="H73" s="166"/>
      <c r="I73" s="166"/>
      <c r="J73" s="193"/>
      <c r="K73" s="166"/>
      <c r="L73" s="166"/>
      <c r="M73" s="192"/>
      <c r="N73" s="255"/>
      <c r="O73" s="166"/>
      <c r="P73" s="166"/>
    </row>
    <row r="74" spans="1:16" ht="6.75" customHeight="1" x14ac:dyDescent="0.25">
      <c r="A74" s="598"/>
      <c r="B74" s="11"/>
      <c r="C74" s="11"/>
      <c r="D74" s="98"/>
      <c r="E74" s="98"/>
      <c r="F74" s="98"/>
      <c r="G74" s="98"/>
      <c r="H74" s="98"/>
      <c r="I74" s="98"/>
      <c r="J74" s="13"/>
      <c r="K74" s="11"/>
      <c r="L74" s="11"/>
      <c r="M74" s="11"/>
      <c r="N74" s="11"/>
      <c r="O74" s="11"/>
      <c r="P74" s="11"/>
    </row>
    <row r="75" spans="1:16" ht="24.75" x14ac:dyDescent="0.25">
      <c r="A75" s="598"/>
      <c r="B75" s="693" t="s">
        <v>168</v>
      </c>
      <c r="C75" s="693"/>
      <c r="D75" s="693"/>
      <c r="E75" s="693"/>
      <c r="F75" s="693"/>
      <c r="G75" s="105" t="s">
        <v>62</v>
      </c>
      <c r="H75" s="105" t="s">
        <v>63</v>
      </c>
      <c r="I75" s="105" t="s">
        <v>64</v>
      </c>
      <c r="J75" s="25"/>
      <c r="K75" s="683" t="s">
        <v>62</v>
      </c>
      <c r="L75" s="683"/>
      <c r="M75" s="683" t="s">
        <v>63</v>
      </c>
      <c r="N75" s="683"/>
      <c r="O75" s="683" t="s">
        <v>64</v>
      </c>
      <c r="P75" s="683"/>
    </row>
    <row r="76" spans="1:16" ht="71.25" customHeight="1" x14ac:dyDescent="0.25">
      <c r="A76" s="598"/>
      <c r="B76" s="693"/>
      <c r="C76" s="693"/>
      <c r="D76" s="693"/>
      <c r="E76" s="693"/>
      <c r="F76" s="693"/>
      <c r="G76" s="191"/>
      <c r="H76" s="191"/>
      <c r="I76" s="104"/>
      <c r="J76" s="23"/>
      <c r="K76" s="416"/>
      <c r="L76" s="414"/>
      <c r="M76" s="415"/>
      <c r="N76" s="24"/>
      <c r="O76" s="6"/>
      <c r="P76" s="6"/>
    </row>
    <row r="77" spans="1:16" ht="7.5" customHeight="1" x14ac:dyDescent="0.25">
      <c r="A77" s="7"/>
      <c r="B77" s="7"/>
      <c r="C77" s="10"/>
      <c r="D77" s="106"/>
      <c r="E77" s="106"/>
      <c r="F77" s="106"/>
      <c r="G77" s="106"/>
      <c r="H77" s="106"/>
      <c r="I77" s="106"/>
      <c r="J77" s="7"/>
      <c r="K77" s="7"/>
      <c r="L77" s="7"/>
      <c r="M77" s="7"/>
      <c r="N77" s="7"/>
      <c r="O77" s="7"/>
      <c r="P77" s="7"/>
    </row>
    <row r="78" spans="1:16" ht="24.75" customHeight="1" x14ac:dyDescent="0.25">
      <c r="A78" s="709" t="s">
        <v>12</v>
      </c>
      <c r="B78" s="669" t="str">
        <f>IF('Tableau 1-B Analyse du Contexte'!$K$7="Oui",IF('Tableau 1-C fact Cont'!L40="","N/A",'Tableau 1-C fact Cont'!L40),IF('Tableau 1-C fact Cont'!O40="F0",IF('Tableau 1-C fact Cont'!L40="","N/A","Score de Fiabilité nul-F0"),IF('Tableau 1-C fact Cont'!L40="","N/A",'Tableau 1-C fact Cont'!L40)))</f>
        <v>N/A</v>
      </c>
      <c r="C78" s="670"/>
      <c r="D78" s="670"/>
      <c r="E78" s="670"/>
      <c r="F78" s="670"/>
      <c r="G78" s="670"/>
      <c r="H78" s="670"/>
      <c r="I78" s="671"/>
      <c r="J78" s="68"/>
      <c r="K78" s="672"/>
      <c r="L78" s="667"/>
      <c r="M78" s="667"/>
      <c r="N78" s="667"/>
      <c r="O78" s="667"/>
      <c r="P78" s="668"/>
    </row>
    <row r="79" spans="1:16" ht="24.75" customHeight="1" x14ac:dyDescent="0.25">
      <c r="A79" s="598"/>
      <c r="B79" s="669" t="str">
        <f>IF('Tableau 1-B Analyse du Contexte'!$K$7="Oui",IF('Tableau 1-C fact Cont'!L41="","N/A",'Tableau 1-C fact Cont'!L41),IF('Tableau 1-C fact Cont'!O41="F0",IF('Tableau 1-C fact Cont'!L41="","N/A","Score de Fiabilité nul-F0"),IF('Tableau 1-C fact Cont'!L41="","N/A",'Tableau 1-C fact Cont'!L41)))</f>
        <v>N/A</v>
      </c>
      <c r="C79" s="670"/>
      <c r="D79" s="670"/>
      <c r="E79" s="670"/>
      <c r="F79" s="670"/>
      <c r="G79" s="670"/>
      <c r="H79" s="670"/>
      <c r="I79" s="671"/>
      <c r="J79" s="68"/>
      <c r="K79" s="672"/>
      <c r="L79" s="667"/>
      <c r="M79" s="667"/>
      <c r="N79" s="667"/>
      <c r="O79" s="667"/>
      <c r="P79" s="668"/>
    </row>
    <row r="80" spans="1:16" ht="24.75" customHeight="1" x14ac:dyDescent="0.25">
      <c r="A80" s="598"/>
      <c r="B80" s="669" t="str">
        <f>IF('Tableau 1-B Analyse du Contexte'!$K$7="Oui",IF('Tableau 1-C fact Cont'!L42="","N/A",'Tableau 1-C fact Cont'!L42),IF('Tableau 1-C fact Cont'!O42="F0",IF('Tableau 1-C fact Cont'!L42="","N/A","Score de Fiabilité nul-F0"),IF('Tableau 1-C fact Cont'!L42="","N/A",'Tableau 1-C fact Cont'!L42)))</f>
        <v>N/A</v>
      </c>
      <c r="C80" s="670"/>
      <c r="D80" s="670"/>
      <c r="E80" s="670"/>
      <c r="F80" s="670"/>
      <c r="G80" s="670"/>
      <c r="H80" s="670"/>
      <c r="I80" s="671"/>
      <c r="J80" s="68"/>
      <c r="K80" s="672"/>
      <c r="L80" s="667"/>
      <c r="M80" s="667"/>
      <c r="N80" s="667"/>
      <c r="O80" s="667"/>
      <c r="P80" s="668"/>
    </row>
    <row r="81" spans="1:16" ht="24.75" customHeight="1" x14ac:dyDescent="0.25">
      <c r="A81" s="598"/>
      <c r="B81" s="669" t="str">
        <f>IF('Tableau 1-B Analyse du Contexte'!$K$7="Oui",IF('Tableau 1-C fact Cont'!L43="","N/A",'Tableau 1-C fact Cont'!L43),IF('Tableau 1-C fact Cont'!O43="F0",IF('Tableau 1-C fact Cont'!L43="","N/A","Score de Fiabilité nul-F0"),IF('Tableau 1-C fact Cont'!L43="","N/A",'Tableau 1-C fact Cont'!L43)))</f>
        <v>N/A</v>
      </c>
      <c r="C81" s="670"/>
      <c r="D81" s="670"/>
      <c r="E81" s="670"/>
      <c r="F81" s="670"/>
      <c r="G81" s="670"/>
      <c r="H81" s="670"/>
      <c r="I81" s="671"/>
      <c r="J81" s="68"/>
      <c r="K81" s="672"/>
      <c r="L81" s="667"/>
      <c r="M81" s="667"/>
      <c r="N81" s="667"/>
      <c r="O81" s="667"/>
      <c r="P81" s="668"/>
    </row>
    <row r="82" spans="1:16" ht="24.75" customHeight="1" x14ac:dyDescent="0.25">
      <c r="A82" s="598"/>
      <c r="B82" s="669" t="str">
        <f>IF('Tableau 1-B Analyse du Contexte'!$K$7="Oui",IF('Tableau 1-C fact Cont'!L44="","N/A",'Tableau 1-C fact Cont'!L44),IF('Tableau 1-C fact Cont'!O44="F0",IF('Tableau 1-C fact Cont'!L44="","N/A","Score de Fiabilité nul-F0"),IF('Tableau 1-C fact Cont'!L44="","N/A",'Tableau 1-C fact Cont'!L44)))</f>
        <v>N/A</v>
      </c>
      <c r="C82" s="670"/>
      <c r="D82" s="670"/>
      <c r="E82" s="670"/>
      <c r="F82" s="670"/>
      <c r="G82" s="670"/>
      <c r="H82" s="670"/>
      <c r="I82" s="671"/>
      <c r="J82" s="68"/>
      <c r="K82" s="667"/>
      <c r="L82" s="667"/>
      <c r="M82" s="667"/>
      <c r="N82" s="667"/>
      <c r="O82" s="667"/>
      <c r="P82" s="668"/>
    </row>
    <row r="83" spans="1:16" ht="24.75" customHeight="1" x14ac:dyDescent="0.25">
      <c r="A83" s="598"/>
      <c r="B83" s="669" t="str">
        <f>IF('Tableau 1-B Analyse du Contexte'!$K$7="Oui",IF('Tableau 1-C fact Cont'!L45="","N/A",'Tableau 1-C fact Cont'!L45),IF('Tableau 1-C fact Cont'!O45="F0",IF('Tableau 1-C fact Cont'!L45="","N/A","Score de Fiabilité nul-F0"),IF('Tableau 1-C fact Cont'!L45="","N/A",'Tableau 1-C fact Cont'!L45)))</f>
        <v>N/A</v>
      </c>
      <c r="C83" s="670"/>
      <c r="D83" s="670"/>
      <c r="E83" s="670"/>
      <c r="F83" s="670"/>
      <c r="G83" s="670"/>
      <c r="H83" s="670"/>
      <c r="I83" s="671"/>
      <c r="J83" s="68"/>
      <c r="K83" s="672"/>
      <c r="L83" s="667"/>
      <c r="M83" s="667"/>
      <c r="N83" s="667"/>
      <c r="O83" s="667"/>
      <c r="P83" s="668"/>
    </row>
    <row r="84" spans="1:16" ht="42.75" customHeight="1" x14ac:dyDescent="0.25">
      <c r="A84" s="598"/>
      <c r="B84" s="746" t="str">
        <f>IF('Tableau 1-B Analyse du Contexte'!$K$7="Oui",IF('Tableau 1-C fact Cont'!L46="","N/A",'Tableau 1-C fact Cont'!L46),IF('Tableau 1-C fact Cont'!O46="F0",IF('Tableau 1-C fact Cont'!L46="","N/A","Score de Fiabilité nul-F0"),IF('Tableau 1-C fact Cont'!L46="","N/A",'Tableau 1-C fact Cont'!L46)))</f>
        <v>N/A</v>
      </c>
      <c r="C84" s="708"/>
      <c r="D84" s="708"/>
      <c r="E84" s="708"/>
      <c r="F84" s="708"/>
      <c r="G84" s="708"/>
      <c r="H84" s="708"/>
      <c r="I84" s="747"/>
      <c r="J84" s="68"/>
      <c r="K84" s="667"/>
      <c r="L84" s="667"/>
      <c r="M84" s="667"/>
      <c r="N84" s="667"/>
      <c r="O84" s="667"/>
      <c r="P84" s="668"/>
    </row>
    <row r="85" spans="1:16" ht="24.75" customHeight="1" x14ac:dyDescent="0.25">
      <c r="A85" s="598"/>
      <c r="B85" s="669" t="str">
        <f>IF('Tableau 1-B Analyse du Contexte'!$K$7="Oui",IF('Tableau 1-C fact Cont'!L47="","N/A",'Tableau 1-C fact Cont'!L47),IF('Tableau 1-C fact Cont'!O47="F0",IF('Tableau 1-C fact Cont'!L47="","N/A","Score de Fiabilité nul-F0"),IF('Tableau 1-C fact Cont'!L47="","N/A",'Tableau 1-C fact Cont'!L47)))</f>
        <v>N/A</v>
      </c>
      <c r="C85" s="670"/>
      <c r="D85" s="670"/>
      <c r="E85" s="670"/>
      <c r="F85" s="670"/>
      <c r="G85" s="670"/>
      <c r="H85" s="670"/>
      <c r="I85" s="671"/>
      <c r="J85" s="68"/>
      <c r="K85" s="667"/>
      <c r="L85" s="667"/>
      <c r="M85" s="667"/>
      <c r="N85" s="667"/>
      <c r="O85" s="667"/>
      <c r="P85" s="668"/>
    </row>
    <row r="86" spans="1:16" ht="24.75" customHeight="1" x14ac:dyDescent="0.25">
      <c r="A86" s="598"/>
      <c r="B86" s="669" t="str">
        <f>IF('Tableau 1-B Analyse du Contexte'!$K$7="Oui",IF('Tableau 1-C fact Cont'!L48="","N/A",'Tableau 1-C fact Cont'!L48),IF('Tableau 1-C fact Cont'!O48="F0",IF('Tableau 1-C fact Cont'!L48="","N/A","Score de Fiabilité nul-F0"),IF('Tableau 1-C fact Cont'!L48="","N/A",'Tableau 1-C fact Cont'!L48)))</f>
        <v>N/A</v>
      </c>
      <c r="C86" s="670"/>
      <c r="D86" s="670"/>
      <c r="E86" s="670"/>
      <c r="F86" s="670"/>
      <c r="G86" s="670"/>
      <c r="H86" s="670"/>
      <c r="I86" s="671"/>
      <c r="J86" s="68"/>
      <c r="K86" s="667"/>
      <c r="L86" s="667"/>
      <c r="M86" s="667"/>
      <c r="N86" s="667"/>
      <c r="O86" s="667"/>
      <c r="P86" s="668"/>
    </row>
    <row r="87" spans="1:16" ht="24.75" customHeight="1" x14ac:dyDescent="0.25">
      <c r="A87" s="598"/>
      <c r="B87" s="669" t="str">
        <f>IF('Tableau 1-B Analyse du Contexte'!$K$7="Oui",IF('Tableau 1-C fact Cont'!L49="","N/A",'Tableau 1-C fact Cont'!L49),IF('Tableau 1-C fact Cont'!O49="F0",IF('Tableau 1-C fact Cont'!L49="","N/A","Score de Fiabilité nul-F0"),IF('Tableau 1-C fact Cont'!L49="","N/A",'Tableau 1-C fact Cont'!L49)))</f>
        <v>N/A</v>
      </c>
      <c r="C87" s="670"/>
      <c r="D87" s="670"/>
      <c r="E87" s="670"/>
      <c r="F87" s="670"/>
      <c r="G87" s="670"/>
      <c r="H87" s="670"/>
      <c r="I87" s="671"/>
      <c r="J87" s="68"/>
      <c r="K87" s="667"/>
      <c r="L87" s="667"/>
      <c r="M87" s="667"/>
      <c r="N87" s="667"/>
      <c r="O87" s="667"/>
      <c r="P87" s="668"/>
    </row>
    <row r="88" spans="1:16" ht="24.75" customHeight="1" x14ac:dyDescent="0.25">
      <c r="A88" s="598"/>
      <c r="B88" s="669" t="str">
        <f>IF('Tableau 1-B Analyse du Contexte'!$K$7="Oui",IF('Tableau 1-C fact Cont'!L50="","N/A",'Tableau 1-C fact Cont'!L50),IF('Tableau 1-C fact Cont'!O50="F0",IF('Tableau 1-C fact Cont'!L50="","N/A","Score de Fiabilité nul-F0"),IF('Tableau 1-C fact Cont'!L50="","N/A",'Tableau 1-C fact Cont'!L50)))</f>
        <v>N/A</v>
      </c>
      <c r="C88" s="670"/>
      <c r="D88" s="670"/>
      <c r="E88" s="670"/>
      <c r="F88" s="670"/>
      <c r="G88" s="670"/>
      <c r="H88" s="670"/>
      <c r="I88" s="671"/>
      <c r="J88" s="68"/>
      <c r="K88" s="672"/>
      <c r="L88" s="667"/>
      <c r="M88" s="667"/>
      <c r="N88" s="667"/>
      <c r="O88" s="667"/>
      <c r="P88" s="668"/>
    </row>
    <row r="89" spans="1:16" ht="24.75" customHeight="1" x14ac:dyDescent="0.25">
      <c r="A89" s="598"/>
      <c r="B89" s="669" t="str">
        <f>IF('Tableau 1-B Analyse du Contexte'!$K$7="Oui",IF('Tableau 1-C fact Cont'!L51="","N/A",'Tableau 1-C fact Cont'!L51),IF('Tableau 1-C fact Cont'!O51="F0",IF('Tableau 1-C fact Cont'!L51="","N/A","Score de Fiabilité nul-F0"),IF('Tableau 1-C fact Cont'!L51="","N/A",'Tableau 1-C fact Cont'!L51)))</f>
        <v>N/A</v>
      </c>
      <c r="C89" s="670"/>
      <c r="D89" s="670"/>
      <c r="E89" s="670"/>
      <c r="F89" s="670"/>
      <c r="G89" s="670"/>
      <c r="H89" s="670"/>
      <c r="I89" s="671"/>
      <c r="J89" s="68"/>
      <c r="K89" s="667"/>
      <c r="L89" s="667"/>
      <c r="M89" s="667"/>
      <c r="N89" s="667"/>
      <c r="O89" s="667"/>
      <c r="P89" s="668"/>
    </row>
    <row r="90" spans="1:16" ht="24.75" customHeight="1" x14ac:dyDescent="0.25">
      <c r="A90" s="598"/>
      <c r="B90" s="669" t="str">
        <f>IF('Tableau 1-B Analyse du Contexte'!$K$7="Oui",IF('Tableau 1-C fact Cont'!L52="","N/A",'Tableau 1-C fact Cont'!L52),IF('Tableau 1-C fact Cont'!O52="F0",IF('Tableau 1-C fact Cont'!L52="","N/A","Score de Fiabilité nul-F0"),IF('Tableau 1-C fact Cont'!L52="","N/A",'Tableau 1-C fact Cont'!L52)))</f>
        <v>N/A</v>
      </c>
      <c r="C90" s="670"/>
      <c r="D90" s="670"/>
      <c r="E90" s="670"/>
      <c r="F90" s="670"/>
      <c r="G90" s="670"/>
      <c r="H90" s="670"/>
      <c r="I90" s="671"/>
      <c r="J90" s="68"/>
      <c r="K90" s="667"/>
      <c r="L90" s="667"/>
      <c r="M90" s="667"/>
      <c r="N90" s="667"/>
      <c r="O90" s="667"/>
      <c r="P90" s="668"/>
    </row>
    <row r="91" spans="1:16" ht="24.75" customHeight="1" x14ac:dyDescent="0.25">
      <c r="A91" s="598"/>
      <c r="B91" s="669" t="str">
        <f>IF('Tableau 1-B Analyse du Contexte'!$K$7="Oui",IF('Tableau 1-C fact Cont'!L53="","N/A",'Tableau 1-C fact Cont'!L53),IF('Tableau 1-C fact Cont'!O53="F0",IF('Tableau 1-C fact Cont'!L53="","N/A","Score de Fiabilité nul-F0"),IF('Tableau 1-C fact Cont'!L53="","N/A",'Tableau 1-C fact Cont'!L53)))</f>
        <v>N/A</v>
      </c>
      <c r="C91" s="670"/>
      <c r="D91" s="670"/>
      <c r="E91" s="670"/>
      <c r="F91" s="670"/>
      <c r="G91" s="670"/>
      <c r="H91" s="670"/>
      <c r="I91" s="671"/>
      <c r="J91" s="68"/>
      <c r="K91" s="667"/>
      <c r="L91" s="667"/>
      <c r="M91" s="667"/>
      <c r="N91" s="667"/>
      <c r="O91" s="667"/>
      <c r="P91" s="668"/>
    </row>
    <row r="92" spans="1:16" ht="24.75" customHeight="1" x14ac:dyDescent="0.25">
      <c r="A92" s="598"/>
      <c r="B92" s="669" t="str">
        <f>IF('Tableau 1-B Analyse du Contexte'!$K$7="Oui",IF('Tableau 1-C fact Cont'!L54="","N/A",'Tableau 1-C fact Cont'!L54),IF('Tableau 1-C fact Cont'!O54="F0",IF('Tableau 1-C fact Cont'!L54="","N/A","Score de Fiabilité nul-F0"),IF('Tableau 1-C fact Cont'!L54="","N/A",'Tableau 1-C fact Cont'!L54)))</f>
        <v>N/A</v>
      </c>
      <c r="C92" s="670"/>
      <c r="D92" s="670"/>
      <c r="E92" s="670"/>
      <c r="F92" s="670"/>
      <c r="G92" s="670"/>
      <c r="H92" s="670"/>
      <c r="I92" s="671"/>
      <c r="J92" s="68"/>
      <c r="K92" s="667"/>
      <c r="L92" s="667"/>
      <c r="M92" s="667"/>
      <c r="N92" s="667"/>
      <c r="O92" s="667"/>
      <c r="P92" s="668"/>
    </row>
    <row r="93" spans="1:16" ht="24.75" customHeight="1" x14ac:dyDescent="0.25">
      <c r="A93" s="598"/>
      <c r="B93" s="725"/>
      <c r="C93" s="726"/>
      <c r="D93" s="726"/>
      <c r="E93" s="726"/>
      <c r="F93" s="726"/>
      <c r="G93" s="726"/>
      <c r="H93" s="726"/>
      <c r="I93" s="726"/>
      <c r="J93" s="68"/>
      <c r="K93" s="721"/>
      <c r="L93" s="721"/>
      <c r="M93" s="721"/>
      <c r="N93" s="721"/>
      <c r="O93" s="721"/>
      <c r="P93" s="722"/>
    </row>
    <row r="94" spans="1:16" ht="7.35" customHeight="1" x14ac:dyDescent="0.25">
      <c r="A94" s="598"/>
      <c r="B94" s="11"/>
      <c r="C94" s="11"/>
      <c r="D94" s="98"/>
      <c r="E94" s="98"/>
      <c r="F94" s="98"/>
      <c r="G94" s="98"/>
      <c r="H94" s="98"/>
      <c r="I94" s="98"/>
      <c r="J94" s="13"/>
      <c r="K94" s="11"/>
      <c r="L94" s="11"/>
      <c r="M94" s="11"/>
      <c r="N94" s="11"/>
      <c r="O94" s="11"/>
      <c r="P94" s="11"/>
    </row>
    <row r="95" spans="1:16" ht="10.5" customHeight="1" x14ac:dyDescent="0.25">
      <c r="A95" s="598"/>
      <c r="B95" s="689" t="s">
        <v>51</v>
      </c>
      <c r="C95" s="690"/>
      <c r="D95" s="712"/>
      <c r="E95" s="713"/>
      <c r="F95" s="713"/>
      <c r="G95" s="713"/>
      <c r="H95" s="713"/>
      <c r="I95" s="713"/>
      <c r="J95" s="68"/>
      <c r="K95" s="716"/>
      <c r="L95" s="713"/>
      <c r="M95" s="713"/>
      <c r="N95" s="713"/>
      <c r="O95" s="713"/>
      <c r="P95" s="717"/>
    </row>
    <row r="96" spans="1:16" ht="10.5" customHeight="1" x14ac:dyDescent="0.25">
      <c r="A96" s="598"/>
      <c r="B96" s="689"/>
      <c r="C96" s="690"/>
      <c r="D96" s="714"/>
      <c r="E96" s="715"/>
      <c r="F96" s="715"/>
      <c r="G96" s="715"/>
      <c r="H96" s="715"/>
      <c r="I96" s="715"/>
      <c r="J96" s="68"/>
      <c r="K96" s="715"/>
      <c r="L96" s="715"/>
      <c r="M96" s="715"/>
      <c r="N96" s="715"/>
      <c r="O96" s="715"/>
      <c r="P96" s="718"/>
    </row>
    <row r="97" spans="1:16" ht="10.5" customHeight="1" x14ac:dyDescent="0.25">
      <c r="A97" s="598"/>
      <c r="B97" s="689"/>
      <c r="C97" s="690"/>
      <c r="D97" s="714"/>
      <c r="E97" s="715"/>
      <c r="F97" s="715"/>
      <c r="G97" s="715"/>
      <c r="H97" s="715"/>
      <c r="I97" s="715"/>
      <c r="J97" s="68"/>
      <c r="K97" s="715"/>
      <c r="L97" s="715"/>
      <c r="M97" s="715"/>
      <c r="N97" s="715"/>
      <c r="O97" s="715"/>
      <c r="P97" s="718"/>
    </row>
    <row r="98" spans="1:16" ht="10.5" customHeight="1" x14ac:dyDescent="0.25">
      <c r="A98" s="598"/>
      <c r="B98" s="689"/>
      <c r="C98" s="690"/>
      <c r="D98" s="714"/>
      <c r="E98" s="715"/>
      <c r="F98" s="715"/>
      <c r="G98" s="715"/>
      <c r="H98" s="715"/>
      <c r="I98" s="715"/>
      <c r="J98" s="68"/>
      <c r="K98" s="715"/>
      <c r="L98" s="715"/>
      <c r="M98" s="715"/>
      <c r="N98" s="715"/>
      <c r="O98" s="715"/>
      <c r="P98" s="718"/>
    </row>
    <row r="99" spans="1:16" ht="42" customHeight="1" thickBot="1" x14ac:dyDescent="0.3">
      <c r="A99" s="598"/>
      <c r="B99" s="689"/>
      <c r="C99" s="690"/>
      <c r="D99" s="714"/>
      <c r="E99" s="715"/>
      <c r="F99" s="715"/>
      <c r="G99" s="715"/>
      <c r="H99" s="715"/>
      <c r="I99" s="715"/>
      <c r="J99" s="68"/>
      <c r="K99" s="719"/>
      <c r="L99" s="719"/>
      <c r="M99" s="719"/>
      <c r="N99" s="719"/>
      <c r="O99" s="719"/>
      <c r="P99" s="720"/>
    </row>
    <row r="100" spans="1:16" ht="15.75" x14ac:dyDescent="0.25">
      <c r="A100" s="598"/>
      <c r="B100" s="691" t="s">
        <v>52</v>
      </c>
      <c r="C100" s="17"/>
      <c r="D100" s="694" t="s">
        <v>53</v>
      </c>
      <c r="E100" s="694"/>
      <c r="F100" s="695"/>
      <c r="G100" s="99" t="s">
        <v>57</v>
      </c>
      <c r="H100" s="100"/>
      <c r="I100" s="100"/>
      <c r="J100" s="18"/>
      <c r="K100" s="694" t="s">
        <v>53</v>
      </c>
      <c r="L100" s="694"/>
      <c r="M100" s="695"/>
      <c r="N100" s="19" t="s">
        <v>57</v>
      </c>
      <c r="O100" s="20"/>
      <c r="P100" s="21"/>
    </row>
    <row r="101" spans="1:16" ht="15.75" x14ac:dyDescent="0.25">
      <c r="A101" s="598"/>
      <c r="B101" s="691"/>
      <c r="C101" s="17"/>
      <c r="D101" s="347" t="s">
        <v>56</v>
      </c>
      <c r="E101" s="53" t="s">
        <v>55</v>
      </c>
      <c r="F101" s="346" t="s">
        <v>224</v>
      </c>
      <c r="G101" s="101" t="s">
        <v>54</v>
      </c>
      <c r="H101" s="102" t="s">
        <v>55</v>
      </c>
      <c r="I101" s="103" t="s">
        <v>56</v>
      </c>
      <c r="J101" s="18"/>
      <c r="K101" s="347" t="s">
        <v>56</v>
      </c>
      <c r="L101" s="53" t="s">
        <v>55</v>
      </c>
      <c r="M101" s="346" t="s">
        <v>224</v>
      </c>
      <c r="N101" s="50" t="s">
        <v>54</v>
      </c>
      <c r="O101" s="51" t="s">
        <v>55</v>
      </c>
      <c r="P101" s="52" t="s">
        <v>56</v>
      </c>
    </row>
    <row r="102" spans="1:16" ht="15.75" x14ac:dyDescent="0.25">
      <c r="A102" s="598"/>
      <c r="B102" s="691"/>
      <c r="C102" s="15" t="s">
        <v>58</v>
      </c>
      <c r="D102" s="166"/>
      <c r="E102" s="166"/>
      <c r="F102" s="192"/>
      <c r="G102" s="255"/>
      <c r="H102" s="166"/>
      <c r="I102" s="166"/>
      <c r="J102" s="193"/>
      <c r="K102" s="166"/>
      <c r="L102" s="166"/>
      <c r="M102" s="192"/>
      <c r="N102" s="255"/>
      <c r="O102" s="166"/>
      <c r="P102" s="166"/>
    </row>
    <row r="103" spans="1:16" ht="15.75" x14ac:dyDescent="0.25">
      <c r="A103" s="598"/>
      <c r="B103" s="691"/>
      <c r="C103" s="15" t="s">
        <v>59</v>
      </c>
      <c r="D103" s="166"/>
      <c r="E103" s="166"/>
      <c r="F103" s="192"/>
      <c r="G103" s="255"/>
      <c r="H103" s="166"/>
      <c r="I103" s="166"/>
      <c r="J103" s="193"/>
      <c r="K103" s="166"/>
      <c r="L103" s="166"/>
      <c r="M103" s="192"/>
      <c r="N103" s="255"/>
      <c r="O103" s="166"/>
      <c r="P103" s="166"/>
    </row>
    <row r="104" spans="1:16" ht="15.75" x14ac:dyDescent="0.25">
      <c r="A104" s="598"/>
      <c r="B104" s="691"/>
      <c r="C104" s="15" t="s">
        <v>60</v>
      </c>
      <c r="D104" s="166"/>
      <c r="E104" s="166"/>
      <c r="F104" s="192"/>
      <c r="G104" s="255"/>
      <c r="H104" s="166"/>
      <c r="I104" s="166"/>
      <c r="J104" s="193"/>
      <c r="K104" s="166"/>
      <c r="L104" s="166"/>
      <c r="M104" s="192"/>
      <c r="N104" s="255"/>
      <c r="O104" s="166"/>
      <c r="P104" s="166"/>
    </row>
    <row r="105" spans="1:16" ht="15.75" x14ac:dyDescent="0.25">
      <c r="A105" s="598"/>
      <c r="B105" s="692"/>
      <c r="C105" s="15" t="s">
        <v>61</v>
      </c>
      <c r="D105" s="166"/>
      <c r="E105" s="166"/>
      <c r="F105" s="192"/>
      <c r="G105" s="255"/>
      <c r="H105" s="166"/>
      <c r="I105" s="166"/>
      <c r="J105" s="193"/>
      <c r="K105" s="166"/>
      <c r="L105" s="166"/>
      <c r="M105" s="192"/>
      <c r="N105" s="255"/>
      <c r="O105" s="166"/>
      <c r="P105" s="166"/>
    </row>
    <row r="106" spans="1:16" ht="15.75" x14ac:dyDescent="0.25">
      <c r="A106" s="598"/>
      <c r="B106" s="11"/>
      <c r="C106" s="11"/>
      <c r="D106" s="98"/>
      <c r="E106" s="98"/>
      <c r="F106" s="98"/>
      <c r="G106" s="98"/>
      <c r="H106" s="98"/>
      <c r="I106" s="98"/>
      <c r="J106" s="13"/>
      <c r="K106" s="11"/>
      <c r="L106" s="11"/>
      <c r="M106" s="11"/>
      <c r="N106" s="11"/>
      <c r="O106" s="11"/>
      <c r="P106" s="11"/>
    </row>
    <row r="107" spans="1:16" ht="24.75" x14ac:dyDescent="0.25">
      <c r="A107" s="598"/>
      <c r="B107" s="693" t="s">
        <v>167</v>
      </c>
      <c r="C107" s="693"/>
      <c r="D107" s="693"/>
      <c r="E107" s="693"/>
      <c r="F107" s="693"/>
      <c r="G107" s="105" t="s">
        <v>62</v>
      </c>
      <c r="H107" s="105" t="s">
        <v>63</v>
      </c>
      <c r="I107" s="105" t="s">
        <v>64</v>
      </c>
      <c r="J107" s="25"/>
      <c r="K107" s="683" t="s">
        <v>62</v>
      </c>
      <c r="L107" s="683"/>
      <c r="M107" s="683" t="s">
        <v>63</v>
      </c>
      <c r="N107" s="683"/>
      <c r="O107" s="683" t="s">
        <v>64</v>
      </c>
      <c r="P107" s="683"/>
    </row>
    <row r="108" spans="1:16" ht="64.5" customHeight="1" x14ac:dyDescent="0.25">
      <c r="A108" s="598"/>
      <c r="B108" s="693"/>
      <c r="C108" s="693"/>
      <c r="D108" s="693"/>
      <c r="E108" s="693"/>
      <c r="F108" s="693"/>
      <c r="G108" s="104"/>
      <c r="H108" s="191"/>
      <c r="I108" s="104"/>
      <c r="J108" s="23"/>
      <c r="K108" s="416"/>
      <c r="L108" s="6"/>
      <c r="M108" s="415"/>
      <c r="N108" s="24"/>
      <c r="O108" s="6"/>
      <c r="P108" s="6"/>
    </row>
    <row r="109" spans="1:16" ht="7.35" customHeight="1" x14ac:dyDescent="0.25">
      <c r="A109" s="7"/>
      <c r="B109" s="7"/>
      <c r="C109" s="10"/>
      <c r="D109" s="106"/>
      <c r="E109" s="106"/>
      <c r="F109" s="106"/>
      <c r="G109" s="106"/>
      <c r="H109" s="106"/>
      <c r="I109" s="106"/>
      <c r="J109" s="7"/>
      <c r="K109" s="7"/>
      <c r="L109" s="7"/>
      <c r="M109" s="7"/>
      <c r="N109" s="7"/>
      <c r="O109" s="7"/>
      <c r="P109" s="7"/>
    </row>
    <row r="110" spans="1:16" ht="49.5" customHeight="1" x14ac:dyDescent="0.25">
      <c r="A110" s="709" t="s">
        <v>13</v>
      </c>
      <c r="B110" s="746" t="str">
        <f>IF('Tableau 1-B Analyse du Contexte'!$K$7="Oui",IF('Tableau 1-C fact Cont'!L56="","N/A",'Tableau 1-C fact Cont'!L56),IF('Tableau 1-C fact Cont'!O56="F0",IF('Tableau 1-C fact Cont'!L56="","N/A","Score de Fiabilité nul-F0"),IF('Tableau 1-C fact Cont'!L56="","N/A",'Tableau 1-C fact Cont'!L56)))</f>
        <v>N/A</v>
      </c>
      <c r="C110" s="708"/>
      <c r="D110" s="708"/>
      <c r="E110" s="708"/>
      <c r="F110" s="708"/>
      <c r="G110" s="708"/>
      <c r="H110" s="708"/>
      <c r="I110" s="747"/>
      <c r="J110" s="68"/>
      <c r="K110" s="672"/>
      <c r="L110" s="667"/>
      <c r="M110" s="667"/>
      <c r="N110" s="667"/>
      <c r="O110" s="667"/>
      <c r="P110" s="668"/>
    </row>
    <row r="111" spans="1:16" ht="50.25" customHeight="1" x14ac:dyDescent="0.25">
      <c r="A111" s="598"/>
      <c r="B111" s="746" t="str">
        <f>IF('Tableau 1-B Analyse du Contexte'!$K$7="Oui",IF('Tableau 1-C fact Cont'!L57="","N/A",'Tableau 1-C fact Cont'!L57),IF('Tableau 1-C fact Cont'!O57="F0",IF('Tableau 1-C fact Cont'!L57="","N/A","Score de Fiabilité nul-F0"),IF('Tableau 1-C fact Cont'!L57="","N/A",'Tableau 1-C fact Cont'!L57)))</f>
        <v>N/A</v>
      </c>
      <c r="C111" s="708"/>
      <c r="D111" s="708"/>
      <c r="E111" s="708"/>
      <c r="F111" s="708"/>
      <c r="G111" s="708"/>
      <c r="H111" s="708"/>
      <c r="I111" s="747"/>
      <c r="J111" s="68"/>
      <c r="K111" s="667"/>
      <c r="L111" s="667"/>
      <c r="M111" s="667"/>
      <c r="N111" s="667"/>
      <c r="O111" s="667"/>
      <c r="P111" s="668"/>
    </row>
    <row r="112" spans="1:16" ht="44.25" customHeight="1" x14ac:dyDescent="0.25">
      <c r="A112" s="598"/>
      <c r="B112" s="669" t="str">
        <f>IF('Tableau 1-B Analyse du Contexte'!$K$7="Oui",IF('Tableau 1-C fact Cont'!L58="","N/A",'Tableau 1-C fact Cont'!L58),IF('Tableau 1-C fact Cont'!O58="F0",IF('Tableau 1-C fact Cont'!L58="","N/A","Score de Fiabilité nul-F0"),IF('Tableau 1-C fact Cont'!L58="","N/A",'Tableau 1-C fact Cont'!L58)))</f>
        <v>N/A</v>
      </c>
      <c r="C112" s="670"/>
      <c r="D112" s="670"/>
      <c r="E112" s="670"/>
      <c r="F112" s="670"/>
      <c r="G112" s="670"/>
      <c r="H112" s="670"/>
      <c r="I112" s="671"/>
      <c r="J112" s="68"/>
      <c r="K112" s="716"/>
      <c r="L112" s="713"/>
      <c r="M112" s="713"/>
      <c r="N112" s="713"/>
      <c r="O112" s="713"/>
      <c r="P112" s="717"/>
    </row>
    <row r="113" spans="1:16" ht="27" customHeight="1" x14ac:dyDescent="0.25">
      <c r="A113" s="598"/>
      <c r="B113" s="669" t="str">
        <f>IF('Tableau 1-B Analyse du Contexte'!$K$7="Oui",IF('Tableau 1-C fact Cont'!L59="","N/A",'Tableau 1-C fact Cont'!L59),IF('Tableau 1-C fact Cont'!O59="F0",IF('Tableau 1-C fact Cont'!L59="","N/A","Score de Fiabilité nul-F0"),IF('Tableau 1-C fact Cont'!L59="","N/A",'Tableau 1-C fact Cont'!L59)))</f>
        <v>N/A</v>
      </c>
      <c r="C113" s="670"/>
      <c r="D113" s="670"/>
      <c r="E113" s="670"/>
      <c r="F113" s="670"/>
      <c r="G113" s="670"/>
      <c r="H113" s="670"/>
      <c r="I113" s="671"/>
      <c r="J113" s="68"/>
      <c r="K113" s="672"/>
      <c r="L113" s="667"/>
      <c r="M113" s="667"/>
      <c r="N113" s="667"/>
      <c r="O113" s="667"/>
      <c r="P113" s="668"/>
    </row>
    <row r="114" spans="1:16" ht="27" customHeight="1" x14ac:dyDescent="0.25">
      <c r="A114" s="598"/>
      <c r="B114" s="669" t="str">
        <f>IF('Tableau 1-B Analyse du Contexte'!$K$7="Oui",IF('Tableau 1-C fact Cont'!L60="","N/A",'Tableau 1-C fact Cont'!L60),IF('Tableau 1-C fact Cont'!O60="F0",IF('Tableau 1-C fact Cont'!L60="","N/A","Score de Fiabilité nul-F0"),IF('Tableau 1-C fact Cont'!L60="","N/A",'Tableau 1-C fact Cont'!L60)))</f>
        <v>N/A</v>
      </c>
      <c r="C114" s="670"/>
      <c r="D114" s="670"/>
      <c r="E114" s="670"/>
      <c r="F114" s="670"/>
      <c r="G114" s="670"/>
      <c r="H114" s="670"/>
      <c r="I114" s="671"/>
      <c r="J114" s="68"/>
      <c r="K114" s="667"/>
      <c r="L114" s="667"/>
      <c r="M114" s="667"/>
      <c r="N114" s="667"/>
      <c r="O114" s="667"/>
      <c r="P114" s="668"/>
    </row>
    <row r="115" spans="1:16" ht="53.25" customHeight="1" x14ac:dyDescent="0.25">
      <c r="A115" s="598"/>
      <c r="B115" s="746" t="str">
        <f>IF('Tableau 1-B Analyse du Contexte'!$K$7="Oui",IF('Tableau 1-C fact Cont'!L61="","N/A",'Tableau 1-C fact Cont'!L61),IF('Tableau 1-C fact Cont'!O61="F0",IF('Tableau 1-C fact Cont'!L61="","N/A","Score de Fiabilité nul-F0"),IF('Tableau 1-C fact Cont'!L61="","N/A",'Tableau 1-C fact Cont'!L61)))</f>
        <v>N/A</v>
      </c>
      <c r="C115" s="708"/>
      <c r="D115" s="708"/>
      <c r="E115" s="708"/>
      <c r="F115" s="708"/>
      <c r="G115" s="708"/>
      <c r="H115" s="708"/>
      <c r="I115" s="747"/>
      <c r="J115" s="68"/>
      <c r="K115" s="716"/>
      <c r="L115" s="713"/>
      <c r="M115" s="713"/>
      <c r="N115" s="713"/>
      <c r="O115" s="713"/>
      <c r="P115" s="717"/>
    </row>
    <row r="116" spans="1:16" ht="39" customHeight="1" x14ac:dyDescent="0.25">
      <c r="A116" s="598"/>
      <c r="B116" s="669" t="str">
        <f>IF('Tableau 1-B Analyse du Contexte'!$K$7="Oui",IF('Tableau 1-C fact Cont'!L62="","N/A",'Tableau 1-C fact Cont'!L62),IF('Tableau 1-C fact Cont'!O62="F0",IF('Tableau 1-C fact Cont'!L62="","N/A","Score de Fiabilité nul-F0"),IF('Tableau 1-C fact Cont'!L62="","N/A",'Tableau 1-C fact Cont'!L62)))</f>
        <v>N/A</v>
      </c>
      <c r="C116" s="670"/>
      <c r="D116" s="670"/>
      <c r="E116" s="670"/>
      <c r="F116" s="670"/>
      <c r="G116" s="670"/>
      <c r="H116" s="670"/>
      <c r="I116" s="671"/>
      <c r="J116" s="68"/>
      <c r="K116" s="716"/>
      <c r="L116" s="713"/>
      <c r="M116" s="713"/>
      <c r="N116" s="713"/>
      <c r="O116" s="713"/>
      <c r="P116" s="717"/>
    </row>
    <row r="117" spans="1:16" ht="27" customHeight="1" x14ac:dyDescent="0.25">
      <c r="A117" s="598"/>
      <c r="B117" s="669" t="str">
        <f>IF('Tableau 1-B Analyse du Contexte'!$K$7="Oui",IF('Tableau 1-C fact Cont'!L63="","N/A",'Tableau 1-C fact Cont'!L63),IF('Tableau 1-C fact Cont'!O63="F0",IF('Tableau 1-C fact Cont'!L63="","N/A","Score de Fiabilité nul-F0"),IF('Tableau 1-C fact Cont'!L63="","N/A",'Tableau 1-C fact Cont'!L63)))</f>
        <v>N/A</v>
      </c>
      <c r="C117" s="670"/>
      <c r="D117" s="670"/>
      <c r="E117" s="670"/>
      <c r="F117" s="670"/>
      <c r="G117" s="670"/>
      <c r="H117" s="670"/>
      <c r="I117" s="671"/>
      <c r="J117" s="68"/>
      <c r="K117" s="667"/>
      <c r="L117" s="667"/>
      <c r="M117" s="667"/>
      <c r="N117" s="667"/>
      <c r="O117" s="667"/>
      <c r="P117" s="668"/>
    </row>
    <row r="118" spans="1:16" ht="27" customHeight="1" x14ac:dyDescent="0.25">
      <c r="A118" s="598"/>
      <c r="B118" s="669" t="str">
        <f>IF('Tableau 1-B Analyse du Contexte'!$K$7="Oui",IF('Tableau 1-C fact Cont'!L64="","N/A",'Tableau 1-C fact Cont'!L64),IF('Tableau 1-C fact Cont'!O64="F0",IF('Tableau 1-C fact Cont'!L64="","N/A","Score de Fiabilité nul-F0"),IF('Tableau 1-C fact Cont'!L64="","N/A",'Tableau 1-C fact Cont'!L64)))</f>
        <v>N/A</v>
      </c>
      <c r="C118" s="670"/>
      <c r="D118" s="670"/>
      <c r="E118" s="670"/>
      <c r="F118" s="670"/>
      <c r="G118" s="670"/>
      <c r="H118" s="670"/>
      <c r="I118" s="671"/>
      <c r="J118" s="68"/>
      <c r="K118" s="667"/>
      <c r="L118" s="667"/>
      <c r="M118" s="667"/>
      <c r="N118" s="667"/>
      <c r="O118" s="667"/>
      <c r="P118" s="668"/>
    </row>
    <row r="119" spans="1:16" ht="27" customHeight="1" x14ac:dyDescent="0.25">
      <c r="A119" s="598"/>
      <c r="B119" s="669" t="str">
        <f>IF('Tableau 1-B Analyse du Contexte'!$K$7="Oui",IF('Tableau 1-C fact Cont'!L65="","N/A",'Tableau 1-C fact Cont'!L65),IF('Tableau 1-C fact Cont'!O65="F0",IF('Tableau 1-C fact Cont'!L65="","N/A","Score de Fiabilité nul-F0"),IF('Tableau 1-C fact Cont'!L65="","N/A",'Tableau 1-C fact Cont'!L65)))</f>
        <v>N/A</v>
      </c>
      <c r="C119" s="670"/>
      <c r="D119" s="670"/>
      <c r="E119" s="670"/>
      <c r="F119" s="670"/>
      <c r="G119" s="670"/>
      <c r="H119" s="670"/>
      <c r="I119" s="671"/>
      <c r="J119" s="68"/>
      <c r="K119" s="667"/>
      <c r="L119" s="667"/>
      <c r="M119" s="667"/>
      <c r="N119" s="667"/>
      <c r="O119" s="667"/>
      <c r="P119" s="668"/>
    </row>
    <row r="120" spans="1:16" ht="27" customHeight="1" x14ac:dyDescent="0.25">
      <c r="A120" s="598"/>
      <c r="B120" s="669" t="str">
        <f>IF('Tableau 1-B Analyse du Contexte'!$K$7="Oui",IF('Tableau 1-C fact Cont'!L66="","N/A",'Tableau 1-C fact Cont'!L66),IF('Tableau 1-C fact Cont'!O66="F0",IF('Tableau 1-C fact Cont'!L66="","N/A","Score de Fiabilité nul-F0"),IF('Tableau 1-C fact Cont'!L66="","N/A",'Tableau 1-C fact Cont'!L66)))</f>
        <v>N/A</v>
      </c>
      <c r="C120" s="670"/>
      <c r="D120" s="670"/>
      <c r="E120" s="670"/>
      <c r="F120" s="670"/>
      <c r="G120" s="670"/>
      <c r="H120" s="670"/>
      <c r="I120" s="671"/>
      <c r="J120" s="68"/>
      <c r="K120" s="667"/>
      <c r="L120" s="667"/>
      <c r="M120" s="667"/>
      <c r="N120" s="667"/>
      <c r="O120" s="667"/>
      <c r="P120" s="668"/>
    </row>
    <row r="121" spans="1:16" ht="27" customHeight="1" x14ac:dyDescent="0.25">
      <c r="A121" s="598"/>
      <c r="B121" s="669" t="str">
        <f>IF('Tableau 1-B Analyse du Contexte'!$K$7="Oui",IF('Tableau 1-C fact Cont'!L67="","N/A",'Tableau 1-C fact Cont'!L67),IF('Tableau 1-C fact Cont'!O67="F0",IF('Tableau 1-C fact Cont'!L67="","N/A","Score de Fiabilité nul-F0"),IF('Tableau 1-C fact Cont'!L67="","N/A",'Tableau 1-C fact Cont'!L67)))</f>
        <v>N/A</v>
      </c>
      <c r="C121" s="670"/>
      <c r="D121" s="670"/>
      <c r="E121" s="670"/>
      <c r="F121" s="670"/>
      <c r="G121" s="670"/>
      <c r="H121" s="670"/>
      <c r="I121" s="671"/>
      <c r="J121" s="68"/>
      <c r="K121" s="672"/>
      <c r="L121" s="667"/>
      <c r="M121" s="667"/>
      <c r="N121" s="667"/>
      <c r="O121" s="667"/>
      <c r="P121" s="668"/>
    </row>
    <row r="122" spans="1:16" ht="27" customHeight="1" x14ac:dyDescent="0.25">
      <c r="A122" s="598"/>
      <c r="B122" s="669" t="str">
        <f>IF('Tableau 1-B Analyse du Contexte'!$K$7="Oui",IF('Tableau 1-C fact Cont'!L68="","N/A",'Tableau 1-C fact Cont'!L68),IF('Tableau 1-C fact Cont'!O68="F0",IF('Tableau 1-C fact Cont'!L68="","N/A","Score de Fiabilité nul-F0"),IF('Tableau 1-C fact Cont'!L68="","N/A",'Tableau 1-C fact Cont'!L68)))</f>
        <v>N/A</v>
      </c>
      <c r="C122" s="670"/>
      <c r="D122" s="670"/>
      <c r="E122" s="670"/>
      <c r="F122" s="670"/>
      <c r="G122" s="670"/>
      <c r="H122" s="670"/>
      <c r="I122" s="671"/>
      <c r="J122" s="68"/>
      <c r="K122" s="667"/>
      <c r="L122" s="667"/>
      <c r="M122" s="667"/>
      <c r="N122" s="667"/>
      <c r="O122" s="667"/>
      <c r="P122" s="668"/>
    </row>
    <row r="123" spans="1:16" ht="27" customHeight="1" x14ac:dyDescent="0.25">
      <c r="A123" s="598"/>
      <c r="B123" s="669" t="str">
        <f>IF('Tableau 1-B Analyse du Contexte'!$K$7="Oui",IF('Tableau 1-C fact Cont'!L69="","N/A",'Tableau 1-C fact Cont'!L69),IF('Tableau 1-C fact Cont'!O69="F0",IF('Tableau 1-C fact Cont'!L69="","N/A","Score de Fiabilité nul-F0"),IF('Tableau 1-C fact Cont'!L69="","N/A",'Tableau 1-C fact Cont'!L69)))</f>
        <v>N/A</v>
      </c>
      <c r="C123" s="670"/>
      <c r="D123" s="670"/>
      <c r="E123" s="670"/>
      <c r="F123" s="670"/>
      <c r="G123" s="670"/>
      <c r="H123" s="670"/>
      <c r="I123" s="671"/>
      <c r="J123" s="68"/>
      <c r="K123" s="667"/>
      <c r="L123" s="667"/>
      <c r="M123" s="667"/>
      <c r="N123" s="667"/>
      <c r="O123" s="667"/>
      <c r="P123" s="668"/>
    </row>
    <row r="124" spans="1:16" ht="27" customHeight="1" x14ac:dyDescent="0.25">
      <c r="A124" s="598"/>
      <c r="B124" s="669" t="str">
        <f>IF('Tableau 1-B Analyse du Contexte'!$K$7="Oui",IF('Tableau 1-C fact Cont'!L70="","N/A",'Tableau 1-C fact Cont'!L70),IF('Tableau 1-C fact Cont'!O70="F0",IF('Tableau 1-C fact Cont'!L70="","N/A","Score de Fiabilité nul-F0"),IF('Tableau 1-C fact Cont'!L70="","N/A",'Tableau 1-C fact Cont'!L70)))</f>
        <v>N/A</v>
      </c>
      <c r="C124" s="670"/>
      <c r="D124" s="670"/>
      <c r="E124" s="670"/>
      <c r="F124" s="670"/>
      <c r="G124" s="670"/>
      <c r="H124" s="670"/>
      <c r="I124" s="671"/>
      <c r="J124" s="68"/>
      <c r="K124" s="672"/>
      <c r="L124" s="667"/>
      <c r="M124" s="667"/>
      <c r="N124" s="667"/>
      <c r="O124" s="667"/>
      <c r="P124" s="668"/>
    </row>
    <row r="125" spans="1:16" ht="34.5" customHeight="1" x14ac:dyDescent="0.25">
      <c r="A125" s="598"/>
      <c r="B125" s="723"/>
      <c r="C125" s="724"/>
      <c r="D125" s="724"/>
      <c r="E125" s="724"/>
      <c r="F125" s="724"/>
      <c r="G125" s="724"/>
      <c r="H125" s="724"/>
      <c r="I125" s="724"/>
      <c r="J125" s="68"/>
      <c r="K125" s="721"/>
      <c r="L125" s="721"/>
      <c r="M125" s="721"/>
      <c r="N125" s="721"/>
      <c r="O125" s="721"/>
      <c r="P125" s="722"/>
    </row>
    <row r="126" spans="1:16" ht="6.75" customHeight="1" x14ac:dyDescent="0.25">
      <c r="A126" s="598"/>
      <c r="B126" s="11"/>
      <c r="C126" s="11"/>
      <c r="D126" s="98"/>
      <c r="E126" s="98"/>
      <c r="F126" s="98"/>
      <c r="G126" s="98"/>
      <c r="H126" s="98"/>
      <c r="I126" s="98"/>
      <c r="J126" s="13"/>
      <c r="K126" s="11"/>
      <c r="L126" s="11"/>
      <c r="M126" s="11"/>
      <c r="N126" s="11"/>
      <c r="O126" s="11"/>
      <c r="P126" s="11"/>
    </row>
    <row r="127" spans="1:16" ht="12" customHeight="1" x14ac:dyDescent="0.25">
      <c r="A127" s="598"/>
      <c r="B127" s="689" t="s">
        <v>51</v>
      </c>
      <c r="C127" s="690"/>
      <c r="D127" s="712"/>
      <c r="E127" s="713"/>
      <c r="F127" s="713"/>
      <c r="G127" s="713"/>
      <c r="H127" s="713"/>
      <c r="I127" s="713"/>
      <c r="J127" s="68"/>
      <c r="K127" s="716"/>
      <c r="L127" s="713"/>
      <c r="M127" s="713"/>
      <c r="N127" s="713"/>
      <c r="O127" s="713"/>
      <c r="P127" s="717"/>
    </row>
    <row r="128" spans="1:16" ht="12" customHeight="1" x14ac:dyDescent="0.25">
      <c r="A128" s="598"/>
      <c r="B128" s="689"/>
      <c r="C128" s="690"/>
      <c r="D128" s="714"/>
      <c r="E128" s="715"/>
      <c r="F128" s="715"/>
      <c r="G128" s="715"/>
      <c r="H128" s="715"/>
      <c r="I128" s="715"/>
      <c r="J128" s="68"/>
      <c r="K128" s="715"/>
      <c r="L128" s="715"/>
      <c r="M128" s="715"/>
      <c r="N128" s="715"/>
      <c r="O128" s="715"/>
      <c r="P128" s="718"/>
    </row>
    <row r="129" spans="1:16" ht="12" customHeight="1" x14ac:dyDescent="0.25">
      <c r="A129" s="598"/>
      <c r="B129" s="689"/>
      <c r="C129" s="690"/>
      <c r="D129" s="714"/>
      <c r="E129" s="715"/>
      <c r="F129" s="715"/>
      <c r="G129" s="715"/>
      <c r="H129" s="715"/>
      <c r="I129" s="715"/>
      <c r="J129" s="68"/>
      <c r="K129" s="715"/>
      <c r="L129" s="715"/>
      <c r="M129" s="715"/>
      <c r="N129" s="715"/>
      <c r="O129" s="715"/>
      <c r="P129" s="718"/>
    </row>
    <row r="130" spans="1:16" ht="12" customHeight="1" x14ac:dyDescent="0.25">
      <c r="A130" s="598"/>
      <c r="B130" s="689"/>
      <c r="C130" s="690"/>
      <c r="D130" s="714"/>
      <c r="E130" s="715"/>
      <c r="F130" s="715"/>
      <c r="G130" s="715"/>
      <c r="H130" s="715"/>
      <c r="I130" s="715"/>
      <c r="J130" s="68"/>
      <c r="K130" s="715"/>
      <c r="L130" s="715"/>
      <c r="M130" s="715"/>
      <c r="N130" s="715"/>
      <c r="O130" s="715"/>
      <c r="P130" s="718"/>
    </row>
    <row r="131" spans="1:16" ht="12" customHeight="1" thickBot="1" x14ac:dyDescent="0.3">
      <c r="A131" s="598"/>
      <c r="B131" s="689"/>
      <c r="C131" s="690"/>
      <c r="D131" s="714"/>
      <c r="E131" s="715"/>
      <c r="F131" s="715"/>
      <c r="G131" s="715"/>
      <c r="H131" s="715"/>
      <c r="I131" s="715"/>
      <c r="J131" s="68"/>
      <c r="K131" s="719"/>
      <c r="L131" s="719"/>
      <c r="M131" s="719"/>
      <c r="N131" s="719"/>
      <c r="O131" s="719"/>
      <c r="P131" s="720"/>
    </row>
    <row r="132" spans="1:16" ht="15.75" x14ac:dyDescent="0.25">
      <c r="A132" s="598"/>
      <c r="B132" s="691" t="s">
        <v>52</v>
      </c>
      <c r="C132" s="17"/>
      <c r="D132" s="694" t="s">
        <v>53</v>
      </c>
      <c r="E132" s="694"/>
      <c r="F132" s="695"/>
      <c r="G132" s="99" t="s">
        <v>57</v>
      </c>
      <c r="H132" s="100"/>
      <c r="I132" s="100"/>
      <c r="J132" s="18"/>
      <c r="K132" s="694" t="s">
        <v>53</v>
      </c>
      <c r="L132" s="694"/>
      <c r="M132" s="695"/>
      <c r="N132" s="19" t="s">
        <v>57</v>
      </c>
      <c r="O132" s="20"/>
      <c r="P132" s="21"/>
    </row>
    <row r="133" spans="1:16" ht="15.75" x14ac:dyDescent="0.25">
      <c r="A133" s="598"/>
      <c r="B133" s="691"/>
      <c r="C133" s="17"/>
      <c r="D133" s="347" t="s">
        <v>56</v>
      </c>
      <c r="E133" s="53" t="s">
        <v>55</v>
      </c>
      <c r="F133" s="346" t="s">
        <v>224</v>
      </c>
      <c r="G133" s="101" t="s">
        <v>54</v>
      </c>
      <c r="H133" s="102" t="s">
        <v>55</v>
      </c>
      <c r="I133" s="103" t="s">
        <v>56</v>
      </c>
      <c r="J133" s="18"/>
      <c r="K133" s="347" t="s">
        <v>56</v>
      </c>
      <c r="L133" s="53" t="s">
        <v>55</v>
      </c>
      <c r="M133" s="346" t="s">
        <v>224</v>
      </c>
      <c r="N133" s="50" t="s">
        <v>54</v>
      </c>
      <c r="O133" s="51" t="s">
        <v>55</v>
      </c>
      <c r="P133" s="52" t="s">
        <v>56</v>
      </c>
    </row>
    <row r="134" spans="1:16" ht="15.75" x14ac:dyDescent="0.25">
      <c r="A134" s="598"/>
      <c r="B134" s="691"/>
      <c r="C134" s="15" t="s">
        <v>58</v>
      </c>
      <c r="D134" s="166"/>
      <c r="E134" s="166"/>
      <c r="F134" s="192"/>
      <c r="G134" s="255"/>
      <c r="H134" s="166"/>
      <c r="I134" s="166"/>
      <c r="J134" s="13"/>
      <c r="K134" s="166"/>
      <c r="L134" s="166"/>
      <c r="M134" s="192"/>
      <c r="N134" s="255"/>
      <c r="O134" s="338"/>
      <c r="P134" s="166"/>
    </row>
    <row r="135" spans="1:16" ht="15.75" x14ac:dyDescent="0.25">
      <c r="A135" s="598"/>
      <c r="B135" s="691"/>
      <c r="C135" s="15" t="s">
        <v>59</v>
      </c>
      <c r="D135" s="166"/>
      <c r="E135" s="166"/>
      <c r="F135" s="192"/>
      <c r="G135" s="255"/>
      <c r="H135" s="166"/>
      <c r="I135" s="166"/>
      <c r="J135" s="13"/>
      <c r="K135" s="166"/>
      <c r="L135" s="166"/>
      <c r="M135" s="192"/>
      <c r="N135" s="255"/>
      <c r="O135" s="338"/>
      <c r="P135" s="166"/>
    </row>
    <row r="136" spans="1:16" ht="15.75" x14ac:dyDescent="0.25">
      <c r="A136" s="598"/>
      <c r="B136" s="691"/>
      <c r="C136" s="15" t="s">
        <v>60</v>
      </c>
      <c r="D136" s="166"/>
      <c r="E136" s="166"/>
      <c r="F136" s="192"/>
      <c r="G136" s="255"/>
      <c r="H136" s="166"/>
      <c r="I136" s="166"/>
      <c r="J136" s="13"/>
      <c r="K136" s="166"/>
      <c r="L136" s="166"/>
      <c r="M136" s="192"/>
      <c r="N136" s="255"/>
      <c r="O136" s="338"/>
      <c r="P136" s="166"/>
    </row>
    <row r="137" spans="1:16" ht="15.75" x14ac:dyDescent="0.25">
      <c r="A137" s="598"/>
      <c r="B137" s="692"/>
      <c r="C137" s="15" t="s">
        <v>61</v>
      </c>
      <c r="D137" s="166"/>
      <c r="E137" s="166"/>
      <c r="F137" s="192"/>
      <c r="G137" s="255"/>
      <c r="H137" s="166"/>
      <c r="I137" s="166"/>
      <c r="J137" s="13"/>
      <c r="K137" s="166"/>
      <c r="L137" s="166"/>
      <c r="M137" s="192"/>
      <c r="N137" s="255"/>
      <c r="O137" s="338"/>
      <c r="P137" s="166"/>
    </row>
    <row r="138" spans="1:16" ht="5.25" customHeight="1" x14ac:dyDescent="0.25">
      <c r="A138" s="598"/>
      <c r="B138" s="11"/>
      <c r="C138" s="11"/>
      <c r="D138" s="98"/>
      <c r="E138" s="98"/>
      <c r="F138" s="98"/>
      <c r="G138" s="98"/>
      <c r="H138" s="98"/>
      <c r="I138" s="98"/>
      <c r="J138" s="13"/>
      <c r="K138" s="11"/>
      <c r="L138" s="11"/>
      <c r="M138" s="11"/>
      <c r="N138" s="11"/>
      <c r="O138" s="11"/>
      <c r="P138" s="11"/>
    </row>
    <row r="139" spans="1:16" ht="24.75" x14ac:dyDescent="0.25">
      <c r="A139" s="598"/>
      <c r="B139" s="693" t="s">
        <v>166</v>
      </c>
      <c r="C139" s="693"/>
      <c r="D139" s="693"/>
      <c r="E139" s="693"/>
      <c r="F139" s="693"/>
      <c r="G139" s="105" t="s">
        <v>62</v>
      </c>
      <c r="H139" s="105" t="s">
        <v>63</v>
      </c>
      <c r="I139" s="105" t="s">
        <v>64</v>
      </c>
      <c r="J139" s="25"/>
      <c r="K139" s="683" t="s">
        <v>62</v>
      </c>
      <c r="L139" s="683"/>
      <c r="M139" s="683" t="s">
        <v>63</v>
      </c>
      <c r="N139" s="683"/>
      <c r="O139" s="683" t="s">
        <v>64</v>
      </c>
      <c r="P139" s="683"/>
    </row>
    <row r="140" spans="1:16" ht="76.5" customHeight="1" x14ac:dyDescent="0.25">
      <c r="A140" s="598"/>
      <c r="B140" s="693"/>
      <c r="C140" s="693"/>
      <c r="D140" s="693"/>
      <c r="E140" s="693"/>
      <c r="F140" s="693"/>
      <c r="G140" s="104"/>
      <c r="H140" s="191"/>
      <c r="I140" s="104"/>
      <c r="J140" s="23"/>
      <c r="K140" s="15"/>
      <c r="L140" s="6"/>
      <c r="M140" s="415"/>
      <c r="N140" s="415"/>
      <c r="O140" s="6"/>
      <c r="P140" s="6"/>
    </row>
    <row r="141" spans="1:16" ht="7.5" customHeight="1" x14ac:dyDescent="0.25">
      <c r="A141" s="7"/>
      <c r="B141" s="7"/>
      <c r="C141" s="10"/>
      <c r="D141" s="106"/>
      <c r="E141" s="106"/>
      <c r="F141" s="106"/>
      <c r="G141" s="106"/>
      <c r="H141" s="106"/>
      <c r="I141" s="106"/>
      <c r="J141" s="7"/>
      <c r="K141" s="7"/>
      <c r="L141" s="7"/>
      <c r="M141" s="7"/>
      <c r="N141" s="7"/>
      <c r="O141" s="7"/>
      <c r="P141" s="7"/>
    </row>
    <row r="142" spans="1:16" ht="22.5" customHeight="1" x14ac:dyDescent="0.25">
      <c r="A142" s="709" t="s">
        <v>14</v>
      </c>
      <c r="B142" s="669" t="str">
        <f>IF('Tableau 1-B Analyse du Contexte'!$K$7="Oui",IF('Tableau 1-C fact Cont'!L72="","N/A",'Tableau 1-C fact Cont'!L72),IF('Tableau 1-C fact Cont'!O72="F0",IF('Tableau 1-C fact Cont'!L72="","N/A","Score de Fiabilité nul-F0"),IF('Tableau 1-C fact Cont'!L72="","N/A",'Tableau 1-C fact Cont'!L72)))</f>
        <v>N/A</v>
      </c>
      <c r="C142" s="670"/>
      <c r="D142" s="670"/>
      <c r="E142" s="670"/>
      <c r="F142" s="670"/>
      <c r="G142" s="670"/>
      <c r="H142" s="670"/>
      <c r="I142" s="671"/>
      <c r="J142" s="68"/>
      <c r="K142" s="672"/>
      <c r="L142" s="667"/>
      <c r="M142" s="667"/>
      <c r="N142" s="667"/>
      <c r="O142" s="667"/>
      <c r="P142" s="668"/>
    </row>
    <row r="143" spans="1:16" ht="36" customHeight="1" x14ac:dyDescent="0.25">
      <c r="A143" s="598"/>
      <c r="B143" s="746" t="str">
        <f>IF('Tableau 1-B Analyse du Contexte'!$K$7="Oui",IF('Tableau 1-C fact Cont'!L73="","N/A",'Tableau 1-C fact Cont'!L73),IF('Tableau 1-C fact Cont'!O73="F0",IF('Tableau 1-C fact Cont'!L73="","N/A","Score de Fiabilité nul-F0"),IF('Tableau 1-C fact Cont'!L73="","N/A",'Tableau 1-C fact Cont'!L73)))</f>
        <v>N/A</v>
      </c>
      <c r="C143" s="708"/>
      <c r="D143" s="708"/>
      <c r="E143" s="708"/>
      <c r="F143" s="708"/>
      <c r="G143" s="708"/>
      <c r="H143" s="708"/>
      <c r="I143" s="747"/>
      <c r="J143" s="68"/>
      <c r="K143" s="667"/>
      <c r="L143" s="667"/>
      <c r="M143" s="667"/>
      <c r="N143" s="667"/>
      <c r="O143" s="667"/>
      <c r="P143" s="668"/>
    </row>
    <row r="144" spans="1:16" ht="93.75" customHeight="1" x14ac:dyDescent="0.25">
      <c r="A144" s="598"/>
      <c r="B144" s="746" t="str">
        <f>IF('Tableau 1-B Analyse du Contexte'!$K$7="Oui",IF('Tableau 1-C fact Cont'!L74="","N/A",'Tableau 1-C fact Cont'!L74),IF('Tableau 1-C fact Cont'!O74="F0",IF('Tableau 1-C fact Cont'!L74="","N/A","Score de Fiabilité nul-F0"),IF('Tableau 1-C fact Cont'!L74="","N/A",'Tableau 1-C fact Cont'!L74)))</f>
        <v>N/A</v>
      </c>
      <c r="C144" s="708"/>
      <c r="D144" s="708"/>
      <c r="E144" s="708"/>
      <c r="F144" s="708"/>
      <c r="G144" s="708"/>
      <c r="H144" s="708"/>
      <c r="I144" s="747"/>
      <c r="J144" s="68"/>
      <c r="K144" s="672"/>
      <c r="L144" s="667"/>
      <c r="M144" s="667"/>
      <c r="N144" s="667"/>
      <c r="O144" s="667"/>
      <c r="P144" s="668"/>
    </row>
    <row r="145" spans="1:16" ht="22.5" customHeight="1" x14ac:dyDescent="0.25">
      <c r="A145" s="598"/>
      <c r="B145" s="669" t="str">
        <f>IF('Tableau 1-B Analyse du Contexte'!$K$7="Oui",IF('Tableau 1-C fact Cont'!L75="","N/A",'Tableau 1-C fact Cont'!L75),IF('Tableau 1-C fact Cont'!O75="F0",IF('Tableau 1-C fact Cont'!L75="","N/A","Score de Fiabilité nul-F0"),IF('Tableau 1-C fact Cont'!L75="","N/A",'Tableau 1-C fact Cont'!L75)))</f>
        <v>N/A</v>
      </c>
      <c r="C145" s="670"/>
      <c r="D145" s="670"/>
      <c r="E145" s="670"/>
      <c r="F145" s="670"/>
      <c r="G145" s="670"/>
      <c r="H145" s="670"/>
      <c r="I145" s="671"/>
      <c r="J145" s="68"/>
      <c r="K145" s="672"/>
      <c r="L145" s="667"/>
      <c r="M145" s="667"/>
      <c r="N145" s="667"/>
      <c r="O145" s="667"/>
      <c r="P145" s="668"/>
    </row>
    <row r="146" spans="1:16" ht="22.5" customHeight="1" x14ac:dyDescent="0.25">
      <c r="A146" s="598"/>
      <c r="B146" s="669" t="str">
        <f>IF('Tableau 1-B Analyse du Contexte'!$K$7="Oui",IF('Tableau 1-C fact Cont'!L76="","N/A",'Tableau 1-C fact Cont'!L76),IF('Tableau 1-C fact Cont'!O76="F0",IF('Tableau 1-C fact Cont'!L76="","N/A","Score de Fiabilité nul-F0"),IF('Tableau 1-C fact Cont'!L76="","N/A",'Tableau 1-C fact Cont'!L76)))</f>
        <v>N/A</v>
      </c>
      <c r="C146" s="670"/>
      <c r="D146" s="670"/>
      <c r="E146" s="670"/>
      <c r="F146" s="670"/>
      <c r="G146" s="670"/>
      <c r="H146" s="670"/>
      <c r="I146" s="671"/>
      <c r="J146" s="68"/>
      <c r="K146" s="667"/>
      <c r="L146" s="667"/>
      <c r="M146" s="667"/>
      <c r="N146" s="667"/>
      <c r="O146" s="667"/>
      <c r="P146" s="668"/>
    </row>
    <row r="147" spans="1:16" ht="22.5" customHeight="1" x14ac:dyDescent="0.25">
      <c r="A147" s="598"/>
      <c r="B147" s="669" t="str">
        <f>IF('Tableau 1-B Analyse du Contexte'!$K$7="Oui",IF('Tableau 1-C fact Cont'!L77="","N/A",'Tableau 1-C fact Cont'!L77),IF('Tableau 1-C fact Cont'!O77="F0",IF('Tableau 1-C fact Cont'!L77="","N/A","Score de Fiabilité nul-F0"),IF('Tableau 1-C fact Cont'!L77="","N/A",'Tableau 1-C fact Cont'!L77)))</f>
        <v>N/A</v>
      </c>
      <c r="C147" s="670"/>
      <c r="D147" s="670"/>
      <c r="E147" s="670"/>
      <c r="F147" s="670"/>
      <c r="G147" s="670"/>
      <c r="H147" s="670"/>
      <c r="I147" s="671"/>
      <c r="J147" s="68"/>
      <c r="K147" s="667"/>
      <c r="L147" s="667"/>
      <c r="M147" s="667"/>
      <c r="N147" s="667"/>
      <c r="O147" s="667"/>
      <c r="P147" s="668"/>
    </row>
    <row r="148" spans="1:16" ht="22.5" customHeight="1" x14ac:dyDescent="0.25">
      <c r="A148" s="598"/>
      <c r="B148" s="669" t="str">
        <f>IF('Tableau 1-B Analyse du Contexte'!$K$7="Oui",IF('Tableau 1-C fact Cont'!L78="","N/A",'Tableau 1-C fact Cont'!L78),IF('Tableau 1-C fact Cont'!O78="F0",IF('Tableau 1-C fact Cont'!L78="","N/A","Score de Fiabilité nul-F0"),IF('Tableau 1-C fact Cont'!L78="","N/A",'Tableau 1-C fact Cont'!L78)))</f>
        <v>N/A</v>
      </c>
      <c r="C148" s="670"/>
      <c r="D148" s="670"/>
      <c r="E148" s="670"/>
      <c r="F148" s="670"/>
      <c r="G148" s="670"/>
      <c r="H148" s="670"/>
      <c r="I148" s="671"/>
      <c r="J148" s="68"/>
      <c r="K148" s="672"/>
      <c r="L148" s="667"/>
      <c r="M148" s="667"/>
      <c r="N148" s="667"/>
      <c r="O148" s="667"/>
      <c r="P148" s="668"/>
    </row>
    <row r="149" spans="1:16" ht="22.5" customHeight="1" x14ac:dyDescent="0.25">
      <c r="A149" s="598"/>
      <c r="B149" s="669" t="str">
        <f>IF('Tableau 1-B Analyse du Contexte'!$K$7="Oui",IF('Tableau 1-C fact Cont'!L79="","N/A",'Tableau 1-C fact Cont'!L79),IF('Tableau 1-C fact Cont'!O79="F0",IF('Tableau 1-C fact Cont'!L79="","N/A","Score de Fiabilité nul-F0"),IF('Tableau 1-C fact Cont'!L79="","N/A",'Tableau 1-C fact Cont'!L79)))</f>
        <v>N/A</v>
      </c>
      <c r="C149" s="670"/>
      <c r="D149" s="670"/>
      <c r="E149" s="670"/>
      <c r="F149" s="670"/>
      <c r="G149" s="670"/>
      <c r="H149" s="670"/>
      <c r="I149" s="671"/>
      <c r="J149" s="68"/>
      <c r="K149" s="667"/>
      <c r="L149" s="667"/>
      <c r="M149" s="667"/>
      <c r="N149" s="667"/>
      <c r="O149" s="667"/>
      <c r="P149" s="668"/>
    </row>
    <row r="150" spans="1:16" ht="22.5" customHeight="1" x14ac:dyDescent="0.25">
      <c r="A150" s="598"/>
      <c r="B150" s="669" t="str">
        <f>IF('Tableau 1-B Analyse du Contexte'!$K$7="Oui",IF('Tableau 1-C fact Cont'!L80="","N/A",'Tableau 1-C fact Cont'!L80),IF('Tableau 1-C fact Cont'!O80="F0",IF('Tableau 1-C fact Cont'!L80="","N/A","Score de Fiabilité nul-F0"),IF('Tableau 1-C fact Cont'!L80="","N/A",'Tableau 1-C fact Cont'!L80)))</f>
        <v>N/A</v>
      </c>
      <c r="C150" s="670"/>
      <c r="D150" s="670"/>
      <c r="E150" s="670"/>
      <c r="F150" s="670"/>
      <c r="G150" s="670"/>
      <c r="H150" s="670"/>
      <c r="I150" s="671"/>
      <c r="J150" s="68"/>
      <c r="K150" s="667"/>
      <c r="L150" s="667"/>
      <c r="M150" s="667"/>
      <c r="N150" s="667"/>
      <c r="O150" s="667"/>
      <c r="P150" s="668"/>
    </row>
    <row r="151" spans="1:16" ht="22.5" customHeight="1" x14ac:dyDescent="0.25">
      <c r="A151" s="598"/>
      <c r="B151" s="669" t="str">
        <f>IF('Tableau 1-B Analyse du Contexte'!$K$7="Oui",IF('Tableau 1-C fact Cont'!L81="","N/A",'Tableau 1-C fact Cont'!L81),IF('Tableau 1-C fact Cont'!O81="F0",IF('Tableau 1-C fact Cont'!L81="","N/A","Score de Fiabilité nul-F0"),IF('Tableau 1-C fact Cont'!L81="","N/A",'Tableau 1-C fact Cont'!L81)))</f>
        <v>N/A</v>
      </c>
      <c r="C151" s="670"/>
      <c r="D151" s="670"/>
      <c r="E151" s="670"/>
      <c r="F151" s="670"/>
      <c r="G151" s="670"/>
      <c r="H151" s="670"/>
      <c r="I151" s="671"/>
      <c r="J151" s="68"/>
      <c r="K151" s="672"/>
      <c r="L151" s="667"/>
      <c r="M151" s="667"/>
      <c r="N151" s="667"/>
      <c r="O151" s="667"/>
      <c r="P151" s="668"/>
    </row>
    <row r="152" spans="1:16" ht="22.5" customHeight="1" x14ac:dyDescent="0.25">
      <c r="A152" s="598"/>
      <c r="B152" s="669" t="str">
        <f>IF('Tableau 1-B Analyse du Contexte'!$K$7="Oui",IF('Tableau 1-C fact Cont'!L82="","N/A",'Tableau 1-C fact Cont'!L82),IF('Tableau 1-C fact Cont'!O82="F0",IF('Tableau 1-C fact Cont'!L82="","N/A","Score de Fiabilité nul-F0"),IF('Tableau 1-C fact Cont'!L82="","N/A",'Tableau 1-C fact Cont'!L82)))</f>
        <v>N/A</v>
      </c>
      <c r="C152" s="670"/>
      <c r="D152" s="670"/>
      <c r="E152" s="670"/>
      <c r="F152" s="670"/>
      <c r="G152" s="670"/>
      <c r="H152" s="670"/>
      <c r="I152" s="671"/>
      <c r="J152" s="68"/>
      <c r="K152" s="667"/>
      <c r="L152" s="667"/>
      <c r="M152" s="667"/>
      <c r="N152" s="667"/>
      <c r="O152" s="667"/>
      <c r="P152" s="668"/>
    </row>
    <row r="153" spans="1:16" ht="22.5" customHeight="1" x14ac:dyDescent="0.25">
      <c r="A153" s="598"/>
      <c r="B153" s="669" t="str">
        <f>IF('Tableau 1-B Analyse du Contexte'!$K$7="Oui",IF('Tableau 1-C fact Cont'!L83="","N/A",'Tableau 1-C fact Cont'!L83),IF('Tableau 1-C fact Cont'!O83="F0",IF('Tableau 1-C fact Cont'!L83="","N/A","Score de Fiabilité nul-F0"),IF('Tableau 1-C fact Cont'!L83="","N/A",'Tableau 1-C fact Cont'!L83)))</f>
        <v>N/A</v>
      </c>
      <c r="C153" s="670"/>
      <c r="D153" s="670"/>
      <c r="E153" s="670"/>
      <c r="F153" s="670"/>
      <c r="G153" s="670"/>
      <c r="H153" s="670"/>
      <c r="I153" s="671"/>
      <c r="J153" s="68"/>
      <c r="K153" s="667"/>
      <c r="L153" s="667"/>
      <c r="M153" s="667"/>
      <c r="N153" s="667"/>
      <c r="O153" s="667"/>
      <c r="P153" s="668"/>
    </row>
    <row r="154" spans="1:16" ht="22.5" customHeight="1" x14ac:dyDescent="0.25">
      <c r="A154" s="598"/>
      <c r="B154" s="669" t="str">
        <f>IF('Tableau 1-B Analyse du Contexte'!$K$7="Oui",IF('Tableau 1-C fact Cont'!L84="","N/A",'Tableau 1-C fact Cont'!L84),IF('Tableau 1-C fact Cont'!O84="F0",IF('Tableau 1-C fact Cont'!L84="","N/A","Score de Fiabilité nul-F0"),IF('Tableau 1-C fact Cont'!L84="","N/A",'Tableau 1-C fact Cont'!L84)))</f>
        <v>N/A</v>
      </c>
      <c r="C154" s="670"/>
      <c r="D154" s="670"/>
      <c r="E154" s="670"/>
      <c r="F154" s="670"/>
      <c r="G154" s="670"/>
      <c r="H154" s="670"/>
      <c r="I154" s="671"/>
      <c r="J154" s="68"/>
      <c r="K154" s="672"/>
      <c r="L154" s="667"/>
      <c r="M154" s="667"/>
      <c r="N154" s="667"/>
      <c r="O154" s="667"/>
      <c r="P154" s="668"/>
    </row>
    <row r="155" spans="1:16" ht="22.5" customHeight="1" x14ac:dyDescent="0.25">
      <c r="A155" s="598"/>
      <c r="B155" s="669" t="str">
        <f>IF('Tableau 1-B Analyse du Contexte'!$K$7="Oui",IF('Tableau 1-C fact Cont'!L85="","N/A",'Tableau 1-C fact Cont'!L85),IF('Tableau 1-C fact Cont'!O85="F0",IF('Tableau 1-C fact Cont'!L85="","N/A","Score de Fiabilité nul-F0"),IF('Tableau 1-C fact Cont'!L85="","N/A",'Tableau 1-C fact Cont'!L85)))</f>
        <v>N/A</v>
      </c>
      <c r="C155" s="670"/>
      <c r="D155" s="670"/>
      <c r="E155" s="670"/>
      <c r="F155" s="670"/>
      <c r="G155" s="670"/>
      <c r="H155" s="670"/>
      <c r="I155" s="671"/>
      <c r="J155" s="68"/>
      <c r="K155" s="667"/>
      <c r="L155" s="667"/>
      <c r="M155" s="667"/>
      <c r="N155" s="667"/>
      <c r="O155" s="667"/>
      <c r="P155" s="668"/>
    </row>
    <row r="156" spans="1:16" ht="22.5" customHeight="1" x14ac:dyDescent="0.25">
      <c r="A156" s="598"/>
      <c r="B156" s="669" t="str">
        <f>IF('Tableau 1-B Analyse du Contexte'!$K$7="Oui",IF('Tableau 1-C fact Cont'!L86="","N/A",'Tableau 1-C fact Cont'!L86),IF('Tableau 1-C fact Cont'!O86="F0",IF('Tableau 1-C fact Cont'!L86="","N/A","Score de Fiabilité nul-F0"),IF('Tableau 1-C fact Cont'!L86="","N/A",'Tableau 1-C fact Cont'!L86)))</f>
        <v>N/A</v>
      </c>
      <c r="C156" s="670"/>
      <c r="D156" s="670"/>
      <c r="E156" s="670"/>
      <c r="F156" s="670"/>
      <c r="G156" s="670"/>
      <c r="H156" s="670"/>
      <c r="I156" s="671"/>
      <c r="J156" s="68"/>
      <c r="K156" s="667"/>
      <c r="L156" s="667"/>
      <c r="M156" s="667"/>
      <c r="N156" s="667"/>
      <c r="O156" s="667"/>
      <c r="P156" s="668"/>
    </row>
    <row r="157" spans="1:16" ht="22.5" customHeight="1" x14ac:dyDescent="0.25">
      <c r="A157" s="598"/>
      <c r="B157" s="108"/>
      <c r="C157" s="109"/>
      <c r="D157" s="109"/>
      <c r="E157" s="109"/>
      <c r="F157" s="109"/>
      <c r="G157" s="109"/>
      <c r="H157" s="109"/>
      <c r="I157" s="109"/>
      <c r="J157" s="68"/>
      <c r="K157" s="721"/>
      <c r="L157" s="721"/>
      <c r="M157" s="721"/>
      <c r="N157" s="721"/>
      <c r="O157" s="721"/>
      <c r="P157" s="722"/>
    </row>
    <row r="158" spans="1:16" ht="9.6" customHeight="1" x14ac:dyDescent="0.25">
      <c r="A158" s="598"/>
      <c r="B158" s="11"/>
      <c r="C158" s="11"/>
      <c r="D158" s="98"/>
      <c r="E158" s="98"/>
      <c r="F158" s="98"/>
      <c r="G158" s="98"/>
      <c r="H158" s="98"/>
      <c r="I158" s="98"/>
      <c r="J158" s="13"/>
      <c r="K158" s="11"/>
      <c r="L158" s="11"/>
      <c r="M158" s="11"/>
      <c r="N158" s="11"/>
      <c r="O158" s="11"/>
      <c r="P158" s="11"/>
    </row>
    <row r="159" spans="1:16" ht="15" customHeight="1" x14ac:dyDescent="0.25">
      <c r="A159" s="598"/>
      <c r="B159" s="710" t="s">
        <v>51</v>
      </c>
      <c r="C159" s="711"/>
      <c r="D159" s="712"/>
      <c r="E159" s="713"/>
      <c r="F159" s="713"/>
      <c r="G159" s="713"/>
      <c r="H159" s="713"/>
      <c r="I159" s="713"/>
      <c r="J159" s="68"/>
      <c r="K159" s="716"/>
      <c r="L159" s="713"/>
      <c r="M159" s="713"/>
      <c r="N159" s="713"/>
      <c r="O159" s="713"/>
      <c r="P159" s="717"/>
    </row>
    <row r="160" spans="1:16" ht="15" customHeight="1" x14ac:dyDescent="0.25">
      <c r="A160" s="598"/>
      <c r="B160" s="710"/>
      <c r="C160" s="711"/>
      <c r="D160" s="714"/>
      <c r="E160" s="715"/>
      <c r="F160" s="715"/>
      <c r="G160" s="715"/>
      <c r="H160" s="715"/>
      <c r="I160" s="715"/>
      <c r="J160" s="68"/>
      <c r="K160" s="715"/>
      <c r="L160" s="715"/>
      <c r="M160" s="715"/>
      <c r="N160" s="715"/>
      <c r="O160" s="715"/>
      <c r="P160" s="718"/>
    </row>
    <row r="161" spans="1:16" ht="15" customHeight="1" x14ac:dyDescent="0.25">
      <c r="A161" s="598"/>
      <c r="B161" s="710"/>
      <c r="C161" s="711"/>
      <c r="D161" s="714"/>
      <c r="E161" s="715"/>
      <c r="F161" s="715"/>
      <c r="G161" s="715"/>
      <c r="H161" s="715"/>
      <c r="I161" s="715"/>
      <c r="J161" s="68"/>
      <c r="K161" s="715"/>
      <c r="L161" s="715"/>
      <c r="M161" s="715"/>
      <c r="N161" s="715"/>
      <c r="O161" s="715"/>
      <c r="P161" s="718"/>
    </row>
    <row r="162" spans="1:16" ht="15" customHeight="1" x14ac:dyDescent="0.25">
      <c r="A162" s="598"/>
      <c r="B162" s="710"/>
      <c r="C162" s="711"/>
      <c r="D162" s="714"/>
      <c r="E162" s="715"/>
      <c r="F162" s="715"/>
      <c r="G162" s="715"/>
      <c r="H162" s="715"/>
      <c r="I162" s="715"/>
      <c r="J162" s="68"/>
      <c r="K162" s="715"/>
      <c r="L162" s="715"/>
      <c r="M162" s="715"/>
      <c r="N162" s="715"/>
      <c r="O162" s="715"/>
      <c r="P162" s="718"/>
    </row>
    <row r="163" spans="1:16" ht="15" customHeight="1" thickBot="1" x14ac:dyDescent="0.3">
      <c r="A163" s="598"/>
      <c r="B163" s="710"/>
      <c r="C163" s="711"/>
      <c r="D163" s="714"/>
      <c r="E163" s="715"/>
      <c r="F163" s="715"/>
      <c r="G163" s="715"/>
      <c r="H163" s="715"/>
      <c r="I163" s="715"/>
      <c r="J163" s="68"/>
      <c r="K163" s="719"/>
      <c r="L163" s="719"/>
      <c r="M163" s="719"/>
      <c r="N163" s="719"/>
      <c r="O163" s="719"/>
      <c r="P163" s="720"/>
    </row>
    <row r="164" spans="1:16" ht="15.75" x14ac:dyDescent="0.25">
      <c r="A164" s="598"/>
      <c r="B164" s="691" t="s">
        <v>52</v>
      </c>
      <c r="C164" s="17"/>
      <c r="D164" s="694" t="s">
        <v>53</v>
      </c>
      <c r="E164" s="694"/>
      <c r="F164" s="695"/>
      <c r="G164" s="673" t="s">
        <v>57</v>
      </c>
      <c r="H164" s="674"/>
      <c r="I164" s="675"/>
      <c r="J164" s="18"/>
      <c r="K164" s="694" t="s">
        <v>53</v>
      </c>
      <c r="L164" s="694"/>
      <c r="M164" s="695"/>
      <c r="N164" s="676" t="s">
        <v>57</v>
      </c>
      <c r="O164" s="677"/>
      <c r="P164" s="678"/>
    </row>
    <row r="165" spans="1:16" ht="15.75" x14ac:dyDescent="0.25">
      <c r="A165" s="598"/>
      <c r="B165" s="691"/>
      <c r="C165" s="17"/>
      <c r="D165" s="347" t="s">
        <v>56</v>
      </c>
      <c r="E165" s="53" t="s">
        <v>55</v>
      </c>
      <c r="F165" s="346" t="s">
        <v>224</v>
      </c>
      <c r="G165" s="101" t="s">
        <v>54</v>
      </c>
      <c r="H165" s="102" t="s">
        <v>55</v>
      </c>
      <c r="I165" s="103" t="s">
        <v>56</v>
      </c>
      <c r="J165" s="18"/>
      <c r="K165" s="347" t="s">
        <v>56</v>
      </c>
      <c r="L165" s="53" t="s">
        <v>55</v>
      </c>
      <c r="M165" s="346" t="s">
        <v>224</v>
      </c>
      <c r="N165" s="50" t="s">
        <v>54</v>
      </c>
      <c r="O165" s="51" t="s">
        <v>55</v>
      </c>
      <c r="P165" s="52" t="s">
        <v>56</v>
      </c>
    </row>
    <row r="166" spans="1:16" ht="15.75" x14ac:dyDescent="0.25">
      <c r="A166" s="598"/>
      <c r="B166" s="691"/>
      <c r="C166" s="15" t="s">
        <v>58</v>
      </c>
      <c r="D166" s="166"/>
      <c r="E166" s="166"/>
      <c r="F166" s="192"/>
      <c r="G166" s="255"/>
      <c r="H166" s="166"/>
      <c r="I166" s="166"/>
      <c r="J166" s="193"/>
      <c r="K166" s="166"/>
      <c r="L166" s="166"/>
      <c r="M166" s="192"/>
      <c r="N166" s="255"/>
      <c r="O166" s="166"/>
      <c r="P166" s="166"/>
    </row>
    <row r="167" spans="1:16" ht="15.75" x14ac:dyDescent="0.25">
      <c r="A167" s="598"/>
      <c r="B167" s="691"/>
      <c r="C167" s="15" t="s">
        <v>59</v>
      </c>
      <c r="D167" s="166"/>
      <c r="E167" s="166"/>
      <c r="F167" s="192"/>
      <c r="G167" s="255"/>
      <c r="H167" s="166"/>
      <c r="I167" s="166"/>
      <c r="J167" s="193"/>
      <c r="K167" s="166"/>
      <c r="L167" s="166"/>
      <c r="M167" s="192"/>
      <c r="N167" s="255"/>
      <c r="O167" s="166"/>
      <c r="P167" s="166"/>
    </row>
    <row r="168" spans="1:16" ht="15.75" x14ac:dyDescent="0.25">
      <c r="A168" s="598"/>
      <c r="B168" s="691"/>
      <c r="C168" s="15" t="s">
        <v>60</v>
      </c>
      <c r="D168" s="166"/>
      <c r="E168" s="166"/>
      <c r="F168" s="192"/>
      <c r="G168" s="255"/>
      <c r="H168" s="166"/>
      <c r="I168" s="166"/>
      <c r="J168" s="193"/>
      <c r="K168" s="166"/>
      <c r="L168" s="166"/>
      <c r="M168" s="192"/>
      <c r="N168" s="255"/>
      <c r="O168" s="166"/>
      <c r="P168" s="166"/>
    </row>
    <row r="169" spans="1:16" ht="15.75" x14ac:dyDescent="0.25">
      <c r="A169" s="598"/>
      <c r="B169" s="692"/>
      <c r="C169" s="15" t="s">
        <v>61</v>
      </c>
      <c r="D169" s="166"/>
      <c r="E169" s="166"/>
      <c r="F169" s="192"/>
      <c r="G169" s="255"/>
      <c r="H169" s="166"/>
      <c r="I169" s="166"/>
      <c r="J169" s="193"/>
      <c r="K169" s="166"/>
      <c r="L169" s="166"/>
      <c r="M169" s="192"/>
      <c r="N169" s="255"/>
      <c r="O169" s="166"/>
      <c r="P169" s="166"/>
    </row>
    <row r="170" spans="1:16" ht="8.85" customHeight="1" x14ac:dyDescent="0.25">
      <c r="A170" s="598"/>
      <c r="B170" s="11"/>
      <c r="C170" s="11"/>
      <c r="D170" s="98"/>
      <c r="E170" s="98"/>
      <c r="F170" s="98"/>
      <c r="G170" s="98"/>
      <c r="H170" s="98"/>
      <c r="I170" s="98"/>
      <c r="J170" s="13"/>
      <c r="K170" s="11"/>
      <c r="L170" s="11"/>
      <c r="M170" s="11"/>
      <c r="N170" s="11"/>
      <c r="O170" s="11"/>
      <c r="P170" s="11"/>
    </row>
    <row r="171" spans="1:16" ht="24" x14ac:dyDescent="0.25">
      <c r="A171" s="598"/>
      <c r="B171" s="693" t="s">
        <v>165</v>
      </c>
      <c r="C171" s="693"/>
      <c r="D171" s="693"/>
      <c r="E171" s="693"/>
      <c r="F171" s="693"/>
      <c r="G171" s="451" t="s">
        <v>62</v>
      </c>
      <c r="H171" s="451" t="s">
        <v>63</v>
      </c>
      <c r="I171" s="451" t="s">
        <v>64</v>
      </c>
      <c r="J171" s="452"/>
      <c r="K171" s="683" t="s">
        <v>62</v>
      </c>
      <c r="L171" s="683"/>
      <c r="M171" s="683" t="s">
        <v>63</v>
      </c>
      <c r="N171" s="683"/>
      <c r="O171" s="683" t="s">
        <v>64</v>
      </c>
      <c r="P171" s="683"/>
    </row>
    <row r="172" spans="1:16" ht="64.5" customHeight="1" x14ac:dyDescent="0.25">
      <c r="A172" s="598"/>
      <c r="B172" s="693"/>
      <c r="C172" s="693"/>
      <c r="D172" s="693"/>
      <c r="E172" s="693"/>
      <c r="F172" s="693"/>
      <c r="G172" s="166"/>
      <c r="H172" s="166"/>
      <c r="I172" s="453"/>
      <c r="J172" s="454"/>
      <c r="K172" s="166"/>
      <c r="L172" s="453"/>
      <c r="M172" s="166"/>
      <c r="N172" s="453"/>
      <c r="O172" s="453"/>
      <c r="P172" s="453"/>
    </row>
    <row r="173" spans="1:16" ht="7.5" customHeight="1" x14ac:dyDescent="0.25">
      <c r="A173" s="7"/>
      <c r="B173" s="7"/>
      <c r="C173" s="10"/>
      <c r="D173" s="106"/>
      <c r="E173" s="106"/>
      <c r="F173" s="106"/>
      <c r="G173" s="106"/>
      <c r="H173" s="106"/>
      <c r="I173" s="106"/>
      <c r="J173" s="7"/>
      <c r="K173" s="7"/>
      <c r="L173" s="7"/>
      <c r="M173" s="7"/>
      <c r="N173" s="7"/>
      <c r="O173" s="7"/>
      <c r="P173" s="7"/>
    </row>
  </sheetData>
  <sheetProtection formatCells="0" formatColumns="0" formatRows="0" insertRows="0"/>
  <protectedRanges>
    <protectedRange sqref="D63:I67" name="Range5"/>
    <protectedRange sqref="D95:I99 K95:P99" name="Range3"/>
    <protectedRange sqref="K13:P17 K140:P140 K28:P32 K35:P38 K41:P43 K45:P59 K63:P67 K70:P73 K159:P163 K78:P92 K96:P99 K102:P105 K76:P76 K110:P124 K127:P131 K134:P137 K108:P108 K142:P156 K21:P25" name="Range2"/>
    <protectedRange sqref="G140:I140 D166:I169 D159:I163 G108:I108 D134:I137 D127:I131 G76:I76 D102:I105 D97:I99 D28:I32 D70:I73 D63:I66 G41:I43 D35:I38 G172:I172" name="Range1"/>
    <protectedRange sqref="K166:P169 K172:P172" name="Range4"/>
  </protectedRanges>
  <mergeCells count="232">
    <mergeCell ref="B84:I84"/>
    <mergeCell ref="K84:P84"/>
    <mergeCell ref="B117:I117"/>
    <mergeCell ref="K117:P117"/>
    <mergeCell ref="B143:I143"/>
    <mergeCell ref="K143:P143"/>
    <mergeCell ref="B144:I144"/>
    <mergeCell ref="K144:P144"/>
    <mergeCell ref="B145:I145"/>
    <mergeCell ref="K145:P145"/>
    <mergeCell ref="B115:I115"/>
    <mergeCell ref="B116:I116"/>
    <mergeCell ref="B123:I123"/>
    <mergeCell ref="B124:I124"/>
    <mergeCell ref="K85:P85"/>
    <mergeCell ref="K92:P92"/>
    <mergeCell ref="K112:P112"/>
    <mergeCell ref="K93:P93"/>
    <mergeCell ref="B110:I110"/>
    <mergeCell ref="B111:I111"/>
    <mergeCell ref="B112:I112"/>
    <mergeCell ref="B87:I87"/>
    <mergeCell ref="K87:P87"/>
    <mergeCell ref="B88:I88"/>
    <mergeCell ref="K50:P50"/>
    <mergeCell ref="I41:I43"/>
    <mergeCell ref="K41:L43"/>
    <mergeCell ref="N68:P68"/>
    <mergeCell ref="B81:I81"/>
    <mergeCell ref="K81:P81"/>
    <mergeCell ref="B82:I82"/>
    <mergeCell ref="K82:P82"/>
    <mergeCell ref="B57:I57"/>
    <mergeCell ref="K61:P61"/>
    <mergeCell ref="K75:L75"/>
    <mergeCell ref="M75:N75"/>
    <mergeCell ref="O75:P75"/>
    <mergeCell ref="O41:P43"/>
    <mergeCell ref="B83:I83"/>
    <mergeCell ref="K83:P83"/>
    <mergeCell ref="G68:I68"/>
    <mergeCell ref="B46:I46"/>
    <mergeCell ref="K46:P46"/>
    <mergeCell ref="B47:I47"/>
    <mergeCell ref="K47:P47"/>
    <mergeCell ref="B48:I48"/>
    <mergeCell ref="K48:P48"/>
    <mergeCell ref="B49:I49"/>
    <mergeCell ref="K49:P49"/>
    <mergeCell ref="K51:P51"/>
    <mergeCell ref="B60:I60"/>
    <mergeCell ref="B58:I58"/>
    <mergeCell ref="B59:I59"/>
    <mergeCell ref="B61:I61"/>
    <mergeCell ref="B53:I53"/>
    <mergeCell ref="K53:P53"/>
    <mergeCell ref="B54:I54"/>
    <mergeCell ref="K54:P54"/>
    <mergeCell ref="B55:I55"/>
    <mergeCell ref="K55:P55"/>
    <mergeCell ref="B56:I56"/>
    <mergeCell ref="K56:P56"/>
    <mergeCell ref="D6:E6"/>
    <mergeCell ref="G33:I33"/>
    <mergeCell ref="N33:P33"/>
    <mergeCell ref="M41:N43"/>
    <mergeCell ref="D14:I14"/>
    <mergeCell ref="D16:I16"/>
    <mergeCell ref="D17:I17"/>
    <mergeCell ref="D15:I15"/>
    <mergeCell ref="D18:I18"/>
    <mergeCell ref="D8:E8"/>
    <mergeCell ref="D19:I19"/>
    <mergeCell ref="D26:I26"/>
    <mergeCell ref="K21:P21"/>
    <mergeCell ref="K22:P22"/>
    <mergeCell ref="D21:I21"/>
    <mergeCell ref="K23:P23"/>
    <mergeCell ref="K24:P24"/>
    <mergeCell ref="K25:P25"/>
    <mergeCell ref="K26:P26"/>
    <mergeCell ref="D23:I23"/>
    <mergeCell ref="D24:I24"/>
    <mergeCell ref="D25:I25"/>
    <mergeCell ref="A45:A76"/>
    <mergeCell ref="G41:G43"/>
    <mergeCell ref="H41:H43"/>
    <mergeCell ref="D28:I32"/>
    <mergeCell ref="K28:P32"/>
    <mergeCell ref="B13:C19"/>
    <mergeCell ref="B21:C27"/>
    <mergeCell ref="B63:C67"/>
    <mergeCell ref="D63:I67"/>
    <mergeCell ref="K63:P67"/>
    <mergeCell ref="B68:B73"/>
    <mergeCell ref="D68:F68"/>
    <mergeCell ref="K68:M68"/>
    <mergeCell ref="B45:I45"/>
    <mergeCell ref="B50:I50"/>
    <mergeCell ref="B51:I51"/>
    <mergeCell ref="K13:P13"/>
    <mergeCell ref="K14:P14"/>
    <mergeCell ref="D22:I22"/>
    <mergeCell ref="B52:I52"/>
    <mergeCell ref="K45:P45"/>
    <mergeCell ref="B75:F76"/>
    <mergeCell ref="K15:P15"/>
    <mergeCell ref="K60:P60"/>
    <mergeCell ref="A78:A108"/>
    <mergeCell ref="B95:C99"/>
    <mergeCell ref="D95:I99"/>
    <mergeCell ref="K95:P99"/>
    <mergeCell ref="B100:B105"/>
    <mergeCell ref="D100:F100"/>
    <mergeCell ref="K100:M100"/>
    <mergeCell ref="B107:F108"/>
    <mergeCell ref="K107:L107"/>
    <mergeCell ref="M107:N107"/>
    <mergeCell ref="O107:P107"/>
    <mergeCell ref="B78:I78"/>
    <mergeCell ref="B79:I79"/>
    <mergeCell ref="B80:I80"/>
    <mergeCell ref="B85:I85"/>
    <mergeCell ref="B91:I91"/>
    <mergeCell ref="B92:I92"/>
    <mergeCell ref="B93:I93"/>
    <mergeCell ref="K78:P78"/>
    <mergeCell ref="K79:P79"/>
    <mergeCell ref="K80:P80"/>
    <mergeCell ref="K91:P91"/>
    <mergeCell ref="B86:I86"/>
    <mergeCell ref="K86:P86"/>
    <mergeCell ref="A110:A140"/>
    <mergeCell ref="B127:C131"/>
    <mergeCell ref="D127:I131"/>
    <mergeCell ref="K127:P131"/>
    <mergeCell ref="B132:B137"/>
    <mergeCell ref="D132:F132"/>
    <mergeCell ref="K132:M132"/>
    <mergeCell ref="B139:F140"/>
    <mergeCell ref="K139:L139"/>
    <mergeCell ref="M139:N139"/>
    <mergeCell ref="O139:P139"/>
    <mergeCell ref="K110:P110"/>
    <mergeCell ref="K111:P111"/>
    <mergeCell ref="K115:P115"/>
    <mergeCell ref="B125:I125"/>
    <mergeCell ref="K116:P116"/>
    <mergeCell ref="K123:P123"/>
    <mergeCell ref="K124:P124"/>
    <mergeCell ref="K125:P125"/>
    <mergeCell ref="B113:I113"/>
    <mergeCell ref="K113:P113"/>
    <mergeCell ref="B114:I114"/>
    <mergeCell ref="K114:P114"/>
    <mergeCell ref="B120:I120"/>
    <mergeCell ref="A142:A172"/>
    <mergeCell ref="B159:C163"/>
    <mergeCell ref="D159:I163"/>
    <mergeCell ref="K159:P163"/>
    <mergeCell ref="B164:B169"/>
    <mergeCell ref="D164:F164"/>
    <mergeCell ref="K164:M164"/>
    <mergeCell ref="B171:F172"/>
    <mergeCell ref="K171:L171"/>
    <mergeCell ref="M171:N171"/>
    <mergeCell ref="O171:P171"/>
    <mergeCell ref="B142:I142"/>
    <mergeCell ref="B147:I147"/>
    <mergeCell ref="B148:I148"/>
    <mergeCell ref="K157:P157"/>
    <mergeCell ref="B154:I154"/>
    <mergeCell ref="B156:I156"/>
    <mergeCell ref="K142:P142"/>
    <mergeCell ref="K147:P147"/>
    <mergeCell ref="K148:P148"/>
    <mergeCell ref="K154:P154"/>
    <mergeCell ref="B155:I155"/>
    <mergeCell ref="K155:P155"/>
    <mergeCell ref="B146:I146"/>
    <mergeCell ref="A2:H2"/>
    <mergeCell ref="I2:P2"/>
    <mergeCell ref="K12:P12"/>
    <mergeCell ref="M40:N40"/>
    <mergeCell ref="O40:P40"/>
    <mergeCell ref="A10:P10"/>
    <mergeCell ref="B12:C12"/>
    <mergeCell ref="B28:C32"/>
    <mergeCell ref="B33:B38"/>
    <mergeCell ref="B40:F43"/>
    <mergeCell ref="K40:L40"/>
    <mergeCell ref="D33:F33"/>
    <mergeCell ref="K16:P16"/>
    <mergeCell ref="K17:P17"/>
    <mergeCell ref="K18:P18"/>
    <mergeCell ref="K19:P19"/>
    <mergeCell ref="K33:M33"/>
    <mergeCell ref="K11:P11"/>
    <mergeCell ref="D11:I11"/>
    <mergeCell ref="D12:I12"/>
    <mergeCell ref="D13:I13"/>
    <mergeCell ref="D4:E4"/>
    <mergeCell ref="D5:E5"/>
    <mergeCell ref="A13:A43"/>
    <mergeCell ref="K88:P88"/>
    <mergeCell ref="B89:I89"/>
    <mergeCell ref="K89:P89"/>
    <mergeCell ref="B90:I90"/>
    <mergeCell ref="K90:P90"/>
    <mergeCell ref="B118:I118"/>
    <mergeCell ref="K118:P118"/>
    <mergeCell ref="B119:I119"/>
    <mergeCell ref="K119:P119"/>
    <mergeCell ref="K120:P120"/>
    <mergeCell ref="B121:I121"/>
    <mergeCell ref="K121:P121"/>
    <mergeCell ref="B122:I122"/>
    <mergeCell ref="K122:P122"/>
    <mergeCell ref="G164:I164"/>
    <mergeCell ref="N164:P164"/>
    <mergeCell ref="B149:I149"/>
    <mergeCell ref="K149:P149"/>
    <mergeCell ref="B150:I150"/>
    <mergeCell ref="K150:P150"/>
    <mergeCell ref="B151:I151"/>
    <mergeCell ref="K151:P151"/>
    <mergeCell ref="B152:I152"/>
    <mergeCell ref="K152:P152"/>
    <mergeCell ref="B153:I153"/>
    <mergeCell ref="K153:P153"/>
    <mergeCell ref="K156:P156"/>
    <mergeCell ref="K146:P146"/>
  </mergeCells>
  <phoneticPr fontId="20" type="noConversion"/>
  <conditionalFormatting sqref="D166">
    <cfRule type="containsText" dxfId="907" priority="223" operator="containsText" text="X">
      <formula>NOT(ISERROR(SEARCH("X",D166)))</formula>
    </cfRule>
  </conditionalFormatting>
  <conditionalFormatting sqref="E166">
    <cfRule type="containsText" dxfId="906" priority="222" operator="containsText" text="x">
      <formula>NOT(ISERROR(SEARCH("x",E166)))</formula>
    </cfRule>
  </conditionalFormatting>
  <conditionalFormatting sqref="F166">
    <cfRule type="containsText" dxfId="905" priority="221" operator="containsText" text="X">
      <formula>NOT(ISERROR(SEARCH("X",F166)))</formula>
    </cfRule>
  </conditionalFormatting>
  <conditionalFormatting sqref="G166">
    <cfRule type="containsText" dxfId="904" priority="220" operator="containsText" text="x">
      <formula>NOT(ISERROR(SEARCH("x",G166)))</formula>
    </cfRule>
  </conditionalFormatting>
  <conditionalFormatting sqref="H166">
    <cfRule type="containsText" dxfId="903" priority="219" operator="containsText" text="x">
      <formula>NOT(ISERROR(SEARCH("x",H166)))</formula>
    </cfRule>
  </conditionalFormatting>
  <conditionalFormatting sqref="I166">
    <cfRule type="containsText" dxfId="902" priority="218" operator="containsText" text="x">
      <formula>NOT(ISERROR(SEARCH("x",I166)))</formula>
    </cfRule>
  </conditionalFormatting>
  <conditionalFormatting sqref="D167:D169">
    <cfRule type="containsText" dxfId="901" priority="217" operator="containsText" text="X">
      <formula>NOT(ISERROR(SEARCH("X",D167)))</formula>
    </cfRule>
  </conditionalFormatting>
  <conditionalFormatting sqref="E167:E169">
    <cfRule type="containsText" dxfId="900" priority="216" operator="containsText" text="x">
      <formula>NOT(ISERROR(SEARCH("x",E167)))</formula>
    </cfRule>
  </conditionalFormatting>
  <conditionalFormatting sqref="F167:F169">
    <cfRule type="containsText" dxfId="899" priority="215" operator="containsText" text="X">
      <formula>NOT(ISERROR(SEARCH("X",F167)))</formula>
    </cfRule>
  </conditionalFormatting>
  <conditionalFormatting sqref="G167:G169">
    <cfRule type="containsText" dxfId="898" priority="214" operator="containsText" text="x">
      <formula>NOT(ISERROR(SEARCH("x",G167)))</formula>
    </cfRule>
  </conditionalFormatting>
  <conditionalFormatting sqref="H167:H169">
    <cfRule type="containsText" dxfId="897" priority="213" operator="containsText" text="x">
      <formula>NOT(ISERROR(SEARCH("x",H167)))</formula>
    </cfRule>
  </conditionalFormatting>
  <conditionalFormatting sqref="I167:I169">
    <cfRule type="containsText" dxfId="896" priority="212" operator="containsText" text="x">
      <formula>NOT(ISERROR(SEARCH("x",I167)))</formula>
    </cfRule>
  </conditionalFormatting>
  <conditionalFormatting sqref="N166">
    <cfRule type="containsText" dxfId="895" priority="208" operator="containsText" text="x">
      <formula>NOT(ISERROR(SEARCH("x",N166)))</formula>
    </cfRule>
  </conditionalFormatting>
  <conditionalFormatting sqref="O166">
    <cfRule type="containsText" dxfId="894" priority="207" operator="containsText" text="x">
      <formula>NOT(ISERROR(SEARCH("x",O166)))</formula>
    </cfRule>
  </conditionalFormatting>
  <conditionalFormatting sqref="P166">
    <cfRule type="containsText" dxfId="893" priority="206" operator="containsText" text="x">
      <formula>NOT(ISERROR(SEARCH("x",P166)))</formula>
    </cfRule>
  </conditionalFormatting>
  <conditionalFormatting sqref="N167:N169">
    <cfRule type="containsText" dxfId="892" priority="202" operator="containsText" text="x">
      <formula>NOT(ISERROR(SEARCH("x",N167)))</formula>
    </cfRule>
  </conditionalFormatting>
  <conditionalFormatting sqref="O167:O169">
    <cfRule type="containsText" dxfId="891" priority="201" operator="containsText" text="x">
      <formula>NOT(ISERROR(SEARCH("x",O167)))</formula>
    </cfRule>
  </conditionalFormatting>
  <conditionalFormatting sqref="P167:P169">
    <cfRule type="containsText" dxfId="890" priority="200" operator="containsText" text="x">
      <formula>NOT(ISERROR(SEARCH("x",P167)))</formula>
    </cfRule>
  </conditionalFormatting>
  <conditionalFormatting sqref="E134">
    <cfRule type="containsText" dxfId="889" priority="198" operator="containsText" text="x">
      <formula>NOT(ISERROR(SEARCH("x",E134)))</formula>
    </cfRule>
  </conditionalFormatting>
  <conditionalFormatting sqref="F134">
    <cfRule type="containsText" dxfId="888" priority="197" operator="containsText" text="X">
      <formula>NOT(ISERROR(SEARCH("X",F134)))</formula>
    </cfRule>
  </conditionalFormatting>
  <conditionalFormatting sqref="G134">
    <cfRule type="containsText" dxfId="887" priority="196" operator="containsText" text="x">
      <formula>NOT(ISERROR(SEARCH("x",G134)))</formula>
    </cfRule>
  </conditionalFormatting>
  <conditionalFormatting sqref="H134">
    <cfRule type="containsText" dxfId="886" priority="195" operator="containsText" text="x">
      <formula>NOT(ISERROR(SEARCH("x",H134)))</formula>
    </cfRule>
  </conditionalFormatting>
  <conditionalFormatting sqref="I134">
    <cfRule type="containsText" dxfId="885" priority="194" operator="containsText" text="x">
      <formula>NOT(ISERROR(SEARCH("x",I134)))</formula>
    </cfRule>
  </conditionalFormatting>
  <conditionalFormatting sqref="D135:D137">
    <cfRule type="containsText" dxfId="884" priority="193" operator="containsText" text="X">
      <formula>NOT(ISERROR(SEARCH("X",D135)))</formula>
    </cfRule>
  </conditionalFormatting>
  <conditionalFormatting sqref="E135:E137">
    <cfRule type="containsText" dxfId="883" priority="192" operator="containsText" text="x">
      <formula>NOT(ISERROR(SEARCH("x",E135)))</formula>
    </cfRule>
  </conditionalFormatting>
  <conditionalFormatting sqref="F135:F137">
    <cfRule type="containsText" dxfId="882" priority="191" operator="containsText" text="X">
      <formula>NOT(ISERROR(SEARCH("X",F135)))</formula>
    </cfRule>
  </conditionalFormatting>
  <conditionalFormatting sqref="G135:G137">
    <cfRule type="containsText" dxfId="881" priority="190" operator="containsText" text="x">
      <formula>NOT(ISERROR(SEARCH("x",G135)))</formula>
    </cfRule>
  </conditionalFormatting>
  <conditionalFormatting sqref="H135:H137">
    <cfRule type="containsText" dxfId="880" priority="189" operator="containsText" text="x">
      <formula>NOT(ISERROR(SEARCH("x",H135)))</formula>
    </cfRule>
  </conditionalFormatting>
  <conditionalFormatting sqref="I135:I137">
    <cfRule type="containsText" dxfId="879" priority="188" operator="containsText" text="x">
      <formula>NOT(ISERROR(SEARCH("x",I135)))</formula>
    </cfRule>
  </conditionalFormatting>
  <conditionalFormatting sqref="N134">
    <cfRule type="containsText" dxfId="878" priority="184" operator="containsText" text="x">
      <formula>NOT(ISERROR(SEARCH("x",N134)))</formula>
    </cfRule>
  </conditionalFormatting>
  <conditionalFormatting sqref="O134">
    <cfRule type="containsText" dxfId="877" priority="183" operator="containsText" text="x">
      <formula>NOT(ISERROR(SEARCH("x",O134)))</formula>
    </cfRule>
  </conditionalFormatting>
  <conditionalFormatting sqref="P134">
    <cfRule type="containsText" dxfId="876" priority="182" operator="containsText" text="x">
      <formula>NOT(ISERROR(SEARCH("x",P134)))</formula>
    </cfRule>
  </conditionalFormatting>
  <conditionalFormatting sqref="N135:N137">
    <cfRule type="containsText" dxfId="875" priority="178" operator="containsText" text="x">
      <formula>NOT(ISERROR(SEARCH("x",N135)))</formula>
    </cfRule>
  </conditionalFormatting>
  <conditionalFormatting sqref="O135:O137">
    <cfRule type="containsText" dxfId="874" priority="177" operator="containsText" text="x">
      <formula>NOT(ISERROR(SEARCH("x",O135)))</formula>
    </cfRule>
  </conditionalFormatting>
  <conditionalFormatting sqref="P135:P137">
    <cfRule type="containsText" dxfId="873" priority="176" operator="containsText" text="x">
      <formula>NOT(ISERROR(SEARCH("x",P135)))</formula>
    </cfRule>
  </conditionalFormatting>
  <conditionalFormatting sqref="D102">
    <cfRule type="containsText" dxfId="872" priority="175" operator="containsText" text="X">
      <formula>NOT(ISERROR(SEARCH("X",D102)))</formula>
    </cfRule>
  </conditionalFormatting>
  <conditionalFormatting sqref="E102">
    <cfRule type="containsText" dxfId="871" priority="174" operator="containsText" text="x">
      <formula>NOT(ISERROR(SEARCH("x",E102)))</formula>
    </cfRule>
  </conditionalFormatting>
  <conditionalFormatting sqref="F102">
    <cfRule type="containsText" dxfId="870" priority="173" operator="containsText" text="X">
      <formula>NOT(ISERROR(SEARCH("X",F102)))</formula>
    </cfRule>
  </conditionalFormatting>
  <conditionalFormatting sqref="G102">
    <cfRule type="containsText" dxfId="869" priority="172" operator="containsText" text="x">
      <formula>NOT(ISERROR(SEARCH("x",G102)))</formula>
    </cfRule>
  </conditionalFormatting>
  <conditionalFormatting sqref="H102">
    <cfRule type="containsText" dxfId="868" priority="171" operator="containsText" text="x">
      <formula>NOT(ISERROR(SEARCH("x",H102)))</formula>
    </cfRule>
  </conditionalFormatting>
  <conditionalFormatting sqref="I102">
    <cfRule type="containsText" dxfId="867" priority="170" operator="containsText" text="x">
      <formula>NOT(ISERROR(SEARCH("x",I102)))</formula>
    </cfRule>
  </conditionalFormatting>
  <conditionalFormatting sqref="D103:D105">
    <cfRule type="containsText" dxfId="866" priority="169" operator="containsText" text="X">
      <formula>NOT(ISERROR(SEARCH("X",D103)))</formula>
    </cfRule>
  </conditionalFormatting>
  <conditionalFormatting sqref="E103:E105">
    <cfRule type="containsText" dxfId="865" priority="168" operator="containsText" text="x">
      <formula>NOT(ISERROR(SEARCH("x",E103)))</formula>
    </cfRule>
  </conditionalFormatting>
  <conditionalFormatting sqref="F103:F105">
    <cfRule type="containsText" dxfId="864" priority="167" operator="containsText" text="X">
      <formula>NOT(ISERROR(SEARCH("X",F103)))</formula>
    </cfRule>
  </conditionalFormatting>
  <conditionalFormatting sqref="G103:G105">
    <cfRule type="containsText" dxfId="863" priority="166" operator="containsText" text="x">
      <formula>NOT(ISERROR(SEARCH("x",G103)))</formula>
    </cfRule>
  </conditionalFormatting>
  <conditionalFormatting sqref="H103:H105">
    <cfRule type="containsText" dxfId="862" priority="165" operator="containsText" text="x">
      <formula>NOT(ISERROR(SEARCH("x",H103)))</formula>
    </cfRule>
  </conditionalFormatting>
  <conditionalFormatting sqref="I103:I105">
    <cfRule type="containsText" dxfId="861" priority="164" operator="containsText" text="x">
      <formula>NOT(ISERROR(SEARCH("x",I103)))</formula>
    </cfRule>
  </conditionalFormatting>
  <conditionalFormatting sqref="N102">
    <cfRule type="containsText" dxfId="860" priority="160" operator="containsText" text="x">
      <formula>NOT(ISERROR(SEARCH("x",N102)))</formula>
    </cfRule>
  </conditionalFormatting>
  <conditionalFormatting sqref="O102">
    <cfRule type="containsText" dxfId="859" priority="159" operator="containsText" text="x">
      <formula>NOT(ISERROR(SEARCH("x",O102)))</formula>
    </cfRule>
  </conditionalFormatting>
  <conditionalFormatting sqref="P102">
    <cfRule type="containsText" dxfId="858" priority="158" operator="containsText" text="x">
      <formula>NOT(ISERROR(SEARCH("x",P102)))</formula>
    </cfRule>
  </conditionalFormatting>
  <conditionalFormatting sqref="N103:N105">
    <cfRule type="containsText" dxfId="857" priority="154" operator="containsText" text="x">
      <formula>NOT(ISERROR(SEARCH("x",N103)))</formula>
    </cfRule>
  </conditionalFormatting>
  <conditionalFormatting sqref="O103:O105">
    <cfRule type="containsText" dxfId="856" priority="153" operator="containsText" text="x">
      <formula>NOT(ISERROR(SEARCH("x",O103)))</formula>
    </cfRule>
  </conditionalFormatting>
  <conditionalFormatting sqref="P103:P105">
    <cfRule type="containsText" dxfId="855" priority="152" operator="containsText" text="x">
      <formula>NOT(ISERROR(SEARCH("x",P103)))</formula>
    </cfRule>
  </conditionalFormatting>
  <conditionalFormatting sqref="D70">
    <cfRule type="containsText" dxfId="854" priority="151" operator="containsText" text="X">
      <formula>NOT(ISERROR(SEARCH("X",D70)))</formula>
    </cfRule>
  </conditionalFormatting>
  <conditionalFormatting sqref="E70">
    <cfRule type="containsText" dxfId="853" priority="150" operator="containsText" text="x">
      <formula>NOT(ISERROR(SEARCH("x",E70)))</formula>
    </cfRule>
  </conditionalFormatting>
  <conditionalFormatting sqref="F70">
    <cfRule type="containsText" dxfId="852" priority="149" operator="containsText" text="X">
      <formula>NOT(ISERROR(SEARCH("X",F70)))</formula>
    </cfRule>
  </conditionalFormatting>
  <conditionalFormatting sqref="G70">
    <cfRule type="containsText" dxfId="851" priority="148" operator="containsText" text="x">
      <formula>NOT(ISERROR(SEARCH("x",G70)))</formula>
    </cfRule>
  </conditionalFormatting>
  <conditionalFormatting sqref="H70">
    <cfRule type="containsText" dxfId="850" priority="147" operator="containsText" text="x">
      <formula>NOT(ISERROR(SEARCH("x",H70)))</formula>
    </cfRule>
  </conditionalFormatting>
  <conditionalFormatting sqref="I70">
    <cfRule type="containsText" dxfId="849" priority="146" operator="containsText" text="x">
      <formula>NOT(ISERROR(SEARCH("x",I70)))</formula>
    </cfRule>
  </conditionalFormatting>
  <conditionalFormatting sqref="D71:D73">
    <cfRule type="containsText" dxfId="848" priority="145" operator="containsText" text="X">
      <formula>NOT(ISERROR(SEARCH("X",D71)))</formula>
    </cfRule>
  </conditionalFormatting>
  <conditionalFormatting sqref="E71:E73">
    <cfRule type="containsText" dxfId="847" priority="144" operator="containsText" text="x">
      <formula>NOT(ISERROR(SEARCH("x",E71)))</formula>
    </cfRule>
  </conditionalFormatting>
  <conditionalFormatting sqref="F71:F73">
    <cfRule type="containsText" dxfId="846" priority="143" operator="containsText" text="X">
      <formula>NOT(ISERROR(SEARCH("X",F71)))</formula>
    </cfRule>
  </conditionalFormatting>
  <conditionalFormatting sqref="G71:G73">
    <cfRule type="containsText" dxfId="845" priority="142" operator="containsText" text="x">
      <formula>NOT(ISERROR(SEARCH("x",G71)))</formula>
    </cfRule>
  </conditionalFormatting>
  <conditionalFormatting sqref="H71:H73">
    <cfRule type="containsText" dxfId="844" priority="141" operator="containsText" text="x">
      <formula>NOT(ISERROR(SEARCH("x",H71)))</formula>
    </cfRule>
  </conditionalFormatting>
  <conditionalFormatting sqref="I71:I73">
    <cfRule type="containsText" dxfId="843" priority="140" operator="containsText" text="x">
      <formula>NOT(ISERROR(SEARCH("x",I71)))</formula>
    </cfRule>
  </conditionalFormatting>
  <conditionalFormatting sqref="N70">
    <cfRule type="containsText" dxfId="842" priority="136" operator="containsText" text="x">
      <formula>NOT(ISERROR(SEARCH("x",N70)))</formula>
    </cfRule>
  </conditionalFormatting>
  <conditionalFormatting sqref="O70">
    <cfRule type="containsText" dxfId="841" priority="135" operator="containsText" text="x">
      <formula>NOT(ISERROR(SEARCH("x",O70)))</formula>
    </cfRule>
  </conditionalFormatting>
  <conditionalFormatting sqref="P70">
    <cfRule type="containsText" dxfId="840" priority="134" operator="containsText" text="x">
      <formula>NOT(ISERROR(SEARCH("x",P70)))</formula>
    </cfRule>
  </conditionalFormatting>
  <conditionalFormatting sqref="N71:N73">
    <cfRule type="containsText" dxfId="839" priority="130" operator="containsText" text="x">
      <formula>NOT(ISERROR(SEARCH("x",N71)))</formula>
    </cfRule>
  </conditionalFormatting>
  <conditionalFormatting sqref="O71:O73">
    <cfRule type="containsText" dxfId="838" priority="129" operator="containsText" text="x">
      <formula>NOT(ISERROR(SEARCH("x",O71)))</formula>
    </cfRule>
  </conditionalFormatting>
  <conditionalFormatting sqref="P71:P73">
    <cfRule type="containsText" dxfId="837" priority="128" operator="containsText" text="x">
      <formula>NOT(ISERROR(SEARCH("x",P71)))</formula>
    </cfRule>
  </conditionalFormatting>
  <conditionalFormatting sqref="D35:D38">
    <cfRule type="containsText" dxfId="836" priority="127" operator="containsText" text="X">
      <formula>NOT(ISERROR(SEARCH("X",D35)))</formula>
    </cfRule>
  </conditionalFormatting>
  <conditionalFormatting sqref="E35:F35">
    <cfRule type="containsText" dxfId="835" priority="126" operator="containsText" text="x">
      <formula>NOT(ISERROR(SEARCH("x",E35)))</formula>
    </cfRule>
  </conditionalFormatting>
  <conditionalFormatting sqref="G35">
    <cfRule type="containsText" dxfId="834" priority="124" operator="containsText" text="x">
      <formula>NOT(ISERROR(SEARCH("x",G35)))</formula>
    </cfRule>
  </conditionalFormatting>
  <conditionalFormatting sqref="H35">
    <cfRule type="containsText" dxfId="833" priority="123" operator="containsText" text="x">
      <formula>NOT(ISERROR(SEARCH("x",H35)))</formula>
    </cfRule>
  </conditionalFormatting>
  <conditionalFormatting sqref="I35">
    <cfRule type="containsText" dxfId="832" priority="122" operator="containsText" text="x">
      <formula>NOT(ISERROR(SEARCH("x",I35)))</formula>
    </cfRule>
  </conditionalFormatting>
  <conditionalFormatting sqref="E36:E38 F36">
    <cfRule type="containsText" dxfId="831" priority="120" operator="containsText" text="x">
      <formula>NOT(ISERROR(SEARCH("x",E36)))</formula>
    </cfRule>
  </conditionalFormatting>
  <conditionalFormatting sqref="F36:F38">
    <cfRule type="containsText" dxfId="830" priority="119" operator="containsText" text="X">
      <formula>NOT(ISERROR(SEARCH("X",F36)))</formula>
    </cfRule>
  </conditionalFormatting>
  <conditionalFormatting sqref="G36:G38">
    <cfRule type="containsText" dxfId="829" priority="118" operator="containsText" text="x">
      <formula>NOT(ISERROR(SEARCH("x",G36)))</formula>
    </cfRule>
  </conditionalFormatting>
  <conditionalFormatting sqref="H36:H38">
    <cfRule type="containsText" dxfId="828" priority="117" operator="containsText" text="x">
      <formula>NOT(ISERROR(SEARCH("x",H36)))</formula>
    </cfRule>
  </conditionalFormatting>
  <conditionalFormatting sqref="I36:I38">
    <cfRule type="containsText" dxfId="827" priority="116" operator="containsText" text="x">
      <formula>NOT(ISERROR(SEARCH("x",I36)))</formula>
    </cfRule>
  </conditionalFormatting>
  <conditionalFormatting sqref="M135:M137">
    <cfRule type="containsText" dxfId="826" priority="47" operator="containsText" text="X">
      <formula>NOT(ISERROR(SEARCH("X",M135)))</formula>
    </cfRule>
  </conditionalFormatting>
  <conditionalFormatting sqref="N35">
    <cfRule type="containsText" dxfId="825" priority="112" operator="containsText" text="x">
      <formula>NOT(ISERROR(SEARCH("x",N35)))</formula>
    </cfRule>
  </conditionalFormatting>
  <conditionalFormatting sqref="O35">
    <cfRule type="containsText" dxfId="824" priority="111" operator="containsText" text="x">
      <formula>NOT(ISERROR(SEARCH("x",O35)))</formula>
    </cfRule>
  </conditionalFormatting>
  <conditionalFormatting sqref="P35">
    <cfRule type="containsText" dxfId="823" priority="110" operator="containsText" text="x">
      <formula>NOT(ISERROR(SEARCH("x",P35)))</formula>
    </cfRule>
  </conditionalFormatting>
  <conditionalFormatting sqref="F167:F169">
    <cfRule type="containsText" dxfId="822" priority="41" operator="containsText" text="X">
      <formula>NOT(ISERROR(SEARCH("X",F167)))</formula>
    </cfRule>
  </conditionalFormatting>
  <conditionalFormatting sqref="N36:N38">
    <cfRule type="containsText" dxfId="821" priority="106" operator="containsText" text="x">
      <formula>NOT(ISERROR(SEARCH("x",N36)))</formula>
    </cfRule>
  </conditionalFormatting>
  <conditionalFormatting sqref="O36:O38">
    <cfRule type="containsText" dxfId="820" priority="105" operator="containsText" text="x">
      <formula>NOT(ISERROR(SEARCH("x",O36)))</formula>
    </cfRule>
  </conditionalFormatting>
  <conditionalFormatting sqref="P36:P38">
    <cfRule type="containsText" dxfId="819" priority="104" operator="containsText" text="x">
      <formula>NOT(ISERROR(SEARCH("x",P36)))</formula>
    </cfRule>
  </conditionalFormatting>
  <conditionalFormatting sqref="D13:I17 B110:I124">
    <cfRule type="containsText" dxfId="818" priority="103" operator="containsText" text="Score de Fiabilité nul-F0">
      <formula>NOT(ISERROR(SEARCH("Score de Fiabilité nul-F0",B13)))</formula>
    </cfRule>
  </conditionalFormatting>
  <conditionalFormatting sqref="B78:I92">
    <cfRule type="containsText" dxfId="817" priority="99" operator="containsText" text="Score de Fiabilité nul-F0">
      <formula>NOT(ISERROR(SEARCH("Score de Fiabilité nul-F0",B78)))</formula>
    </cfRule>
  </conditionalFormatting>
  <conditionalFormatting sqref="B45:I59">
    <cfRule type="containsText" dxfId="816" priority="98" operator="containsText" text="Score de Fiabilité nul-F0">
      <formula>NOT(ISERROR(SEARCH("Score de Fiabilité nul-F0",B45)))</formula>
    </cfRule>
  </conditionalFormatting>
  <conditionalFormatting sqref="B142:I156">
    <cfRule type="containsText" dxfId="815" priority="95" operator="containsText" text="Score de Fiabilité nul-F0">
      <formula>NOT(ISERROR(SEARCH("Score de Fiabilité nul-F0",B142)))</formula>
    </cfRule>
  </conditionalFormatting>
  <conditionalFormatting sqref="D21:I25">
    <cfRule type="containsText" dxfId="814" priority="89" operator="containsText" text="Score de Fiabilité nul-F0">
      <formula>NOT(ISERROR(SEARCH("Score de Fiabilité nul-F0",D21)))</formula>
    </cfRule>
  </conditionalFormatting>
  <conditionalFormatting sqref="K34:M34">
    <cfRule type="containsText" dxfId="813" priority="81" operator="containsText" text="N/A">
      <formula>NOT(ISERROR(SEARCH("N/A",K34)))</formula>
    </cfRule>
    <cfRule type="cellIs" dxfId="812" priority="82" operator="equal">
      <formula>"Score de Fiabilité F3 exigé"</formula>
    </cfRule>
  </conditionalFormatting>
  <conditionalFormatting sqref="K35:K38">
    <cfRule type="containsText" dxfId="811" priority="80" operator="containsText" text="X">
      <formula>NOT(ISERROR(SEARCH("X",K35)))</formula>
    </cfRule>
  </conditionalFormatting>
  <conditionalFormatting sqref="L35">
    <cfRule type="containsText" dxfId="810" priority="79" operator="containsText" text="x">
      <formula>NOT(ISERROR(SEARCH("x",L35)))</formula>
    </cfRule>
  </conditionalFormatting>
  <conditionalFormatting sqref="L36:L38">
    <cfRule type="containsText" dxfId="809" priority="78" operator="containsText" text="x">
      <formula>NOT(ISERROR(SEARCH("x",L36)))</formula>
    </cfRule>
  </conditionalFormatting>
  <conditionalFormatting sqref="M36:M38">
    <cfRule type="containsText" dxfId="808" priority="77" operator="containsText" text="X">
      <formula>NOT(ISERROR(SEARCH("X",M36)))</formula>
    </cfRule>
  </conditionalFormatting>
  <conditionalFormatting sqref="K35:M38">
    <cfRule type="containsText" dxfId="807" priority="75" operator="containsText" text="N/A">
      <formula>NOT(ISERROR(SEARCH("N/A",K35)))</formula>
    </cfRule>
    <cfRule type="cellIs" dxfId="806" priority="76" operator="equal">
      <formula>"Score de Fiabilité F3 exigé"</formula>
    </cfRule>
  </conditionalFormatting>
  <conditionalFormatting sqref="M35">
    <cfRule type="containsText" dxfId="805" priority="13" operator="containsText" text="X">
      <formula>NOT(ISERROR(SEARCH("X",M35)))</formula>
    </cfRule>
  </conditionalFormatting>
  <conditionalFormatting sqref="D70:D73">
    <cfRule type="containsText" dxfId="804" priority="74" operator="containsText" text="X">
      <formula>NOT(ISERROR(SEARCH("X",D70)))</formula>
    </cfRule>
  </conditionalFormatting>
  <conditionalFormatting sqref="E70">
    <cfRule type="containsText" dxfId="803" priority="73" operator="containsText" text="x">
      <formula>NOT(ISERROR(SEARCH("x",E70)))</formula>
    </cfRule>
  </conditionalFormatting>
  <conditionalFormatting sqref="E71:E73">
    <cfRule type="containsText" dxfId="802" priority="72" operator="containsText" text="x">
      <formula>NOT(ISERROR(SEARCH("x",E71)))</formula>
    </cfRule>
  </conditionalFormatting>
  <conditionalFormatting sqref="F71:F73">
    <cfRule type="containsText" dxfId="801" priority="71" operator="containsText" text="X">
      <formula>NOT(ISERROR(SEARCH("X",F71)))</formula>
    </cfRule>
  </conditionalFormatting>
  <conditionalFormatting sqref="K70:K73">
    <cfRule type="containsText" dxfId="800" priority="70" operator="containsText" text="X">
      <formula>NOT(ISERROR(SEARCH("X",K70)))</formula>
    </cfRule>
  </conditionalFormatting>
  <conditionalFormatting sqref="L70">
    <cfRule type="containsText" dxfId="799" priority="69" operator="containsText" text="x">
      <formula>NOT(ISERROR(SEARCH("x",L70)))</formula>
    </cfRule>
  </conditionalFormatting>
  <conditionalFormatting sqref="L71:L73">
    <cfRule type="containsText" dxfId="798" priority="68" operator="containsText" text="x">
      <formula>NOT(ISERROR(SEARCH("x",L71)))</formula>
    </cfRule>
  </conditionalFormatting>
  <conditionalFormatting sqref="M71:M73">
    <cfRule type="containsText" dxfId="797" priority="67" operator="containsText" text="X">
      <formula>NOT(ISERROR(SEARCH("X",M71)))</formula>
    </cfRule>
  </conditionalFormatting>
  <conditionalFormatting sqref="K68:M73">
    <cfRule type="containsText" dxfId="796" priority="65" operator="containsText" text="N/A">
      <formula>NOT(ISERROR(SEARCH("N/A",K68)))</formula>
    </cfRule>
    <cfRule type="cellIs" dxfId="795" priority="66" operator="equal">
      <formula>"Score de Fiabilité F3 exigé"</formula>
    </cfRule>
  </conditionalFormatting>
  <conditionalFormatting sqref="D102:D105">
    <cfRule type="containsText" dxfId="794" priority="64" operator="containsText" text="X">
      <formula>NOT(ISERROR(SEARCH("X",D102)))</formula>
    </cfRule>
  </conditionalFormatting>
  <conditionalFormatting sqref="E102">
    <cfRule type="containsText" dxfId="793" priority="63" operator="containsText" text="x">
      <formula>NOT(ISERROR(SEARCH("x",E102)))</formula>
    </cfRule>
  </conditionalFormatting>
  <conditionalFormatting sqref="E103:E105">
    <cfRule type="containsText" dxfId="792" priority="62" operator="containsText" text="x">
      <formula>NOT(ISERROR(SEARCH("x",E103)))</formula>
    </cfRule>
  </conditionalFormatting>
  <conditionalFormatting sqref="F103:F105">
    <cfRule type="containsText" dxfId="791" priority="61" operator="containsText" text="X">
      <formula>NOT(ISERROR(SEARCH("X",F103)))</formula>
    </cfRule>
  </conditionalFormatting>
  <conditionalFormatting sqref="K102:K105">
    <cfRule type="containsText" dxfId="790" priority="60" operator="containsText" text="X">
      <formula>NOT(ISERROR(SEARCH("X",K102)))</formula>
    </cfRule>
  </conditionalFormatting>
  <conditionalFormatting sqref="L102">
    <cfRule type="containsText" dxfId="789" priority="59" operator="containsText" text="x">
      <formula>NOT(ISERROR(SEARCH("x",L102)))</formula>
    </cfRule>
  </conditionalFormatting>
  <conditionalFormatting sqref="L103:L105">
    <cfRule type="containsText" dxfId="788" priority="58" operator="containsText" text="x">
      <formula>NOT(ISERROR(SEARCH("x",L103)))</formula>
    </cfRule>
  </conditionalFormatting>
  <conditionalFormatting sqref="M103:M105">
    <cfRule type="containsText" dxfId="787" priority="57" operator="containsText" text="X">
      <formula>NOT(ISERROR(SEARCH("X",M103)))</formula>
    </cfRule>
  </conditionalFormatting>
  <conditionalFormatting sqref="K100:M101 K103:M105 K102:L102">
    <cfRule type="containsText" dxfId="786" priority="55" operator="containsText" text="N/A">
      <formula>NOT(ISERROR(SEARCH("N/A",K100)))</formula>
    </cfRule>
    <cfRule type="cellIs" dxfId="785" priority="56" operator="equal">
      <formula>"Score de Fiabilité F3 exigé"</formula>
    </cfRule>
  </conditionalFormatting>
  <conditionalFormatting sqref="D134:D137">
    <cfRule type="containsText" dxfId="784" priority="54" operator="containsText" text="X">
      <formula>NOT(ISERROR(SEARCH("X",D134)))</formula>
    </cfRule>
  </conditionalFormatting>
  <conditionalFormatting sqref="E134">
    <cfRule type="containsText" dxfId="783" priority="53" operator="containsText" text="x">
      <formula>NOT(ISERROR(SEARCH("x",E134)))</formula>
    </cfRule>
  </conditionalFormatting>
  <conditionalFormatting sqref="E135:E137">
    <cfRule type="containsText" dxfId="782" priority="52" operator="containsText" text="x">
      <formula>NOT(ISERROR(SEARCH("x",E135)))</formula>
    </cfRule>
  </conditionalFormatting>
  <conditionalFormatting sqref="F135:F137">
    <cfRule type="containsText" dxfId="781" priority="51" operator="containsText" text="X">
      <formula>NOT(ISERROR(SEARCH("X",F135)))</formula>
    </cfRule>
  </conditionalFormatting>
  <conditionalFormatting sqref="K134:K137">
    <cfRule type="containsText" dxfId="780" priority="50" operator="containsText" text="X">
      <formula>NOT(ISERROR(SEARCH("X",K134)))</formula>
    </cfRule>
  </conditionalFormatting>
  <conditionalFormatting sqref="L134">
    <cfRule type="containsText" dxfId="779" priority="49" operator="containsText" text="x">
      <formula>NOT(ISERROR(SEARCH("x",L134)))</formula>
    </cfRule>
  </conditionalFormatting>
  <conditionalFormatting sqref="L135:L137">
    <cfRule type="containsText" dxfId="778" priority="48" operator="containsText" text="x">
      <formula>NOT(ISERROR(SEARCH("x",L135)))</formula>
    </cfRule>
  </conditionalFormatting>
  <conditionalFormatting sqref="K132:M133 K135:M137 K134:L134">
    <cfRule type="containsText" dxfId="777" priority="45" operator="containsText" text="N/A">
      <formula>NOT(ISERROR(SEARCH("N/A",K132)))</formula>
    </cfRule>
    <cfRule type="cellIs" dxfId="776" priority="46" operator="equal">
      <formula>"Score de Fiabilité F3 exigé"</formula>
    </cfRule>
  </conditionalFormatting>
  <conditionalFormatting sqref="D166:D169">
    <cfRule type="containsText" dxfId="775" priority="44" operator="containsText" text="X">
      <formula>NOT(ISERROR(SEARCH("X",D166)))</formula>
    </cfRule>
  </conditionalFormatting>
  <conditionalFormatting sqref="E166">
    <cfRule type="containsText" dxfId="774" priority="43" operator="containsText" text="x">
      <formula>NOT(ISERROR(SEARCH("x",E166)))</formula>
    </cfRule>
  </conditionalFormatting>
  <conditionalFormatting sqref="E167:E169">
    <cfRule type="containsText" dxfId="773" priority="42" operator="containsText" text="x">
      <formula>NOT(ISERROR(SEARCH("x",E167)))</formula>
    </cfRule>
  </conditionalFormatting>
  <conditionalFormatting sqref="K166:K169">
    <cfRule type="containsText" dxfId="772" priority="40" operator="containsText" text="X">
      <formula>NOT(ISERROR(SEARCH("X",K166)))</formula>
    </cfRule>
  </conditionalFormatting>
  <conditionalFormatting sqref="L166">
    <cfRule type="containsText" dxfId="771" priority="39" operator="containsText" text="x">
      <formula>NOT(ISERROR(SEARCH("x",L166)))</formula>
    </cfRule>
  </conditionalFormatting>
  <conditionalFormatting sqref="L167:L169">
    <cfRule type="containsText" dxfId="770" priority="38" operator="containsText" text="x">
      <formula>NOT(ISERROR(SEARCH("x",L167)))</formula>
    </cfRule>
  </conditionalFormatting>
  <conditionalFormatting sqref="M167:M169">
    <cfRule type="containsText" dxfId="769" priority="37" operator="containsText" text="X">
      <formula>NOT(ISERROR(SEARCH("X",M167)))</formula>
    </cfRule>
  </conditionalFormatting>
  <conditionalFormatting sqref="K164:M169">
    <cfRule type="containsText" dxfId="768" priority="35" operator="containsText" text="N/A">
      <formula>NOT(ISERROR(SEARCH("N/A",K164)))</formula>
    </cfRule>
    <cfRule type="cellIs" dxfId="767" priority="36" operator="equal">
      <formula>"Score de Fiabilité F3 exigé"</formula>
    </cfRule>
  </conditionalFormatting>
  <conditionalFormatting sqref="F166">
    <cfRule type="containsText" dxfId="766" priority="34" operator="containsText" text="X">
      <formula>NOT(ISERROR(SEARCH("X",F166)))</formula>
    </cfRule>
  </conditionalFormatting>
  <conditionalFormatting sqref="F166">
    <cfRule type="containsText" dxfId="765" priority="33" operator="containsText" text="X">
      <formula>NOT(ISERROR(SEARCH("X",F166)))</formula>
    </cfRule>
  </conditionalFormatting>
  <conditionalFormatting sqref="M166">
    <cfRule type="containsText" dxfId="764" priority="32" operator="containsText" text="X">
      <formula>NOT(ISERROR(SEARCH("X",M166)))</formula>
    </cfRule>
  </conditionalFormatting>
  <conditionalFormatting sqref="F134">
    <cfRule type="containsText" dxfId="763" priority="31" operator="containsText" text="X">
      <formula>NOT(ISERROR(SEARCH("X",F134)))</formula>
    </cfRule>
  </conditionalFormatting>
  <conditionalFormatting sqref="F134">
    <cfRule type="containsText" dxfId="762" priority="30" operator="containsText" text="X">
      <formula>NOT(ISERROR(SEARCH("X",F134)))</formula>
    </cfRule>
  </conditionalFormatting>
  <conditionalFormatting sqref="M134">
    <cfRule type="containsText" dxfId="761" priority="29" operator="containsText" text="X">
      <formula>NOT(ISERROR(SEARCH("X",M134)))</formula>
    </cfRule>
  </conditionalFormatting>
  <conditionalFormatting sqref="M134">
    <cfRule type="containsText" dxfId="760" priority="27" operator="containsText" text="N/A">
      <formula>NOT(ISERROR(SEARCH("N/A",M134)))</formula>
    </cfRule>
    <cfRule type="cellIs" dxfId="759" priority="28" operator="equal">
      <formula>"Score de Fiabilité F3 exigé"</formula>
    </cfRule>
  </conditionalFormatting>
  <conditionalFormatting sqref="M134">
    <cfRule type="containsText" dxfId="758" priority="26" operator="containsText" text="X">
      <formula>NOT(ISERROR(SEARCH("X",M134)))</formula>
    </cfRule>
  </conditionalFormatting>
  <conditionalFormatting sqref="M134">
    <cfRule type="containsText" dxfId="757" priority="25" operator="containsText" text="X">
      <formula>NOT(ISERROR(SEARCH("X",M134)))</formula>
    </cfRule>
  </conditionalFormatting>
  <conditionalFormatting sqref="F102">
    <cfRule type="containsText" dxfId="756" priority="24" operator="containsText" text="X">
      <formula>NOT(ISERROR(SEARCH("X",F102)))</formula>
    </cfRule>
  </conditionalFormatting>
  <conditionalFormatting sqref="F102">
    <cfRule type="containsText" dxfId="755" priority="23" operator="containsText" text="X">
      <formula>NOT(ISERROR(SEARCH("X",F102)))</formula>
    </cfRule>
  </conditionalFormatting>
  <conditionalFormatting sqref="M102">
    <cfRule type="containsText" dxfId="754" priority="22" operator="containsText" text="X">
      <formula>NOT(ISERROR(SEARCH("X",M102)))</formula>
    </cfRule>
  </conditionalFormatting>
  <conditionalFormatting sqref="M102">
    <cfRule type="containsText" dxfId="753" priority="20" operator="containsText" text="N/A">
      <formula>NOT(ISERROR(SEARCH("N/A",M102)))</formula>
    </cfRule>
    <cfRule type="cellIs" dxfId="752" priority="21" operator="equal">
      <formula>"Score de Fiabilité F3 exigé"</formula>
    </cfRule>
  </conditionalFormatting>
  <conditionalFormatting sqref="M102">
    <cfRule type="containsText" dxfId="751" priority="19" operator="containsText" text="X">
      <formula>NOT(ISERROR(SEARCH("X",M102)))</formula>
    </cfRule>
  </conditionalFormatting>
  <conditionalFormatting sqref="M102">
    <cfRule type="containsText" dxfId="750" priority="18" operator="containsText" text="X">
      <formula>NOT(ISERROR(SEARCH("X",M102)))</formula>
    </cfRule>
  </conditionalFormatting>
  <conditionalFormatting sqref="F70">
    <cfRule type="containsText" dxfId="749" priority="17" operator="containsText" text="X">
      <formula>NOT(ISERROR(SEARCH("X",F70)))</formula>
    </cfRule>
  </conditionalFormatting>
  <conditionalFormatting sqref="F70">
    <cfRule type="containsText" dxfId="748" priority="16" operator="containsText" text="X">
      <formula>NOT(ISERROR(SEARCH("X",F70)))</formula>
    </cfRule>
  </conditionalFormatting>
  <conditionalFormatting sqref="M70">
    <cfRule type="containsText" dxfId="747" priority="15" operator="containsText" text="X">
      <formula>NOT(ISERROR(SEARCH("X",M70)))</formula>
    </cfRule>
  </conditionalFormatting>
  <conditionalFormatting sqref="F35">
    <cfRule type="containsText" dxfId="746" priority="14" operator="containsText" text="X">
      <formula>NOT(ISERROR(SEARCH("X",F35)))</formula>
    </cfRule>
  </conditionalFormatting>
  <pageMargins left="0.7" right="0.7" top="0.75" bottom="0.75" header="0.3" footer="0.3"/>
  <pageSetup paperSize="9" scale="52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85"/>
  <sheetViews>
    <sheetView topLeftCell="A13" zoomScale="80" zoomScaleNormal="80" zoomScaleSheetLayoutView="120" workbookViewId="0">
      <selection activeCell="B25" sqref="B25:L25"/>
    </sheetView>
  </sheetViews>
  <sheetFormatPr defaultColWidth="10.5703125" defaultRowHeight="15" x14ac:dyDescent="0.25"/>
  <cols>
    <col min="1" max="1" width="10.5703125" style="26"/>
    <col min="2" max="2" width="11.85546875" style="26" customWidth="1"/>
    <col min="3" max="3" width="9" style="26" customWidth="1"/>
    <col min="4" max="4" width="13" style="26" customWidth="1"/>
    <col min="5" max="6" width="9" style="26" customWidth="1"/>
    <col min="7" max="7" width="7" style="26" customWidth="1"/>
    <col min="8" max="8" width="8.28515625" style="26" customWidth="1"/>
    <col min="9" max="9" width="7.42578125" style="26" customWidth="1"/>
    <col min="10" max="10" width="10.5703125" style="26" customWidth="1"/>
    <col min="11" max="11" width="9.42578125" style="26" customWidth="1"/>
    <col min="12" max="12" width="9.5703125" style="26" customWidth="1"/>
    <col min="13" max="13" width="11" style="26" customWidth="1"/>
    <col min="14" max="14" width="10.140625" style="26" customWidth="1"/>
    <col min="15" max="15" width="12" style="26" customWidth="1"/>
    <col min="16" max="18" width="8" style="26" customWidth="1"/>
    <col min="19" max="16384" width="10.5703125" style="26"/>
  </cols>
  <sheetData>
    <row r="2" spans="1:23" ht="23.25" x14ac:dyDescent="0.25">
      <c r="A2" s="679" t="s">
        <v>99</v>
      </c>
      <c r="B2" s="679"/>
      <c r="C2" s="679"/>
      <c r="D2" s="679"/>
      <c r="E2" s="679"/>
      <c r="F2" s="679"/>
      <c r="G2" s="679"/>
      <c r="H2" s="679"/>
      <c r="I2" s="679"/>
      <c r="J2" s="679"/>
      <c r="K2" s="679"/>
      <c r="L2" s="278"/>
      <c r="M2" s="78"/>
      <c r="N2" s="78"/>
      <c r="O2" s="78"/>
      <c r="P2" s="78"/>
      <c r="Q2" s="78"/>
      <c r="R2" s="78"/>
      <c r="S2" s="78"/>
      <c r="T2" s="78"/>
      <c r="U2" s="78"/>
      <c r="V2" s="300"/>
      <c r="W2" s="300"/>
    </row>
    <row r="3" spans="1:23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300"/>
      <c r="W3" s="300"/>
    </row>
    <row r="4" spans="1:23" x14ac:dyDescent="0.25">
      <c r="A4" s="79" t="s">
        <v>0</v>
      </c>
      <c r="B4" s="80"/>
      <c r="C4" s="318" t="str">
        <f>'Tableau 1-B Analyse du Contexte'!$C$5</f>
        <v>TCHAD</v>
      </c>
      <c r="D4" s="78"/>
      <c r="E4" s="78"/>
      <c r="F4" s="78"/>
      <c r="G4" s="82"/>
      <c r="H4" s="82"/>
      <c r="I4" s="82"/>
      <c r="J4" s="82"/>
      <c r="K4" s="82"/>
      <c r="L4" s="82"/>
      <c r="M4" s="78"/>
      <c r="N4" s="78"/>
      <c r="O4" s="78"/>
      <c r="P4" s="78"/>
      <c r="Q4" s="78"/>
      <c r="R4" s="78"/>
      <c r="S4" s="78"/>
      <c r="T4" s="78"/>
      <c r="U4" s="78"/>
      <c r="V4" s="300"/>
      <c r="W4" s="300"/>
    </row>
    <row r="5" spans="1:23" x14ac:dyDescent="0.25">
      <c r="A5" s="79" t="s">
        <v>1</v>
      </c>
      <c r="B5" s="80"/>
      <c r="C5" s="204">
        <f>'Tableau 1-B Analyse du Contexte'!$C$6</f>
        <v>0</v>
      </c>
      <c r="D5" s="78"/>
      <c r="E5" s="78"/>
      <c r="F5" s="78"/>
      <c r="G5" s="82"/>
      <c r="H5" s="82"/>
      <c r="I5" s="82"/>
      <c r="J5" s="82"/>
      <c r="K5" s="82"/>
      <c r="L5" s="82"/>
      <c r="M5" s="78"/>
      <c r="N5" s="78"/>
      <c r="O5" s="78"/>
      <c r="P5" s="78"/>
      <c r="Q5" s="78"/>
      <c r="R5" s="78"/>
      <c r="S5" s="78"/>
      <c r="T5" s="78"/>
      <c r="U5" s="78"/>
      <c r="V5" s="300"/>
      <c r="W5" s="300"/>
    </row>
    <row r="6" spans="1:23" x14ac:dyDescent="0.25">
      <c r="A6" s="79" t="s">
        <v>2</v>
      </c>
      <c r="B6" s="80"/>
      <c r="C6" s="204">
        <f>'Tableau 1-B Analyse du Contexte'!$C$7</f>
        <v>0</v>
      </c>
      <c r="D6" s="78"/>
      <c r="E6" s="78"/>
      <c r="F6" s="78"/>
      <c r="G6" s="82"/>
      <c r="H6" s="82"/>
      <c r="I6" s="82"/>
      <c r="J6" s="82"/>
      <c r="K6" s="82"/>
      <c r="L6" s="82"/>
      <c r="M6" s="78"/>
      <c r="N6" s="78"/>
      <c r="O6" s="78"/>
      <c r="P6" s="78"/>
      <c r="Q6" s="78"/>
      <c r="R6" s="78"/>
      <c r="S6" s="78"/>
      <c r="T6" s="78"/>
      <c r="U6" s="78"/>
      <c r="V6" s="300"/>
      <c r="W6" s="300"/>
    </row>
    <row r="7" spans="1:23" x14ac:dyDescent="0.25">
      <c r="A7" s="79" t="s">
        <v>3</v>
      </c>
      <c r="B7" s="80"/>
      <c r="C7" s="806" t="str">
        <f>'Tableau 1-B Analyse du Contexte'!$C$9</f>
        <v>Fevrier 2020</v>
      </c>
      <c r="D7" s="806"/>
      <c r="E7" s="268"/>
      <c r="F7" s="268"/>
      <c r="G7" s="82"/>
      <c r="H7" s="82"/>
      <c r="I7" s="82"/>
      <c r="J7" s="82"/>
      <c r="K7" s="82"/>
      <c r="L7" s="82"/>
      <c r="M7" s="78"/>
      <c r="N7" s="78"/>
      <c r="O7" s="78"/>
      <c r="P7" s="78"/>
      <c r="Q7" s="78"/>
      <c r="R7" s="78"/>
      <c r="S7" s="78"/>
      <c r="T7" s="78"/>
      <c r="U7" s="78"/>
      <c r="V7" s="300"/>
      <c r="W7" s="300"/>
    </row>
    <row r="8" spans="1:23" ht="23.85" customHeight="1" x14ac:dyDescent="0.25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300"/>
      <c r="W8" s="300"/>
    </row>
    <row r="9" spans="1:23" customFormat="1" ht="23.25" customHeight="1" thickBot="1" x14ac:dyDescent="0.3">
      <c r="A9" s="807" t="s">
        <v>197</v>
      </c>
      <c r="B9" s="808"/>
      <c r="C9" s="808"/>
      <c r="D9" s="808"/>
      <c r="E9" s="808"/>
      <c r="F9" s="808"/>
      <c r="G9" s="808"/>
      <c r="H9" s="808"/>
      <c r="I9" s="808"/>
      <c r="J9" s="808"/>
      <c r="K9" s="808"/>
      <c r="L9" s="808"/>
      <c r="M9" s="808"/>
      <c r="N9" s="808"/>
      <c r="O9" s="808"/>
      <c r="P9" s="808"/>
      <c r="Q9" s="808"/>
      <c r="R9" s="808"/>
      <c r="S9" s="808"/>
      <c r="T9" s="808"/>
      <c r="U9" s="808"/>
      <c r="V9" s="808"/>
      <c r="W9" s="808"/>
    </row>
    <row r="10" spans="1:23" ht="21.75" customHeight="1" thickBot="1" x14ac:dyDescent="0.3">
      <c r="A10" s="39" t="s">
        <v>75</v>
      </c>
      <c r="B10" s="795" t="s">
        <v>73</v>
      </c>
      <c r="C10" s="796"/>
      <c r="D10" s="796"/>
      <c r="E10" s="796"/>
      <c r="F10" s="796"/>
      <c r="G10" s="796"/>
      <c r="H10" s="796"/>
      <c r="I10" s="796"/>
      <c r="J10" s="796"/>
      <c r="K10" s="796"/>
      <c r="L10" s="284"/>
      <c r="M10" s="792" t="s">
        <v>74</v>
      </c>
      <c r="N10" s="793"/>
      <c r="O10" s="793"/>
      <c r="P10" s="793"/>
      <c r="Q10" s="793"/>
      <c r="R10" s="793"/>
      <c r="S10" s="793"/>
      <c r="T10" s="793"/>
      <c r="U10" s="793"/>
      <c r="V10" s="793"/>
      <c r="W10" s="794"/>
    </row>
    <row r="11" spans="1:23" ht="14.85" customHeight="1" thickBot="1" x14ac:dyDescent="0.3">
      <c r="A11" s="865" t="s">
        <v>76</v>
      </c>
      <c r="B11" s="809" t="s">
        <v>95</v>
      </c>
      <c r="C11" s="810"/>
      <c r="D11" s="810"/>
      <c r="E11" s="810"/>
      <c r="F11" s="810"/>
      <c r="G11" s="810"/>
      <c r="H11" s="810"/>
      <c r="I11" s="810"/>
      <c r="J11" s="810"/>
      <c r="K11" s="810"/>
      <c r="L11" s="810"/>
      <c r="M11" s="826" t="s">
        <v>149</v>
      </c>
      <c r="N11" s="827"/>
      <c r="O11" s="827"/>
      <c r="P11" s="827"/>
      <c r="Q11" s="827"/>
      <c r="R11" s="827"/>
      <c r="S11" s="827"/>
      <c r="T11" s="827"/>
      <c r="U11" s="827"/>
      <c r="V11" s="827"/>
      <c r="W11" s="828"/>
    </row>
    <row r="12" spans="1:23" ht="15.75" customHeight="1" thickBot="1" x14ac:dyDescent="0.3">
      <c r="A12" s="865"/>
      <c r="B12" s="831" t="s">
        <v>80</v>
      </c>
      <c r="C12" s="818"/>
      <c r="D12" s="818"/>
      <c r="E12" s="818"/>
      <c r="F12" s="818"/>
      <c r="G12" s="832"/>
      <c r="H12" s="832"/>
      <c r="I12" s="832"/>
      <c r="J12" s="832"/>
      <c r="K12" s="832"/>
      <c r="L12" s="832"/>
      <c r="M12" s="285"/>
      <c r="N12" s="286"/>
      <c r="O12" s="286"/>
      <c r="P12" s="286"/>
      <c r="Q12" s="464"/>
      <c r="R12" s="286"/>
      <c r="S12" s="286"/>
      <c r="T12" s="286"/>
      <c r="U12" s="286"/>
      <c r="V12" s="286"/>
      <c r="W12" s="287"/>
    </row>
    <row r="13" spans="1:23" ht="30.75" customHeight="1" thickBot="1" x14ac:dyDescent="0.3">
      <c r="A13" s="865"/>
      <c r="B13" s="307" t="s">
        <v>77</v>
      </c>
      <c r="C13" s="332" t="s">
        <v>78</v>
      </c>
      <c r="D13" s="933"/>
      <c r="E13" s="933"/>
      <c r="F13" s="933"/>
      <c r="G13" s="348" t="s">
        <v>68</v>
      </c>
      <c r="H13" s="260" t="s">
        <v>69</v>
      </c>
      <c r="I13" s="199" t="s">
        <v>70</v>
      </c>
      <c r="J13" s="200" t="s">
        <v>71</v>
      </c>
      <c r="K13" s="201" t="s">
        <v>72</v>
      </c>
      <c r="L13" s="293" t="s">
        <v>212</v>
      </c>
      <c r="M13" s="833"/>
      <c r="N13" s="834"/>
      <c r="O13" s="834"/>
      <c r="P13" s="834"/>
      <c r="Q13" s="834"/>
      <c r="R13" s="834"/>
      <c r="S13" s="834"/>
      <c r="T13" s="834"/>
      <c r="U13" s="834"/>
      <c r="V13" s="834"/>
      <c r="W13" s="835"/>
    </row>
    <row r="14" spans="1:23" ht="23.25" customHeight="1" thickBot="1" x14ac:dyDescent="0.3">
      <c r="A14" s="865"/>
      <c r="B14" s="208" t="s">
        <v>18</v>
      </c>
      <c r="C14" s="804" t="s">
        <v>263</v>
      </c>
      <c r="D14" s="805"/>
      <c r="E14" s="331"/>
      <c r="F14" s="474"/>
      <c r="G14" s="627" t="b">
        <f>IF('Tableau 1-B Analyse du Contexte'!$K$7="Oui",IF('Tableau 1-D-Résultats'!N15="","N/A",'Tableau 1-D-Résultats'!N15), IF('Tableau 1-B Analyse du Contexte'!$K$7="Non",IF('Tableau 1-B Analyse du Contexte'!$K$8="Oui",IF('Tableau 1-D-Résultats'!$V14="F3",IF('Tableau 1-D-Résultats'!N15="","N/A",'Tableau 1-D-Résultats'!N15),IF('Tableau 1-D-Résultats'!N15="","N/A"," F3 exigé")),IF('Tableau 1-D-Résultats'!$V$14="F0",IF('Tableau 1-D-Résultats'!N15="","N/A","F0"),IF('Tableau 1-D-Résultats'!$V$14="F1",IF('Tableau 1-D-Résultats'!N15="","N/A","F1"),IF('Tableau 1-D-Résultats'!$V$14="Erreur","fiabilité",IF('Tableau 1-D-Résultats'!N15="","N/A",'Tableau 1-D-Résultats'!N15)))))))</f>
        <v>0</v>
      </c>
      <c r="H14" s="628"/>
      <c r="I14" s="548" t="b">
        <f>IF('Tableau 1-B Analyse du Contexte'!$K$7="Oui",IF('Tableau 1-D-Résultats'!P15="","N/A",'Tableau 1-D-Résultats'!P15), IF('Tableau 1-B Analyse du Contexte'!$K$7="Non",IF('Tableau 1-B Analyse du Contexte'!$K$8="Oui",IF('Tableau 1-D-Résultats'!$V14="F3",IF('Tableau 1-D-Résultats'!P15="","N/A",'Tableau 1-D-Résultats'!P15),IF('Tableau 1-D-Résultats'!P15="","N/A"," F3 exigé")),IF('Tableau 1-D-Résultats'!V14="F0","F0",IF('Tableau 1-D-Résultats'!V14="F1","F1",IF('Tableau 1-D-Résultats'!$V$14="Erreur","fiabilité",IF('Tableau 1-D-Résultats'!P15="","N/A",'Tableau 1-D-Résultats'!P15)))))))</f>
        <v>0</v>
      </c>
      <c r="J14" s="627" t="b">
        <f>IF('Tableau 1-B Analyse du Contexte'!$K$7="Oui",IF('Tableau 1-D-Résultats'!Q15="","N/A",'Tableau 1-D-Résultats'!Q15), IF('Tableau 1-B Analyse du Contexte'!$K$7="Non",IF('Tableau 1-B Analyse du Contexte'!$K$8="Oui",IF('Tableau 1-D-Résultats'!$V14="F3",IF('Tableau 1-D-Résultats'!Q15="","N/A",'Tableau 1-D-Résultats'!Q15),IF('Tableau 1-D-Résultats'!Q15="","N/A"," F3 exigé")),IF('Tableau 1-D-Résultats'!V14="F0","F0",IF('Tableau 1-D-Résultats'!V14="F1","F1",IF('Tableau 1-D-Résultats'!$V$14="Erreur","fiabilité",IF('Tableau 1-D-Résultats'!Q15="","N/A",'Tableau 1-D-Résultats'!Q15)))))))</f>
        <v>0</v>
      </c>
      <c r="K14" s="628"/>
      <c r="L14" s="466"/>
      <c r="M14" s="836"/>
      <c r="N14" s="837"/>
      <c r="O14" s="837"/>
      <c r="P14" s="837"/>
      <c r="Q14" s="837"/>
      <c r="R14" s="837"/>
      <c r="S14" s="837"/>
      <c r="T14" s="837"/>
      <c r="U14" s="837"/>
      <c r="V14" s="837"/>
      <c r="W14" s="838"/>
    </row>
    <row r="15" spans="1:23" ht="15" customHeight="1" thickBot="1" x14ac:dyDescent="0.3">
      <c r="A15" s="865"/>
      <c r="B15" s="202" t="s">
        <v>22</v>
      </c>
      <c r="C15" s="943"/>
      <c r="D15" s="944"/>
      <c r="E15" s="944"/>
      <c r="F15" s="945"/>
      <c r="G15" s="548" t="b">
        <f>IF('Tableau 1-B Analyse du Contexte'!$K$7="Oui",IF('Tableau 1-D-Résultats'!N17="","N/A",'Tableau 1-D-Résultats'!N17), IF('Tableau 1-B Analyse du Contexte'!$K$7="Non",IF('Tableau 1-B Analyse du Contexte'!$K$8="Oui",IF('Tableau 1-D-Résultats'!$V17="F3",IF('Tableau 1-D-Résultats'!N17="","N/A",'Tableau 1-D-Résultats'!N17),IF('Tableau 1-D-Résultats'!N17="","N/A"," F3 exigé")),IF('Tableau 1-D-Résultats'!$V17="F0",IF('Tableau 1-D-Résultats'!N17="","N/A","F0"),IF('Tableau 1-D-Résultats'!$V17="F1",IF('Tableau 1-D-Résultats'!N17="","N/A","F1"),IF('Tableau 1-D-Résultats'!$V$17="Erreur","fiabilité",IF('Tableau 1-D-Résultats'!N17="","N/A",'Tableau 1-D-Résultats'!N17)))))))</f>
        <v>0</v>
      </c>
      <c r="H15" s="548" t="b">
        <f>IF('Tableau 1-B Analyse du Contexte'!$K$7="Oui",IF('Tableau 1-D-Résultats'!O17="","N/A",'Tableau 1-D-Résultats'!O17), IF('Tableau 1-B Analyse du Contexte'!$K$7="Non",IF('Tableau 1-B Analyse du Contexte'!$K$8="Oui",IF('Tableau 1-D-Résultats'!$V17="F3",IF('Tableau 1-D-Résultats'!O17="","N/A",'Tableau 1-D-Résultats'!O17),IF('Tableau 1-D-Résultats'!O17="","N/A"," F3 exigé")),IF('Tableau 1-D-Résultats'!$V17="F0",IF('Tableau 1-D-Résultats'!O17="","N/A","F0"),IF('Tableau 1-D-Résultats'!$V17="F1",IF('Tableau 1-D-Résultats'!O17="","N/A","F1"),IF('Tableau 1-D-Résultats'!$V$17="Erreur","fiabilité",IF('Tableau 1-D-Résultats'!O17="","N/A",'Tableau 1-D-Résultats'!O17)))))))</f>
        <v>0</v>
      </c>
      <c r="I15" s="548" t="b">
        <f>IF('Tableau 1-B Analyse du Contexte'!$K$7="Oui",IF('Tableau 1-D-Résultats'!P17="","N/A",'Tableau 1-D-Résultats'!P17), IF('Tableau 1-B Analyse du Contexte'!$K$7="Non",IF('Tableau 1-B Analyse du Contexte'!$K$8="Oui",IF('Tableau 1-D-Résultats'!$V17="F3",IF('Tableau 1-D-Résultats'!P17="","N/A",'Tableau 1-D-Résultats'!P17),IF('Tableau 1-D-Résultats'!P17="","N/A"," F3 exigé")),IF('Tableau 1-D-Résultats'!$V17="F0",IF('Tableau 1-D-Résultats'!P17="","N/A","F0"),IF('Tableau 1-D-Résultats'!$V17="F1",IF('Tableau 1-D-Résultats'!P17="","N/A","F1"),IF('Tableau 1-D-Résultats'!$V$17="Erreur","fiabilité",IF('Tableau 1-D-Résultats'!P17="","N/A",'Tableau 1-D-Résultats'!P17)))))))</f>
        <v>0</v>
      </c>
      <c r="J15" s="548" t="b">
        <f>IF('Tableau 1-B Analyse du Contexte'!$K$7="Oui",IF('Tableau 1-D-Résultats'!Q17="","N/A",'Tableau 1-D-Résultats'!Q17), IF('Tableau 1-B Analyse du Contexte'!$K$7="Non",IF('Tableau 1-B Analyse du Contexte'!$K$8="Oui",IF('Tableau 1-D-Résultats'!$V17="F3",IF('Tableau 1-D-Résultats'!Q17="","N/A",'Tableau 1-D-Résultats'!Q17),IF('Tableau 1-D-Résultats'!Q17="","N/A"," F3 exigé")),IF('Tableau 1-D-Résultats'!$V17="F0",IF('Tableau 1-D-Résultats'!Q17="","N/A","F0"),IF('Tableau 1-D-Résultats'!$V17="F1",IF('Tableau 1-D-Résultats'!Q17="","N/A","F1"),IF('Tableau 1-D-Résultats'!$V$17="Erreur","fiabilité",IF('Tableau 1-D-Résultats'!Q17="","N/A",'Tableau 1-D-Résultats'!Q17)))))))</f>
        <v>0</v>
      </c>
      <c r="K15" s="548" t="b">
        <f>IF('Tableau 1-B Analyse du Contexte'!$K$7="Oui",IF('Tableau 1-D-Résultats'!R17="","N/A",'Tableau 1-D-Résultats'!R17), IF('Tableau 1-B Analyse du Contexte'!$K$7="Non",IF('Tableau 1-B Analyse du Contexte'!$K$8="Oui",IF('Tableau 1-D-Résultats'!$V17="F3",IF('Tableau 1-D-Résultats'!R17="","N/A",'Tableau 1-D-Résultats'!R17),IF('Tableau 1-D-Résultats'!R17="","N/A"," F3 exigé")),IF('Tableau 1-D-Résultats'!$V17="F0",IF('Tableau 1-D-Résultats'!R17="","N/A","F0"),IF('Tableau 1-D-Résultats'!$V17="F1",IF('Tableau 1-D-Résultats'!R17="","N/A","F1"),IF('Tableau 1-D-Résultats'!$V$17="Erreur","fiabilité",IF('Tableau 1-D-Résultats'!R17="","N/A",'Tableau 1-D-Résultats'!R17)))))))</f>
        <v>0</v>
      </c>
      <c r="L15" s="466"/>
      <c r="M15" s="836"/>
      <c r="N15" s="837"/>
      <c r="O15" s="837"/>
      <c r="P15" s="837"/>
      <c r="Q15" s="837"/>
      <c r="R15" s="837"/>
      <c r="S15" s="837"/>
      <c r="T15" s="837"/>
      <c r="U15" s="837"/>
      <c r="V15" s="837"/>
      <c r="W15" s="838"/>
    </row>
    <row r="16" spans="1:23" ht="15.75" customHeight="1" thickBot="1" x14ac:dyDescent="0.3">
      <c r="A16" s="865"/>
      <c r="B16" s="202" t="s">
        <v>23</v>
      </c>
      <c r="C16" s="946"/>
      <c r="D16" s="928"/>
      <c r="E16" s="928"/>
      <c r="F16" s="929"/>
      <c r="G16" s="548" t="b">
        <f>IF('Tableau 1-B Analyse du Contexte'!$K$7="Oui",IF('Tableau 1-D-Résultats'!N18="","N/A",'Tableau 1-D-Résultats'!N18), IF('Tableau 1-B Analyse du Contexte'!$K$7="Non",IF('Tableau 1-B Analyse du Contexte'!$K$8="Oui",IF('Tableau 1-D-Résultats'!$V18="F3",IF('Tableau 1-D-Résultats'!N18="","N/A",'Tableau 1-D-Résultats'!N18),IF('Tableau 1-D-Résultats'!N18="","N/A"," F3 exigé")),IF('Tableau 1-D-Résultats'!$V18="F0",IF('Tableau 1-D-Résultats'!N18="","N/A","F0"),IF('Tableau 1-D-Résultats'!$V18="F1",IF('Tableau 1-D-Résultats'!N18="","N/A","F1"),IF('Tableau 1-D-Résultats'!$V$18="Erreur","fiabilité",IF('Tableau 1-D-Résultats'!N18="","N/A",'Tableau 1-D-Résultats'!N18)))))))</f>
        <v>0</v>
      </c>
      <c r="H16" s="548" t="b">
        <f>IF('Tableau 1-B Analyse du Contexte'!$K$7="Oui",IF('Tableau 1-D-Résultats'!O18="","N/A",'Tableau 1-D-Résultats'!O18), IF('Tableau 1-B Analyse du Contexte'!$K$7="Non",IF('Tableau 1-B Analyse du Contexte'!$K$8="Oui",IF('Tableau 1-D-Résultats'!$V18="F3",IF('Tableau 1-D-Résultats'!O18="","N/A",'Tableau 1-D-Résultats'!O18),IF('Tableau 1-D-Résultats'!O18="","N/A"," F3 exigé")),IF('Tableau 1-D-Résultats'!$V18="F0",IF('Tableau 1-D-Résultats'!O18="","N/A","F0"),IF('Tableau 1-D-Résultats'!$V18="F1",IF('Tableau 1-D-Résultats'!O18="","N/A","F1"),IF('Tableau 1-D-Résultats'!$V$18="Erreur","fiabilité",IF('Tableau 1-D-Résultats'!O18="","N/A",'Tableau 1-D-Résultats'!O18)))))))</f>
        <v>0</v>
      </c>
      <c r="I16" s="548" t="b">
        <f>IF('Tableau 1-B Analyse du Contexte'!$K$7="Oui",IF('Tableau 1-D-Résultats'!P18="","N/A",'Tableau 1-D-Résultats'!P18), IF('Tableau 1-B Analyse du Contexte'!$K$7="Non",IF('Tableau 1-B Analyse du Contexte'!$K$8="Oui",IF('Tableau 1-D-Résultats'!$V18="F3",IF('Tableau 1-D-Résultats'!P18="","N/A",'Tableau 1-D-Résultats'!P18),IF('Tableau 1-D-Résultats'!P18="","N/A"," F3 exigé")),IF('Tableau 1-D-Résultats'!$V18="F0",IF('Tableau 1-D-Résultats'!P18="","N/A","F0"),IF('Tableau 1-D-Résultats'!$V18="F1",IF('Tableau 1-D-Résultats'!P18="","N/A","F1"),IF('Tableau 1-D-Résultats'!$V$18="Erreur","fiabilité",IF('Tableau 1-D-Résultats'!P18="","N/A",'Tableau 1-D-Résultats'!P18)))))))</f>
        <v>0</v>
      </c>
      <c r="J16" s="548" t="b">
        <f>IF('Tableau 1-B Analyse du Contexte'!$K$7="Oui",IF('Tableau 1-D-Résultats'!Q18="","N/A",'Tableau 1-D-Résultats'!Q18), IF('Tableau 1-B Analyse du Contexte'!$K$7="Non",IF('Tableau 1-B Analyse du Contexte'!$K$8="Oui",IF('Tableau 1-D-Résultats'!$V18="F3",IF('Tableau 1-D-Résultats'!Q18="","N/A",'Tableau 1-D-Résultats'!Q18),IF('Tableau 1-D-Résultats'!Q18="","N/A"," F3 exigé")),IF('Tableau 1-D-Résultats'!$V18="F0",IF('Tableau 1-D-Résultats'!Q18="","N/A","F0"),IF('Tableau 1-D-Résultats'!$V18="F1",IF('Tableau 1-D-Résultats'!Q18="","N/A","F1"),IF('Tableau 1-D-Résultats'!$V$18="Erreur","fiabilité",IF('Tableau 1-D-Résultats'!Q18="","N/A",'Tableau 1-D-Résultats'!Q18)))))))</f>
        <v>0</v>
      </c>
      <c r="K16" s="548" t="b">
        <f>IF('Tableau 1-B Analyse du Contexte'!$K$7="Oui",IF('Tableau 1-D-Résultats'!R18="","N/A",'Tableau 1-D-Résultats'!R18), IF('Tableau 1-B Analyse du Contexte'!$K$7="Non",IF('Tableau 1-B Analyse du Contexte'!$K$8="Oui",IF('Tableau 1-D-Résultats'!$V18="F3",IF('Tableau 1-D-Résultats'!R18="","N/A",'Tableau 1-D-Résultats'!R18),IF('Tableau 1-D-Résultats'!R18="","N/A"," F3 exigé")),IF('Tableau 1-D-Résultats'!$V18="F0",IF('Tableau 1-D-Résultats'!R18="","N/A","F0"),IF('Tableau 1-D-Résultats'!$V18="F1",IF('Tableau 1-D-Résultats'!R18="","N/A","F1"),IF('Tableau 1-D-Résultats'!$V$18="Erreur","fiabilité",IF('Tableau 1-D-Résultats'!R18="","N/A",'Tableau 1-D-Résultats'!R18)))))))</f>
        <v>0</v>
      </c>
      <c r="L16" s="466"/>
      <c r="M16" s="839"/>
      <c r="N16" s="840"/>
      <c r="O16" s="840"/>
      <c r="P16" s="840"/>
      <c r="Q16" s="840"/>
      <c r="R16" s="840"/>
      <c r="S16" s="840"/>
      <c r="T16" s="840"/>
      <c r="U16" s="840"/>
      <c r="V16" s="840"/>
      <c r="W16" s="841"/>
    </row>
    <row r="17" spans="1:23" ht="21.75" customHeight="1" thickBot="1" x14ac:dyDescent="0.3">
      <c r="A17" s="865"/>
      <c r="B17" s="202" t="s">
        <v>24</v>
      </c>
      <c r="C17" s="947"/>
      <c r="D17" s="948"/>
      <c r="E17" s="948"/>
      <c r="F17" s="949"/>
      <c r="G17" s="548" t="b">
        <f>IF('Tableau 1-B Analyse du Contexte'!$K$7="Oui",IF('Tableau 1-D-Résultats'!N19="","N/A",'Tableau 1-D-Résultats'!N19), IF('Tableau 1-B Analyse du Contexte'!$K$7="Non",IF('Tableau 1-B Analyse du Contexte'!$K$8="Oui",IF('Tableau 1-D-Résultats'!$V19="F3",IF('Tableau 1-D-Résultats'!N19="","N/A",'Tableau 1-D-Résultats'!N19),IF('Tableau 1-D-Résultats'!N19="","N/A"," F3 exigé")),IF('Tableau 1-D-Résultats'!$V19="F0",IF('Tableau 1-D-Résultats'!N19="","N/A","F0"),IF('Tableau 1-D-Résultats'!$V19="F1",IF('Tableau 1-D-Résultats'!N19="","N/A","F1"),IF('Tableau 1-D-Résultats'!$V$19="Erreur","fiabilité",IF('Tableau 1-D-Résultats'!N19="","N/A",'Tableau 1-D-Résultats'!N19)))))))</f>
        <v>0</v>
      </c>
      <c r="H17" s="548" t="b">
        <f>IF('Tableau 1-B Analyse du Contexte'!$K$7="Oui",IF('Tableau 1-D-Résultats'!O19="","N/A",'Tableau 1-D-Résultats'!O19), IF('Tableau 1-B Analyse du Contexte'!$K$7="Non",IF('Tableau 1-B Analyse du Contexte'!$K$8="Oui",IF('Tableau 1-D-Résultats'!$V19="F3",IF('Tableau 1-D-Résultats'!O19="","N/A",'Tableau 1-D-Résultats'!O19),IF('Tableau 1-D-Résultats'!O19="","N/A"," F3 exigé")),IF('Tableau 1-D-Résultats'!$V19="F0",IF('Tableau 1-D-Résultats'!O19="","N/A","F0"),IF('Tableau 1-D-Résultats'!$V19="F1",IF('Tableau 1-D-Résultats'!O19="","N/A","F1"),IF('Tableau 1-D-Résultats'!$V$19="Erreur","fiabilité",IF('Tableau 1-D-Résultats'!O19="","N/A",'Tableau 1-D-Résultats'!O19)))))))</f>
        <v>0</v>
      </c>
      <c r="I17" s="627" t="b">
        <f>IF('Tableau 1-B Analyse du Contexte'!$K$7="Oui",IF('Tableau 1-D-Résultats'!P19="","N/A",'Tableau 1-D-Résultats'!P19), IF('Tableau 1-B Analyse du Contexte'!$K$7="Non",IF('Tableau 1-B Analyse du Contexte'!$K$8="Oui",IF('Tableau 1-D-Résultats'!$V19="F3",IF('Tableau 1-D-Résultats'!P19="","N/A",'Tableau 1-D-Résultats'!P19),IF('Tableau 1-D-Résultats'!P19="","N/A"," F3 exigé")),IF('Tableau 1-D-Résultats'!$V19="F0",IF('Tableau 1-D-Résultats'!P19="","N/A","F0"),IF('Tableau 1-D-Résultats'!$V19="F1",IF('Tableau 1-D-Résultats'!P19="","N/A","F1"),IF('Tableau 1-D-Résultats'!$V$17="Erreur","fiabilité",IF('Tableau 1-D-Résultats'!P19="","N/A",'Tableau 1-D-Résultats'!P19)))))))</f>
        <v>0</v>
      </c>
      <c r="J17" s="629"/>
      <c r="K17" s="628"/>
      <c r="L17" s="294"/>
      <c r="M17" s="358"/>
      <c r="N17" s="802" t="s">
        <v>78</v>
      </c>
      <c r="O17" s="803"/>
      <c r="P17" s="803"/>
      <c r="Q17" s="475"/>
      <c r="R17" s="348" t="s">
        <v>68</v>
      </c>
      <c r="S17" s="260" t="s">
        <v>69</v>
      </c>
      <c r="T17" s="199" t="s">
        <v>70</v>
      </c>
      <c r="U17" s="200" t="s">
        <v>71</v>
      </c>
      <c r="V17" s="487" t="s">
        <v>72</v>
      </c>
      <c r="W17" s="488" t="s">
        <v>212</v>
      </c>
    </row>
    <row r="18" spans="1:23" ht="15.75" customHeight="1" thickBot="1" x14ac:dyDescent="0.3">
      <c r="A18" s="865"/>
      <c r="B18" s="27" t="s">
        <v>25</v>
      </c>
      <c r="C18" s="202" t="s">
        <v>27</v>
      </c>
      <c r="D18" s="202" t="s">
        <v>255</v>
      </c>
      <c r="E18" s="208" t="s">
        <v>26</v>
      </c>
      <c r="F18" s="269" t="s">
        <v>256</v>
      </c>
      <c r="G18" s="400"/>
      <c r="H18" s="401"/>
      <c r="I18" s="401"/>
      <c r="J18" s="401"/>
      <c r="K18" s="402"/>
      <c r="L18" s="294"/>
      <c r="M18" s="349" t="s">
        <v>25</v>
      </c>
      <c r="N18" s="353" t="s">
        <v>27</v>
      </c>
      <c r="O18" s="202" t="s">
        <v>255</v>
      </c>
      <c r="P18" s="207" t="s">
        <v>26</v>
      </c>
      <c r="Q18" s="270" t="s">
        <v>256</v>
      </c>
      <c r="R18" s="403"/>
      <c r="S18" s="1"/>
      <c r="T18" s="1"/>
      <c r="U18" s="1"/>
      <c r="V18" s="404"/>
      <c r="W18" s="294"/>
    </row>
    <row r="19" spans="1:23" ht="15.75" customHeight="1" thickBot="1" x14ac:dyDescent="0.3">
      <c r="A19" s="865"/>
      <c r="B19" s="27" t="s">
        <v>135</v>
      </c>
      <c r="C19" s="548" t="b">
        <f>IF('Tableau 1-B Analyse du Contexte'!$K$7="Oui",IF('Tableau 1-D-Résultats'!N21="","N/A",'Tableau 1-D-Résultats'!N21), IF('Tableau 1-B Analyse du Contexte'!$K$7="Non",IF('Tableau 1-B Analyse du Contexte'!$K$8="Oui",IF('Tableau 1-D-Résultats'!$V$20="F3",IF('Tableau 1-D-Résultats'!N21="","N/A",'Tableau 1-D-Résultats'!N21),IF('Tableau 1-D-Résultats'!N21="","N/A"," F3 exigé")),IF('Tableau 1-D-Résultats'!$V$20="F0",IF('Tableau 1-D-Résultats'!N21="","N/A","F0"),IF('Tableau 1-D-Résultats'!$V$20="F1",IF('Tableau 1-D-Résultats'!N21="","N/A","F1"),IF('Tableau 1-D-Résultats'!$V$20="Erreur","fiabilité",IF('Tableau 1-D-Résultats'!N21="","N/A",'Tableau 1-D-Résultats'!N21)))))))</f>
        <v>0</v>
      </c>
      <c r="D19" s="548" t="b">
        <f>IF('Tableau 1-B Analyse du Contexte'!$K$7="Oui",IF('Tableau 1-D-Résultats'!O21="","N/A",'Tableau 1-D-Résultats'!O21), IF('Tableau 1-B Analyse du Contexte'!$K$7="Non",IF('Tableau 1-B Analyse du Contexte'!$K$8="Oui",IF('Tableau 1-D-Résultats'!$V$20="F3",IF('Tableau 1-D-Résultats'!O21="","N/A",'Tableau 1-D-Résultats'!O21),IF('Tableau 1-D-Résultats'!O21="","N/A"," F3 exigé")),IF('Tableau 1-D-Résultats'!$V$20="F0",IF('Tableau 1-D-Résultats'!O21="","N/A","F0"),IF('Tableau 1-D-Résultats'!$V$20="F1",IF('Tableau 1-D-Résultats'!O21="","N/A","F1"),IF('Tableau 1-D-Résultats'!$V$20="Erreur","fiabilité",IF('Tableau 1-D-Résultats'!O21="","N/A",'Tableau 1-D-Résultats'!O21)))))))</f>
        <v>0</v>
      </c>
      <c r="E19" s="548" t="b">
        <f>IF('Tableau 1-B Analyse du Contexte'!$K$7="Oui",IF('Tableau 1-D-Résultats'!P21="","N/A",'Tableau 1-D-Résultats'!P21), IF('Tableau 1-B Analyse du Contexte'!$K$7="Non",IF('Tableau 1-B Analyse du Contexte'!$K$8="Oui",IF('Tableau 1-D-Résultats'!$V$20="F3",IF('Tableau 1-D-Résultats'!P21="","N/A",'Tableau 1-D-Résultats'!P21),IF('Tableau 1-D-Résultats'!P21="","N/A"," F3 exigé")),IF('Tableau 1-D-Résultats'!$V$20="F0",IF('Tableau 1-D-Résultats'!P21="","N/A","F0"),IF('Tableau 1-D-Résultats'!$V$20="F1",IF('Tableau 1-D-Résultats'!P21="","N/A","F1"),IF('Tableau 1-D-Résultats'!$V$20="Erreur","fiabilité",IF('Tableau 1-D-Résultats'!P21="","N/A",'Tableau 1-D-Résultats'!P21)))))))</f>
        <v>0</v>
      </c>
      <c r="F19" s="548" t="b">
        <f>IF('Tableau 1-B Analyse du Contexte'!$K$7="Oui",IF('Tableau 1-D-Résultats'!Q21="","N/A",'Tableau 1-D-Résultats'!Q21), IF('Tableau 1-B Analyse du Contexte'!$K$7="Non",IF('Tableau 1-B Analyse du Contexte'!$K$8="Oui",IF('Tableau 1-D-Résultats'!$V$20="F3",IF('Tableau 1-D-Résultats'!Q21="","N/A",'Tableau 1-D-Résultats'!Q21),IF('Tableau 1-D-Résultats'!Q21="","N/A"," F3 exigé")),IF('Tableau 1-D-Résultats'!$V$20="F0",IF('Tableau 1-D-Résultats'!Q21="","N/A","F0"),IF('Tableau 1-D-Résultats'!$V$20="F1",IF('Tableau 1-D-Résultats'!Q21="","N/A","F1"),IF('Tableau 1-D-Résultats'!$V$20="Erreur","fiabilité",IF('Tableau 1-D-Résultats'!Q21="","N/A",'Tableau 1-D-Résultats'!Q21)))))))</f>
        <v>0</v>
      </c>
      <c r="G19" s="294"/>
      <c r="H19" s="294"/>
      <c r="I19" s="294"/>
      <c r="J19" s="294"/>
      <c r="K19" s="294"/>
      <c r="L19" s="901"/>
      <c r="M19" s="350" t="s">
        <v>135</v>
      </c>
      <c r="N19" s="548" t="b">
        <f>IF('Tableau 1-B Analyse du Contexte'!$K$7="Oui",IF('Tableau 1-D-Résultats'!N22="","N/A",'Tableau 1-D-Résultats'!N22), IF('Tableau 1-B Analyse du Contexte'!$K$7="Non",IF('Tableau 1-B Analyse du Contexte'!$K$8="Oui",IF('Tableau 1-D-Résultats'!$V$20="F3",IF('Tableau 1-D-Résultats'!N22="","N/A",'Tableau 1-D-Résultats'!N22),IF('Tableau 1-D-Résultats'!N22="","N/A"," F3 exigé")),IF('Tableau 1-D-Résultats'!$V$20="F0",IF('Tableau 1-D-Résultats'!N22="","N/A","F0"),IF('Tableau 1-D-Résultats'!$V$20="F1",IF('Tableau 1-D-Résultats'!N22="","N/A","F1"),IF('Tableau 1-D-Résultats'!$V$20="Erreur","fiabilité",IF('Tableau 1-D-Résultats'!N22="","N/A",'Tableau 1-D-Résultats'!N22)))))))</f>
        <v>0</v>
      </c>
      <c r="O19" s="548" t="b">
        <f>IF('Tableau 1-B Analyse du Contexte'!$K$7="Oui",IF('Tableau 1-D-Résultats'!O22="","N/A",'Tableau 1-D-Résultats'!O22), IF('Tableau 1-B Analyse du Contexte'!$K$7="Non",IF('Tableau 1-B Analyse du Contexte'!$K$8="Oui",IF('Tableau 1-D-Résultats'!$V$20="F3",IF('Tableau 1-D-Résultats'!O22="","N/A",'Tableau 1-D-Résultats'!O22),IF('Tableau 1-D-Résultats'!O22="","N/A"," F3 exigé")),IF('Tableau 1-D-Résultats'!$V$20="F0",IF('Tableau 1-D-Résultats'!O22="","N/A","F0"),IF('Tableau 1-D-Résultats'!$V$20="F1",IF('Tableau 1-D-Résultats'!O22="","N/A","F1"),IF('Tableau 1-D-Résultats'!$V$20="Erreur","fiabilité",IF('Tableau 1-D-Résultats'!O22="","N/A",'Tableau 1-D-Résultats'!O22)))))))</f>
        <v>0</v>
      </c>
      <c r="P19" s="548" t="b">
        <f>IF('Tableau 1-B Analyse du Contexte'!$K$7="Oui",IF('Tableau 1-D-Résultats'!P22="","N/A",'Tableau 1-D-Résultats'!P22), IF('Tableau 1-B Analyse du Contexte'!$K$7="Non",IF('Tableau 1-B Analyse du Contexte'!$K$8="Oui",IF('Tableau 1-D-Résultats'!$V$20="F3",IF('Tableau 1-D-Résultats'!P22="","N/A",'Tableau 1-D-Résultats'!P22),IF('Tableau 1-D-Résultats'!P22="","N/A"," F3 exigé")),IF('Tableau 1-D-Résultats'!$V$20="F0",IF('Tableau 1-D-Résultats'!P22="","N/A","F0"),IF('Tableau 1-D-Résultats'!$V$20="F1",IF('Tableau 1-D-Résultats'!P22="","N/A","F1"),IF('Tableau 1-D-Résultats'!$V$20="Erreur","fiabilité",IF('Tableau 1-D-Résultats'!P22="","N/A",'Tableau 1-D-Résultats'!P22)))))))</f>
        <v>0</v>
      </c>
      <c r="Q19" s="548" t="b">
        <f>IF('Tableau 1-B Analyse du Contexte'!$K$7="Oui",IF('Tableau 1-D-Résultats'!Q22="","N/A",'Tableau 1-D-Résultats'!Q22), IF('Tableau 1-B Analyse du Contexte'!$K$7="Non",IF('Tableau 1-B Analyse du Contexte'!$K$8="Oui",IF('Tableau 1-D-Résultats'!$V$20="F3",IF('Tableau 1-D-Résultats'!Q22="","N/A",'Tableau 1-D-Résultats'!Q22),IF('Tableau 1-D-Résultats'!Q22="","N/A"," F3 exigé")),IF('Tableau 1-D-Résultats'!$V$20="F0",IF('Tableau 1-D-Résultats'!Q22="","N/A","F0"),IF('Tableau 1-D-Résultats'!$V$20="F1",IF('Tableau 1-D-Résultats'!Q22="","N/A","F1"),IF('Tableau 1-D-Résultats'!$V$20="Erreur","fiabilité",IF('Tableau 1-D-Résultats'!Q22="","N/A",'Tableau 1-D-Résultats'!Q22)))))))</f>
        <v>0</v>
      </c>
      <c r="R19" s="294"/>
      <c r="S19" s="294"/>
      <c r="T19" s="294"/>
      <c r="U19" s="294"/>
      <c r="V19" s="294"/>
      <c r="W19" s="811"/>
    </row>
    <row r="20" spans="1:23" ht="15.75" customHeight="1" thickBot="1" x14ac:dyDescent="0.3">
      <c r="A20" s="865"/>
      <c r="B20" s="27" t="s">
        <v>136</v>
      </c>
      <c r="C20" s="548" t="b">
        <f>IF('Tableau 1-B Analyse du Contexte'!$K$7="Oui",IF('Tableau 1-D-Résultats'!N23="","N/A",'Tableau 1-D-Résultats'!N23), IF('Tableau 1-B Analyse du Contexte'!$K$7="Non",IF('Tableau 1-B Analyse du Contexte'!$K$8="Oui",IF('Tableau 1-D-Résultats'!$V$20="F3",IF('Tableau 1-D-Résultats'!N23="","N/A",'Tableau 1-D-Résultats'!N23),IF('Tableau 1-D-Résultats'!N23="","N/A"," F3 exigé")),IF('Tableau 1-D-Résultats'!$V$20="F0",IF('Tableau 1-D-Résultats'!N23="","N/A","F0"),IF('Tableau 1-D-Résultats'!$V$20="F1",IF('Tableau 1-D-Résultats'!N23="","N/A","F1"),IF('Tableau 1-D-Résultats'!$V$20="Erreur","fiabilité",IF('Tableau 1-D-Résultats'!N23="","N/A",'Tableau 1-D-Résultats'!N23)))))))</f>
        <v>0</v>
      </c>
      <c r="D20" s="548" t="b">
        <f>IF('Tableau 1-B Analyse du Contexte'!$K$7="Oui",IF('Tableau 1-D-Résultats'!O23="","N/A",'Tableau 1-D-Résultats'!O23), IF('Tableau 1-B Analyse du Contexte'!$K$7="Non",IF('Tableau 1-B Analyse du Contexte'!$K$8="Oui",IF('Tableau 1-D-Résultats'!$V$20="F3",IF('Tableau 1-D-Résultats'!O23="","N/A",'Tableau 1-D-Résultats'!O23),IF('Tableau 1-D-Résultats'!O23="","N/A"," F3 exigé")),IF('Tableau 1-D-Résultats'!$V$20="F0",IF('Tableau 1-D-Résultats'!O23="","N/A","F0"),IF('Tableau 1-D-Résultats'!$V$20="F1",IF('Tableau 1-D-Résultats'!O23="","N/A","F1"),IF('Tableau 1-D-Résultats'!$V$20="Erreur","fiabilité",IF('Tableau 1-D-Résultats'!O23="","N/A",'Tableau 1-D-Résultats'!O23)))))))</f>
        <v>0</v>
      </c>
      <c r="E20" s="548" t="b">
        <f>IF('Tableau 1-B Analyse du Contexte'!$K$7="Oui",IF('Tableau 1-D-Résultats'!P23="","N/A",'Tableau 1-D-Résultats'!P23), IF('Tableau 1-B Analyse du Contexte'!$K$7="Non",IF('Tableau 1-B Analyse du Contexte'!$K$8="Oui",IF('Tableau 1-D-Résultats'!$V$20="F3",IF('Tableau 1-D-Résultats'!P23="","N/A",'Tableau 1-D-Résultats'!P23),IF('Tableau 1-D-Résultats'!P23="","N/A"," F3 exigé")),IF('Tableau 1-D-Résultats'!$V$20="F0",IF('Tableau 1-D-Résultats'!P23="","N/A","F0"),IF('Tableau 1-D-Résultats'!$V$20="F1",IF('Tableau 1-D-Résultats'!P23="","N/A","F1"),IF('Tableau 1-D-Résultats'!$V$20="Erreur","fiabilité",IF('Tableau 1-D-Résultats'!P23="","N/A",'Tableau 1-D-Résultats'!P23)))))))</f>
        <v>0</v>
      </c>
      <c r="F20" s="548" t="b">
        <f>IF('Tableau 1-B Analyse du Contexte'!$K$7="Oui",IF('Tableau 1-D-Résultats'!Q23="","N/A",'Tableau 1-D-Résultats'!Q23), IF('Tableau 1-B Analyse du Contexte'!$K$7="Non",IF('Tableau 1-B Analyse du Contexte'!$K$8="Oui",IF('Tableau 1-D-Résultats'!$V$20="F3",IF('Tableau 1-D-Résultats'!Q23="","N/A",'Tableau 1-D-Résultats'!Q23),IF('Tableau 1-D-Résultats'!Q23="","N/A"," F3 exigé")),IF('Tableau 1-D-Résultats'!$V$20="F0",IF('Tableau 1-D-Résultats'!Q23="","N/A","F0"),IF('Tableau 1-D-Résultats'!$V$20="F1",IF('Tableau 1-D-Résultats'!Q23="","N/A","F1"),IF('Tableau 1-D-Résultats'!$V$20="Erreur","fiabilité",IF('Tableau 1-D-Résultats'!Q23="","N/A",'Tableau 1-D-Résultats'!Q23)))))))</f>
        <v>0</v>
      </c>
      <c r="G20" s="294"/>
      <c r="H20" s="294"/>
      <c r="I20" s="294"/>
      <c r="J20" s="294"/>
      <c r="K20" s="294"/>
      <c r="L20" s="902"/>
      <c r="M20" s="350" t="s">
        <v>136</v>
      </c>
      <c r="N20" s="548" t="b">
        <f>IF('Tableau 1-B Analyse du Contexte'!$K$7="Oui",IF('Tableau 1-D-Résultats'!N24="","N/A",'Tableau 1-D-Résultats'!N24), IF('Tableau 1-B Analyse du Contexte'!$K$7="Non",IF('Tableau 1-B Analyse du Contexte'!$K$8="Oui",IF('Tableau 1-D-Résultats'!$V$20="F3",IF('Tableau 1-D-Résultats'!N24="","N/A",'Tableau 1-D-Résultats'!N24),IF('Tableau 1-D-Résultats'!N24="","N/A"," F3 exigé")),IF('Tableau 1-D-Résultats'!$V$20="F0",IF('Tableau 1-D-Résultats'!N24="","N/A","F0"),IF('Tableau 1-D-Résultats'!$V$20="F1",IF('Tableau 1-D-Résultats'!N24="","N/A","F1"),IF('Tableau 1-D-Résultats'!$V$20="Erreur","fiabilité",IF('Tableau 1-D-Résultats'!N24="","N/A",'Tableau 1-D-Résultats'!N24)))))))</f>
        <v>0</v>
      </c>
      <c r="O20" s="548" t="b">
        <f>IF('Tableau 1-B Analyse du Contexte'!$K$7="Oui",IF('Tableau 1-D-Résultats'!O24="","N/A",'Tableau 1-D-Résultats'!O24), IF('Tableau 1-B Analyse du Contexte'!$K$7="Non",IF('Tableau 1-B Analyse du Contexte'!$K$8="Oui",IF('Tableau 1-D-Résultats'!$V$20="F3",IF('Tableau 1-D-Résultats'!O24="","N/A",'Tableau 1-D-Résultats'!O24),IF('Tableau 1-D-Résultats'!O24="","N/A"," F3 exigé")),IF('Tableau 1-D-Résultats'!$V$20="F0",IF('Tableau 1-D-Résultats'!O24="","N/A","F0"),IF('Tableau 1-D-Résultats'!$V$20="F1",IF('Tableau 1-D-Résultats'!O24="","N/A","F1"),IF('Tableau 1-D-Résultats'!$V$20="Erreur","fiabilité",IF('Tableau 1-D-Résultats'!O24="","N/A",'Tableau 1-D-Résultats'!O24)))))))</f>
        <v>0</v>
      </c>
      <c r="P20" s="548" t="b">
        <f>IF('Tableau 1-B Analyse du Contexte'!$K$7="Oui",IF('Tableau 1-D-Résultats'!P24="","N/A",'Tableau 1-D-Résultats'!P24), IF('Tableau 1-B Analyse du Contexte'!$K$7="Non",IF('Tableau 1-B Analyse du Contexte'!$K$8="Oui",IF('Tableau 1-D-Résultats'!$V$20="F3",IF('Tableau 1-D-Résultats'!P24="","N/A",'Tableau 1-D-Résultats'!P24),IF('Tableau 1-D-Résultats'!P24="","N/A"," F3 exigé")),IF('Tableau 1-D-Résultats'!$V$20="F0",IF('Tableau 1-D-Résultats'!P24="","N/A","F0"),IF('Tableau 1-D-Résultats'!$V$20="F1",IF('Tableau 1-D-Résultats'!P24="","N/A","F1"),IF('Tableau 1-D-Résultats'!$V$20="Erreur","fiabilité",IF('Tableau 1-D-Résultats'!P24="","N/A",'Tableau 1-D-Résultats'!P24)))))))</f>
        <v>0</v>
      </c>
      <c r="Q20" s="548" t="b">
        <f>IF('Tableau 1-B Analyse du Contexte'!$K$7="Oui",IF('Tableau 1-D-Résultats'!Q24="","N/A",'Tableau 1-D-Résultats'!Q24), IF('Tableau 1-B Analyse du Contexte'!$K$7="Non",IF('Tableau 1-B Analyse du Contexte'!$K$8="Oui",IF('Tableau 1-D-Résultats'!$V$20="F3",IF('Tableau 1-D-Résultats'!Q24="","N/A",'Tableau 1-D-Résultats'!Q24),IF('Tableau 1-D-Résultats'!Q24="","N/A"," F3 exigé")),IF('Tableau 1-D-Résultats'!$V$20="F0",IF('Tableau 1-D-Résultats'!Q24="","N/A","F0"),IF('Tableau 1-D-Résultats'!$V$20="F1",IF('Tableau 1-D-Résultats'!Q24="","N/A","F1"),IF('Tableau 1-D-Résultats'!$V$20="Erreur","fiabilité",IF('Tableau 1-D-Résultats'!Q24="","N/A",'Tableau 1-D-Résultats'!Q24)))))))</f>
        <v>0</v>
      </c>
      <c r="R20" s="294"/>
      <c r="S20" s="294"/>
      <c r="T20" s="294"/>
      <c r="U20" s="294"/>
      <c r="V20" s="294"/>
      <c r="W20" s="812"/>
    </row>
    <row r="21" spans="1:23" ht="15.75" customHeight="1" thickBot="1" x14ac:dyDescent="0.3">
      <c r="A21" s="865"/>
      <c r="B21" s="27" t="s">
        <v>137</v>
      </c>
      <c r="C21" s="548" t="b">
        <f>IF('Tableau 1-B Analyse du Contexte'!$K$7="Oui",IF('Tableau 1-D-Résultats'!N25="","N/A",'Tableau 1-D-Résultats'!N25), IF('Tableau 1-B Analyse du Contexte'!$K$7="Non",IF('Tableau 1-B Analyse du Contexte'!$K$8="Oui",IF('Tableau 1-D-Résultats'!$V$20="F3",IF('Tableau 1-D-Résultats'!N25="","N/A",'Tableau 1-D-Résultats'!N25),IF('Tableau 1-D-Résultats'!N25="","N/A"," F3 exigé")),IF('Tableau 1-D-Résultats'!$V$20="F0",IF('Tableau 1-D-Résultats'!N25="","N/A","F0"),IF('Tableau 1-D-Résultats'!$V$20="F1",IF('Tableau 1-D-Résultats'!N25="","N/A","F1"),IF('Tableau 1-D-Résultats'!$V$20="Erreur","fiabilité",IF('Tableau 1-D-Résultats'!N25="","N/A",'Tableau 1-D-Résultats'!N25)))))))</f>
        <v>0</v>
      </c>
      <c r="D21" s="548" t="b">
        <f>IF('Tableau 1-B Analyse du Contexte'!$K$7="Oui",IF('Tableau 1-D-Résultats'!O25="","N/A",'Tableau 1-D-Résultats'!O25), IF('Tableau 1-B Analyse du Contexte'!$K$7="Non",IF('Tableau 1-B Analyse du Contexte'!$K$8="Oui",IF('Tableau 1-D-Résultats'!$V$20="F3",IF('Tableau 1-D-Résultats'!O25="","N/A",'Tableau 1-D-Résultats'!O25),IF('Tableau 1-D-Résultats'!O25="","N/A"," F3 exigé")),IF('Tableau 1-D-Résultats'!$V$20="F0",IF('Tableau 1-D-Résultats'!O25="","N/A","F0"),IF('Tableau 1-D-Résultats'!$V$20="F1",IF('Tableau 1-D-Résultats'!O25="","N/A","F1"),IF('Tableau 1-D-Résultats'!$V$20="Erreur","fiabilité",IF('Tableau 1-D-Résultats'!O25="","N/A",'Tableau 1-D-Résultats'!O25)))))))</f>
        <v>0</v>
      </c>
      <c r="E21" s="548" t="b">
        <f>IF('Tableau 1-B Analyse du Contexte'!$K$7="Oui",IF('Tableau 1-D-Résultats'!P25="","N/A",'Tableau 1-D-Résultats'!P25), IF('Tableau 1-B Analyse du Contexte'!$K$7="Non",IF('Tableau 1-B Analyse du Contexte'!$K$8="Oui",IF('Tableau 1-D-Résultats'!$V$20="F3",IF('Tableau 1-D-Résultats'!P25="","N/A",'Tableau 1-D-Résultats'!P25),IF('Tableau 1-D-Résultats'!P25="","N/A"," F3 exigé")),IF('Tableau 1-D-Résultats'!$V$20="F0",IF('Tableau 1-D-Résultats'!P25="","N/A","F0"),IF('Tableau 1-D-Résultats'!$V$20="F1",IF('Tableau 1-D-Résultats'!P25="","N/A","F1"),IF('Tableau 1-D-Résultats'!$V$20="Erreur","fiabilité",IF('Tableau 1-D-Résultats'!P25="","N/A",'Tableau 1-D-Résultats'!P25)))))))</f>
        <v>0</v>
      </c>
      <c r="F21" s="548" t="b">
        <f>IF('Tableau 1-B Analyse du Contexte'!$K$7="Oui",IF('Tableau 1-D-Résultats'!Q25="","N/A",'Tableau 1-D-Résultats'!Q25), IF('Tableau 1-B Analyse du Contexte'!$K$7="Non",IF('Tableau 1-B Analyse du Contexte'!$K$8="Oui",IF('Tableau 1-D-Résultats'!$V$20="F3",IF('Tableau 1-D-Résultats'!Q25="","N/A",'Tableau 1-D-Résultats'!Q25),IF('Tableau 1-D-Résultats'!Q25="","N/A"," F3 exigé")),IF('Tableau 1-D-Résultats'!$V$20="F0",IF('Tableau 1-D-Résultats'!Q25="","N/A","F0"),IF('Tableau 1-D-Résultats'!$V$20="F1",IF('Tableau 1-D-Résultats'!Q25="","N/A","F1"),IF('Tableau 1-D-Résultats'!$V$20="Erreur","fiabilité",IF('Tableau 1-D-Résultats'!Q25="","N/A",'Tableau 1-D-Résultats'!Q25)))))))</f>
        <v>0</v>
      </c>
      <c r="G21" s="294"/>
      <c r="H21" s="294"/>
      <c r="I21" s="294"/>
      <c r="J21" s="294"/>
      <c r="K21" s="294"/>
      <c r="L21" s="902"/>
      <c r="M21" s="350" t="s">
        <v>137</v>
      </c>
      <c r="N21" s="548" t="b">
        <f>IF('Tableau 1-B Analyse du Contexte'!$K$7="Oui",IF('Tableau 1-D-Résultats'!N26="","N/A",'Tableau 1-D-Résultats'!N26), IF('Tableau 1-B Analyse du Contexte'!$K$7="Non",IF('Tableau 1-B Analyse du Contexte'!$K$8="Oui",IF('Tableau 1-D-Résultats'!$V$20="F3",IF('Tableau 1-D-Résultats'!N26="","N/A",'Tableau 1-D-Résultats'!N26),IF('Tableau 1-D-Résultats'!N26="","N/A"," F3 exigé")),IF('Tableau 1-D-Résultats'!$V$20="F0",IF('Tableau 1-D-Résultats'!N26="","N/A","F0"),IF('Tableau 1-D-Résultats'!$V$20="F1",IF('Tableau 1-D-Résultats'!N26="","N/A","F1"),IF('Tableau 1-D-Résultats'!$V$20="Erreur","fiabilité",IF('Tableau 1-D-Résultats'!N26="","N/A",'Tableau 1-D-Résultats'!N26)))))))</f>
        <v>0</v>
      </c>
      <c r="O21" s="548" t="b">
        <f>IF('Tableau 1-B Analyse du Contexte'!$K$7="Oui",IF('Tableau 1-D-Résultats'!O26="","N/A",'Tableau 1-D-Résultats'!O26), IF('Tableau 1-B Analyse du Contexte'!$K$7="Non",IF('Tableau 1-B Analyse du Contexte'!$K$8="Oui",IF('Tableau 1-D-Résultats'!$V$20="F3",IF('Tableau 1-D-Résultats'!O26="","N/A",'Tableau 1-D-Résultats'!O26),IF('Tableau 1-D-Résultats'!O26="","N/A"," F3 exigé")),IF('Tableau 1-D-Résultats'!$V$20="F0",IF('Tableau 1-D-Résultats'!O26="","N/A","F0"),IF('Tableau 1-D-Résultats'!$V$20="F1",IF('Tableau 1-D-Résultats'!O26="","N/A","F1"),IF('Tableau 1-D-Résultats'!$V$20="Erreur","fiabilité",IF('Tableau 1-D-Résultats'!O26="","N/A",'Tableau 1-D-Résultats'!O26)))))))</f>
        <v>0</v>
      </c>
      <c r="P21" s="548" t="b">
        <f>IF('Tableau 1-B Analyse du Contexte'!$K$7="Oui",IF('Tableau 1-D-Résultats'!P26="","N/A",'Tableau 1-D-Résultats'!P26), IF('Tableau 1-B Analyse du Contexte'!$K$7="Non",IF('Tableau 1-B Analyse du Contexte'!$K$8="Oui",IF('Tableau 1-D-Résultats'!$V$20="F3",IF('Tableau 1-D-Résultats'!P26="","N/A",'Tableau 1-D-Résultats'!P26),IF('Tableau 1-D-Résultats'!P26="","N/A"," F3 exigé")),IF('Tableau 1-D-Résultats'!$V$20="F0",IF('Tableau 1-D-Résultats'!P26="","N/A","F0"),IF('Tableau 1-D-Résultats'!$V$20="F1",IF('Tableau 1-D-Résultats'!P26="","N/A","F1"),IF('Tableau 1-D-Résultats'!$V$20="Erreur","fiabilité",IF('Tableau 1-D-Résultats'!P26="","N/A",'Tableau 1-D-Résultats'!P26)))))))</f>
        <v>0</v>
      </c>
      <c r="Q21" s="548" t="b">
        <f>IF('Tableau 1-B Analyse du Contexte'!$K$7="Oui",IF('Tableau 1-D-Résultats'!Q26="","N/A",'Tableau 1-D-Résultats'!Q26), IF('Tableau 1-B Analyse du Contexte'!$K$7="Non",IF('Tableau 1-B Analyse du Contexte'!$K$8="Oui",IF('Tableau 1-D-Résultats'!$V$20="F3",IF('Tableau 1-D-Résultats'!Q26="","N/A",'Tableau 1-D-Résultats'!Q26),IF('Tableau 1-D-Résultats'!Q26="","N/A"," F3 exigé")),IF('Tableau 1-D-Résultats'!$V$20="F0",IF('Tableau 1-D-Résultats'!Q26="","N/A","F0"),IF('Tableau 1-D-Résultats'!$V$20="F1",IF('Tableau 1-D-Résultats'!Q26="","N/A","F1"),IF('Tableau 1-D-Résultats'!$V$20="Erreur","fiabilité",IF('Tableau 1-D-Résultats'!Q26="","N/A",'Tableau 1-D-Résultats'!Q26)))))))</f>
        <v>0</v>
      </c>
      <c r="R21" s="294"/>
      <c r="S21" s="294"/>
      <c r="T21" s="294"/>
      <c r="U21" s="294"/>
      <c r="V21" s="294"/>
      <c r="W21" s="812"/>
    </row>
    <row r="22" spans="1:23" ht="15.75" customHeight="1" thickBot="1" x14ac:dyDescent="0.3">
      <c r="A22" s="865"/>
      <c r="B22" s="209" t="s">
        <v>138</v>
      </c>
      <c r="C22" s="548" t="b">
        <f>IF('Tableau 1-B Analyse du Contexte'!$K$7="Oui",IF('Tableau 1-D-Résultats'!N27="","N/A",'Tableau 1-D-Résultats'!N27), IF('Tableau 1-B Analyse du Contexte'!$K$7="Non",IF('Tableau 1-B Analyse du Contexte'!$K$8="Oui",IF('Tableau 1-D-Résultats'!$V$20="F3",IF('Tableau 1-D-Résultats'!N27="","N/A",'Tableau 1-D-Résultats'!N27),IF('Tableau 1-D-Résultats'!N27="","N/A"," F3 exigé")),IF('Tableau 1-D-Résultats'!$V$20="F0",IF('Tableau 1-D-Résultats'!N27="","N/A","F0"),IF('Tableau 1-D-Résultats'!$V$20="F1",IF('Tableau 1-D-Résultats'!N27="","N/A","F1"),IF('Tableau 1-D-Résultats'!$V$20="Erreur","fiabilité",IF('Tableau 1-D-Résultats'!N27="","N/A",'Tableau 1-D-Résultats'!N27)))))))</f>
        <v>0</v>
      </c>
      <c r="D22" s="548" t="b">
        <f>IF('Tableau 1-B Analyse du Contexte'!$K$7="Oui",IF('Tableau 1-D-Résultats'!O27="","N/A",'Tableau 1-D-Résultats'!O27), IF('Tableau 1-B Analyse du Contexte'!$K$7="Non",IF('Tableau 1-B Analyse du Contexte'!$K$8="Oui",IF('Tableau 1-D-Résultats'!$V$20="F3",IF('Tableau 1-D-Résultats'!O27="","N/A",'Tableau 1-D-Résultats'!O27),IF('Tableau 1-D-Résultats'!O27="","N/A"," F3 exigé")),IF('Tableau 1-D-Résultats'!$V$20="F0",IF('Tableau 1-D-Résultats'!O27="","N/A","F0"),IF('Tableau 1-D-Résultats'!$V$20="F1",IF('Tableau 1-D-Résultats'!O27="","N/A","F1"),IF('Tableau 1-D-Résultats'!$V$20="Erreur","fiabilité",IF('Tableau 1-D-Résultats'!O27="","N/A",'Tableau 1-D-Résultats'!O27)))))))</f>
        <v>0</v>
      </c>
      <c r="E22" s="548" t="b">
        <f>IF('Tableau 1-B Analyse du Contexte'!$K$7="Oui",IF('Tableau 1-D-Résultats'!P27="","N/A",'Tableau 1-D-Résultats'!P27), IF('Tableau 1-B Analyse du Contexte'!$K$7="Non",IF('Tableau 1-B Analyse du Contexte'!$K$8="Oui",IF('Tableau 1-D-Résultats'!$V$20="F3",IF('Tableau 1-D-Résultats'!P27="","N/A",'Tableau 1-D-Résultats'!P27),IF('Tableau 1-D-Résultats'!P27="","N/A"," F3 exigé")),IF('Tableau 1-D-Résultats'!$V$20="F0",IF('Tableau 1-D-Résultats'!P27="","N/A","F0"),IF('Tableau 1-D-Résultats'!$V$20="F1",IF('Tableau 1-D-Résultats'!P27="","N/A","F1"),IF('Tableau 1-D-Résultats'!$V$20="Erreur","fiabilité",IF('Tableau 1-D-Résultats'!P27="","N/A",'Tableau 1-D-Résultats'!P27)))))))</f>
        <v>0</v>
      </c>
      <c r="F22" s="548" t="b">
        <f>IF('Tableau 1-B Analyse du Contexte'!$K$7="Oui",IF('Tableau 1-D-Résultats'!Q27="","N/A",'Tableau 1-D-Résultats'!Q27), IF('Tableau 1-B Analyse du Contexte'!$K$7="Non",IF('Tableau 1-B Analyse du Contexte'!$K$8="Oui",IF('Tableau 1-D-Résultats'!$V$20="F3",IF('Tableau 1-D-Résultats'!Q27="","N/A",'Tableau 1-D-Résultats'!Q27),IF('Tableau 1-D-Résultats'!Q27="","N/A"," F3 exigé")),IF('Tableau 1-D-Résultats'!$V$20="F0",IF('Tableau 1-D-Résultats'!Q27="","N/A","F0"),IF('Tableau 1-D-Résultats'!$V$20="F1",IF('Tableau 1-D-Résultats'!Q27="","N/A","F1"),IF('Tableau 1-D-Résultats'!$V$20="Erreur","fiabilité",IF('Tableau 1-D-Résultats'!Q27="","N/A",'Tableau 1-D-Résultats'!Q27)))))))</f>
        <v>0</v>
      </c>
      <c r="G22" s="354"/>
      <c r="H22" s="354"/>
      <c r="I22" s="354"/>
      <c r="J22" s="354"/>
      <c r="K22" s="354"/>
      <c r="L22" s="903"/>
      <c r="M22" s="351" t="s">
        <v>138</v>
      </c>
      <c r="N22" s="548" t="b">
        <f>IF('Tableau 1-B Analyse du Contexte'!$K$7="Oui",IF('Tableau 1-D-Résultats'!N28="","N/A",'Tableau 1-D-Résultats'!N28), IF('Tableau 1-B Analyse du Contexte'!$K$7="Non",IF('Tableau 1-B Analyse du Contexte'!$K$8="Oui",IF('Tableau 1-D-Résultats'!$V$20="F3",IF('Tableau 1-D-Résultats'!N28="","N/A",'Tableau 1-D-Résultats'!N28),IF('Tableau 1-D-Résultats'!N28="","N/A"," F3 exigé")),IF('Tableau 1-D-Résultats'!$V$20="F0",IF('Tableau 1-D-Résultats'!N28="","N/A","F0"),IF('Tableau 1-D-Résultats'!$V$20="F1",IF('Tableau 1-D-Résultats'!N28="","N/A","F1"),IF('Tableau 1-D-Résultats'!$V$20="Erreur","fiabilité",IF('Tableau 1-D-Résultats'!N28="","N/A",'Tableau 1-D-Résultats'!N28)))))))</f>
        <v>0</v>
      </c>
      <c r="O22" s="548" t="b">
        <f>IF('Tableau 1-B Analyse du Contexte'!$K$7="Oui",IF('Tableau 1-D-Résultats'!O28="","N/A",'Tableau 1-D-Résultats'!O28), IF('Tableau 1-B Analyse du Contexte'!$K$7="Non",IF('Tableau 1-B Analyse du Contexte'!$K$8="Oui",IF('Tableau 1-D-Résultats'!$V$20="F3",IF('Tableau 1-D-Résultats'!O28="","N/A",'Tableau 1-D-Résultats'!O28),IF('Tableau 1-D-Résultats'!O28="","N/A"," F3 exigé")),IF('Tableau 1-D-Résultats'!$V$20="F0",IF('Tableau 1-D-Résultats'!O28="","N/A","F0"),IF('Tableau 1-D-Résultats'!$V$20="F1",IF('Tableau 1-D-Résultats'!O28="","N/A","F1"),IF('Tableau 1-D-Résultats'!$V$20="Erreur","fiabilité",IF('Tableau 1-D-Résultats'!O28="","N/A",'Tableau 1-D-Résultats'!O28)))))))</f>
        <v>0</v>
      </c>
      <c r="P22" s="548" t="b">
        <f>IF('Tableau 1-B Analyse du Contexte'!$K$7="Oui",IF('Tableau 1-D-Résultats'!P28="","N/A",'Tableau 1-D-Résultats'!P28), IF('Tableau 1-B Analyse du Contexte'!$K$7="Non",IF('Tableau 1-B Analyse du Contexte'!$K$8="Oui",IF('Tableau 1-D-Résultats'!$V$20="F3",IF('Tableau 1-D-Résultats'!P28="","N/A",'Tableau 1-D-Résultats'!P28),IF('Tableau 1-D-Résultats'!P28="","N/A"," F3 exigé")),IF('Tableau 1-D-Résultats'!$V$20="F0",IF('Tableau 1-D-Résultats'!P28="","N/A","F0"),IF('Tableau 1-D-Résultats'!$V$20="F1",IF('Tableau 1-D-Résultats'!P28="","N/A","F1"),IF('Tableau 1-D-Résultats'!$V$20="Erreur","fiabilité",IF('Tableau 1-D-Résultats'!P28="","N/A",'Tableau 1-D-Résultats'!P28)))))))</f>
        <v>0</v>
      </c>
      <c r="Q22" s="548" t="b">
        <f>IF('Tableau 1-B Analyse du Contexte'!$K$7="Oui",IF('Tableau 1-D-Résultats'!Q28="","N/A",'Tableau 1-D-Résultats'!Q28), IF('Tableau 1-B Analyse du Contexte'!$K$7="Non",IF('Tableau 1-B Analyse du Contexte'!$K$8="Oui",IF('Tableau 1-D-Résultats'!$V$20="F3",IF('Tableau 1-D-Résultats'!Q28="","N/A",'Tableau 1-D-Résultats'!Q28),IF('Tableau 1-D-Résultats'!Q28="","N/A"," F3 exigé")),IF('Tableau 1-D-Résultats'!$V$20="F0",IF('Tableau 1-D-Résultats'!Q28="","N/A","F0"),IF('Tableau 1-D-Résultats'!$V$20="F1",IF('Tableau 1-D-Résultats'!Q28="","N/A","F1"),IF('Tableau 1-D-Résultats'!$V$20="Erreur","fiabilité",IF('Tableau 1-D-Résultats'!Q28="","N/A",'Tableau 1-D-Résultats'!Q28)))))))</f>
        <v>0</v>
      </c>
      <c r="R22" s="354"/>
      <c r="S22" s="354"/>
      <c r="T22" s="354"/>
      <c r="U22" s="354"/>
      <c r="V22" s="354"/>
      <c r="W22" s="813"/>
    </row>
    <row r="23" spans="1:23" ht="15.75" customHeight="1" thickBot="1" x14ac:dyDescent="0.3">
      <c r="A23" s="865"/>
      <c r="B23" s="799" t="s">
        <v>81</v>
      </c>
      <c r="C23" s="800"/>
      <c r="D23" s="800"/>
      <c r="E23" s="800"/>
      <c r="F23" s="800"/>
      <c r="G23" s="800"/>
      <c r="H23" s="800"/>
      <c r="I23" s="800"/>
      <c r="J23" s="800"/>
      <c r="K23" s="800"/>
      <c r="L23" s="801"/>
      <c r="M23" s="882"/>
      <c r="N23" s="883"/>
      <c r="O23" s="883"/>
      <c r="P23" s="883"/>
      <c r="Q23" s="883"/>
      <c r="R23" s="883"/>
      <c r="S23" s="883"/>
      <c r="T23" s="883"/>
      <c r="U23" s="883"/>
      <c r="V23" s="883"/>
      <c r="W23" s="884"/>
    </row>
    <row r="24" spans="1:23" ht="27" customHeight="1" thickBot="1" x14ac:dyDescent="0.3">
      <c r="A24" s="865"/>
      <c r="B24" s="209" t="s">
        <v>79</v>
      </c>
      <c r="C24" s="271" t="b">
        <f>IF('Tableau 1-B Analyse du Contexte'!$K$7="Oui",IF('Tableau 1-D-Résultats'!N29="","N/A",'Tableau 1-D-Résultats'!N29), IF('Tableau 1-B Analyse du Contexte'!$K$7="Non",IF('Tableau 1-B Analyse du Contexte'!$K$8="Oui",IF('Tableau 1-D-Résultats'!$V29="F3",IF('Tableau 1-D-Résultats'!N29="","N/A",'Tableau 1-D-Résultats'!N29),IF('Tableau 1-D-Résultats'!N29="","N/A"," F3 exigé")),IF('Tableau 1-D-Résultats'!$V29="F0",IF('Tableau 1-D-Résultats'!N29="","N/A","F0"),IF('Tableau 1-D-Résultats'!$V29="F1",IF('Tableau 1-D-Résultats'!N29="","N/A","F1"),IF('Tableau 1-D-Résultats'!$V$29="Erreur","fiabilité",IF('Tableau 1-D-Résultats'!N29="","N/A",'Tableau 1-D-Résultats'!N29)))))))</f>
        <v>0</v>
      </c>
      <c r="D24" s="171"/>
      <c r="E24" s="171"/>
      <c r="F24" s="171"/>
      <c r="G24" s="171"/>
      <c r="H24" s="171"/>
      <c r="I24" s="171"/>
      <c r="J24" s="171"/>
      <c r="K24" s="171"/>
      <c r="L24" s="357"/>
      <c r="M24" s="829" t="s">
        <v>139</v>
      </c>
      <c r="N24" s="830"/>
      <c r="O24" s="308" t="b">
        <f>C24</f>
        <v>0</v>
      </c>
      <c r="P24" s="814"/>
      <c r="Q24" s="815"/>
      <c r="R24" s="815"/>
      <c r="S24" s="815"/>
      <c r="T24" s="815"/>
      <c r="U24" s="815"/>
      <c r="V24" s="816"/>
      <c r="W24" s="294"/>
    </row>
    <row r="25" spans="1:23" s="84" customFormat="1" ht="21.75" customHeight="1" thickBot="1" x14ac:dyDescent="0.25">
      <c r="A25" s="865"/>
      <c r="B25" s="789" t="s">
        <v>260</v>
      </c>
      <c r="C25" s="790"/>
      <c r="D25" s="790"/>
      <c r="E25" s="790"/>
      <c r="F25" s="790"/>
      <c r="G25" s="790"/>
      <c r="H25" s="790"/>
      <c r="I25" s="790"/>
      <c r="J25" s="790"/>
      <c r="K25" s="790"/>
      <c r="L25" s="791"/>
      <c r="M25" s="789" t="s">
        <v>260</v>
      </c>
      <c r="N25" s="790"/>
      <c r="O25" s="790"/>
      <c r="P25" s="790"/>
      <c r="Q25" s="790"/>
      <c r="R25" s="790"/>
      <c r="S25" s="790"/>
      <c r="T25" s="790"/>
      <c r="U25" s="790"/>
      <c r="V25" s="790"/>
      <c r="W25" s="791"/>
    </row>
    <row r="26" spans="1:23" s="550" customFormat="1" ht="27" customHeight="1" thickBot="1" x14ac:dyDescent="0.3">
      <c r="A26" s="865"/>
      <c r="B26" s="551"/>
      <c r="C26" s="861" t="s">
        <v>110</v>
      </c>
      <c r="D26" s="861"/>
      <c r="E26" s="861" t="s">
        <v>225</v>
      </c>
      <c r="F26" s="861"/>
      <c r="G26" s="861" t="s">
        <v>261</v>
      </c>
      <c r="H26" s="861"/>
      <c r="I26" s="861" t="s">
        <v>262</v>
      </c>
      <c r="J26" s="861"/>
      <c r="K26" s="861" t="s">
        <v>14</v>
      </c>
      <c r="L26" s="861"/>
      <c r="M26" s="551"/>
      <c r="N26" s="861" t="s">
        <v>110</v>
      </c>
      <c r="O26" s="861"/>
      <c r="P26" s="861" t="s">
        <v>225</v>
      </c>
      <c r="Q26" s="861"/>
      <c r="R26" s="861" t="s">
        <v>261</v>
      </c>
      <c r="S26" s="861"/>
      <c r="T26" s="861" t="s">
        <v>262</v>
      </c>
      <c r="U26" s="861"/>
      <c r="V26" s="861" t="s">
        <v>14</v>
      </c>
      <c r="W26" s="861"/>
    </row>
    <row r="27" spans="1:23" s="550" customFormat="1" ht="27" customHeight="1" thickBot="1" x14ac:dyDescent="0.3">
      <c r="A27" s="865"/>
      <c r="B27" s="552" t="s">
        <v>265</v>
      </c>
      <c r="C27" s="927" t="str">
        <f>IF('Tableau 2-A-Analyse FC'!D35="x","-F",IF('Tableau 2-A-Analyse FC'!E35="x","-M",IF('Tableau 2-A-Analyse FC'!F35="x","-L",IF('Tableau 2-A-Analyse FC'!G35="x","+L",IF('Tableau 2-A-Analyse FC'!H35="x","+M",IF('Tableau 2-A-Analyse FC'!I35="x","+F","N/A"))))))</f>
        <v>N/A</v>
      </c>
      <c r="D27" s="859"/>
      <c r="E27" s="858" t="str">
        <f>IF('Tableau 2-A-Analyse FC'!D70="x","-F",IF('Tableau 2-A-Analyse FC'!E70="x","-M",IF('Tableau 2-A-Analyse FC'!F70="x","-L",IF('Tableau 2-A-Analyse FC'!G70="x","+L",IF('Tableau 2-A-Analyse FC'!H70="x","+M",IF('Tableau 2-A-Analyse FC'!I70="x","+F","N/A"))))))</f>
        <v>N/A</v>
      </c>
      <c r="F27" s="859"/>
      <c r="G27" s="858" t="str">
        <f>IF('Tableau 2-A-Analyse FC'!D102="x","-F",IF('Tableau 2-A-Analyse FC'!E102="x","-M",IF('Tableau 2-A-Analyse FC'!F102="x","-L",IF('Tableau 2-A-Analyse FC'!G102="x","+L",IF('Tableau 2-A-Analyse FC'!H102="x","+M",IF('Tableau 2-A-Analyse FC'!I102="x","+F","N/A"))))))</f>
        <v>N/A</v>
      </c>
      <c r="H27" s="859"/>
      <c r="I27" s="858" t="str">
        <f>IF('Tableau 2-A-Analyse FC'!D134="x","-F",IF('Tableau 2-A-Analyse FC'!E134="x","-M",IF('Tableau 2-A-Analyse FC'!F134="x","-L",IF('Tableau 2-A-Analyse FC'!G134="x","+L",IF('Tableau 2-A-Analyse FC'!H134="x","+M",IF('Tableau 2-A-Analyse FC'!I134="x","+F","N/A"))))))</f>
        <v>N/A</v>
      </c>
      <c r="J27" s="859"/>
      <c r="K27" s="858" t="str">
        <f>IF('Tableau 2-A-Analyse FC'!D166="x","-F",IF('Tableau 2-A-Analyse FC'!E166="x","-M",IF('Tableau 2-A-Analyse FC'!F166="x","-L",IF('Tableau 2-A-Analyse FC'!G166="x","+L",IF('Tableau 2-A-Analyse FC'!H166="x","+M",IF('Tableau 2-A-Analyse FC'!I166="x","+F","N/A"))))))</f>
        <v>N/A</v>
      </c>
      <c r="L27" s="860"/>
      <c r="M27" s="552" t="s">
        <v>265</v>
      </c>
      <c r="N27" s="862" t="str">
        <f>IF('Tableau 2-A-Analyse FC'!K35="x","-F",IF('Tableau 2-A-Analyse FC'!L35="x","-M",IF('Tableau 2-A-Analyse FC'!M35="x","-L",IF('Tableau 2-A-Analyse FC'!N35="x","+L",IF('Tableau 2-A-Analyse FC'!O35="x","+M",IF('Tableau 2-A-Analyse FC'!P35="x","+F","N/A"))))))</f>
        <v>N/A</v>
      </c>
      <c r="O27" s="863"/>
      <c r="P27" s="862" t="str">
        <f>IF('Tableau 2-A-Analyse FC'!K70="x","-F",IF('Tableau 2-A-Analyse FC'!L70="x","-M",IF('Tableau 2-A-Analyse FC'!M70="x","-L",IF('Tableau 2-A-Analyse FC'!N70="x","+L",IF('Tableau 2-A-Analyse FC'!O70="x","+M",IF('Tableau 2-A-Analyse FC'!P70="x","+F","N/A"))))))</f>
        <v>N/A</v>
      </c>
      <c r="Q27" s="863"/>
      <c r="R27" s="862" t="str">
        <f>IF('Tableau 2-A-Analyse FC'!K102="x","-F",IF('Tableau 2-A-Analyse FC'!L102="x","-M",IF('Tableau 2-A-Analyse FC'!M102="x","-L",IF('Tableau 2-A-Analyse FC'!N102="x","+L",IF('Tableau 2-A-Analyse FC'!O102="x","+M",IF('Tableau 2-A-Analyse FC'!P102="x","+F","N/A"))))))</f>
        <v>N/A</v>
      </c>
      <c r="S27" s="863"/>
      <c r="T27" s="862" t="str">
        <f>IF('Tableau 2-A-Analyse FC'!K134="x","-F",IF('Tableau 2-A-Analyse FC'!L134="x","-M",IF('Tableau 2-A-Analyse FC'!M134="x","-L",IF('Tableau 2-A-Analyse FC'!N134="x","+L",IF('Tableau 2-A-Analyse FC'!O134="x","+M",IF('Tableau 2-A-Analyse FC'!P134="x","+F","N/A"))))))</f>
        <v>N/A</v>
      </c>
      <c r="U27" s="863"/>
      <c r="V27" s="862" t="str">
        <f>IF('Tableau 2-A-Analyse FC'!K166="x","-F",IF('Tableau 2-A-Analyse FC'!L166="x","-M",IF('Tableau 2-A-Analyse FC'!M166="x","-L",IF('Tableau 2-A-Analyse FC'!N166="x","+L",IF('Tableau 2-A-Analyse FC'!O166="x","+M",IF('Tableau 2-A-Analyse FC'!P166="x","+F","N/A"))))))</f>
        <v>N/A</v>
      </c>
      <c r="W27" s="863"/>
    </row>
    <row r="28" spans="1:23" s="84" customFormat="1" ht="21.75" customHeight="1" thickBot="1" x14ac:dyDescent="0.25">
      <c r="A28" s="865"/>
      <c r="B28" s="820" t="s">
        <v>82</v>
      </c>
      <c r="C28" s="821"/>
      <c r="D28" s="821"/>
      <c r="E28" s="821"/>
      <c r="F28" s="821"/>
      <c r="G28" s="821"/>
      <c r="H28" s="821"/>
      <c r="I28" s="821"/>
      <c r="J28" s="821"/>
      <c r="K28" s="821"/>
      <c r="L28" s="290"/>
      <c r="M28" s="885" t="s">
        <v>82</v>
      </c>
      <c r="N28" s="886"/>
      <c r="O28" s="886"/>
      <c r="P28" s="886"/>
      <c r="Q28" s="886"/>
      <c r="R28" s="886"/>
      <c r="S28" s="886"/>
      <c r="T28" s="886"/>
      <c r="U28" s="886"/>
      <c r="V28" s="886"/>
      <c r="W28" s="887"/>
    </row>
    <row r="29" spans="1:23" x14ac:dyDescent="0.25">
      <c r="A29" s="864"/>
      <c r="B29" s="842"/>
      <c r="C29" s="843"/>
      <c r="D29" s="843"/>
      <c r="E29" s="843"/>
      <c r="F29" s="843"/>
      <c r="G29" s="843"/>
      <c r="H29" s="843"/>
      <c r="I29" s="843"/>
      <c r="J29" s="843"/>
      <c r="K29" s="843"/>
      <c r="L29" s="844"/>
      <c r="M29" s="842"/>
      <c r="N29" s="888"/>
      <c r="O29" s="888"/>
      <c r="P29" s="888"/>
      <c r="Q29" s="888"/>
      <c r="R29" s="888"/>
      <c r="S29" s="888"/>
      <c r="T29" s="888"/>
      <c r="U29" s="888"/>
      <c r="V29" s="888"/>
      <c r="W29" s="889"/>
    </row>
    <row r="30" spans="1:23" x14ac:dyDescent="0.25">
      <c r="A30" s="864"/>
      <c r="B30" s="845"/>
      <c r="C30" s="846"/>
      <c r="D30" s="846"/>
      <c r="E30" s="846"/>
      <c r="F30" s="846"/>
      <c r="G30" s="846"/>
      <c r="H30" s="846"/>
      <c r="I30" s="846"/>
      <c r="J30" s="846"/>
      <c r="K30" s="846"/>
      <c r="L30" s="847"/>
      <c r="M30" s="849"/>
      <c r="N30" s="848"/>
      <c r="O30" s="848"/>
      <c r="P30" s="848"/>
      <c r="Q30" s="848"/>
      <c r="R30" s="848"/>
      <c r="S30" s="848"/>
      <c r="T30" s="848"/>
      <c r="U30" s="848"/>
      <c r="V30" s="848"/>
      <c r="W30" s="852"/>
    </row>
    <row r="31" spans="1:23" x14ac:dyDescent="0.25">
      <c r="A31" s="864"/>
      <c r="B31" s="845"/>
      <c r="C31" s="846"/>
      <c r="D31" s="846"/>
      <c r="E31" s="846"/>
      <c r="F31" s="846"/>
      <c r="G31" s="846"/>
      <c r="H31" s="846"/>
      <c r="I31" s="846"/>
      <c r="J31" s="846"/>
      <c r="K31" s="846"/>
      <c r="L31" s="847"/>
      <c r="M31" s="849"/>
      <c r="N31" s="848"/>
      <c r="O31" s="848"/>
      <c r="P31" s="848"/>
      <c r="Q31" s="848"/>
      <c r="R31" s="848"/>
      <c r="S31" s="848"/>
      <c r="T31" s="848"/>
      <c r="U31" s="848"/>
      <c r="V31" s="848"/>
      <c r="W31" s="852"/>
    </row>
    <row r="32" spans="1:23" ht="15.75" thickBot="1" x14ac:dyDescent="0.3">
      <c r="A32" s="864"/>
      <c r="B32" s="898"/>
      <c r="C32" s="899"/>
      <c r="D32" s="899"/>
      <c r="E32" s="899"/>
      <c r="F32" s="899"/>
      <c r="G32" s="899"/>
      <c r="H32" s="899"/>
      <c r="I32" s="899"/>
      <c r="J32" s="899"/>
      <c r="K32" s="899"/>
      <c r="L32" s="900"/>
      <c r="M32" s="850"/>
      <c r="N32" s="851"/>
      <c r="O32" s="851"/>
      <c r="P32" s="851"/>
      <c r="Q32" s="851"/>
      <c r="R32" s="851"/>
      <c r="S32" s="851"/>
      <c r="T32" s="851"/>
      <c r="U32" s="851"/>
      <c r="V32" s="851"/>
      <c r="W32" s="853"/>
    </row>
    <row r="33" spans="1:23" ht="26.25" customHeight="1" x14ac:dyDescent="0.25">
      <c r="A33" s="865"/>
      <c r="B33" s="878" t="s">
        <v>83</v>
      </c>
      <c r="C33" s="879"/>
      <c r="D33" s="940"/>
      <c r="E33" s="940"/>
      <c r="F33" s="955"/>
      <c r="G33" s="356" t="s">
        <v>68</v>
      </c>
      <c r="H33" s="352" t="s">
        <v>69</v>
      </c>
      <c r="I33" s="264" t="s">
        <v>70</v>
      </c>
      <c r="J33" s="111" t="s">
        <v>71</v>
      </c>
      <c r="K33" s="112" t="s">
        <v>72</v>
      </c>
      <c r="L33" s="293"/>
      <c r="M33" s="870" t="s">
        <v>83</v>
      </c>
      <c r="N33" s="877"/>
      <c r="O33" s="822" t="s">
        <v>68</v>
      </c>
      <c r="P33" s="822"/>
      <c r="Q33" s="822"/>
      <c r="R33" s="822"/>
      <c r="S33" s="260" t="s">
        <v>69</v>
      </c>
      <c r="T33" s="199" t="s">
        <v>70</v>
      </c>
      <c r="U33" s="200" t="s">
        <v>71</v>
      </c>
      <c r="V33" s="201" t="s">
        <v>72</v>
      </c>
      <c r="W33" s="291"/>
    </row>
    <row r="34" spans="1:23" ht="15.75" thickBot="1" x14ac:dyDescent="0.3">
      <c r="A34" s="865"/>
      <c r="B34" s="880"/>
      <c r="C34" s="881"/>
      <c r="D34" s="928"/>
      <c r="E34" s="928"/>
      <c r="F34" s="956"/>
      <c r="G34" s="357"/>
      <c r="H34" s="354"/>
      <c r="I34" s="354"/>
      <c r="J34" s="354"/>
      <c r="K34" s="355"/>
      <c r="L34" s="293"/>
      <c r="M34" s="872"/>
      <c r="N34" s="876"/>
      <c r="O34" s="823"/>
      <c r="P34" s="824"/>
      <c r="Q34" s="824"/>
      <c r="R34" s="825"/>
      <c r="S34" s="294"/>
      <c r="T34" s="294"/>
      <c r="U34" s="294"/>
      <c r="V34" s="294"/>
      <c r="W34" s="291"/>
    </row>
    <row r="35" spans="1:23" ht="5.85" customHeight="1" thickBot="1" x14ac:dyDescent="0.3">
      <c r="A35" s="35"/>
      <c r="B35" s="304"/>
      <c r="C35" s="299"/>
      <c r="D35" s="299"/>
      <c r="E35" s="299"/>
      <c r="F35" s="299"/>
      <c r="G35" s="305"/>
      <c r="H35" s="305"/>
      <c r="I35" s="305"/>
      <c r="J35" s="305"/>
      <c r="K35" s="306"/>
      <c r="L35" s="299"/>
      <c r="M35" s="304"/>
      <c r="N35" s="299"/>
      <c r="O35" s="305"/>
      <c r="P35" s="305"/>
      <c r="Q35" s="305"/>
      <c r="R35" s="305"/>
      <c r="S35" s="305"/>
      <c r="T35" s="305"/>
      <c r="U35" s="305"/>
      <c r="V35" s="306"/>
      <c r="W35" s="306"/>
    </row>
    <row r="36" spans="1:23" ht="28.5" customHeight="1" thickBot="1" x14ac:dyDescent="0.3">
      <c r="A36" s="868" t="s">
        <v>98</v>
      </c>
      <c r="B36" s="797" t="s">
        <v>84</v>
      </c>
      <c r="C36" s="798"/>
      <c r="D36" s="798"/>
      <c r="E36" s="798"/>
      <c r="F36" s="798"/>
      <c r="G36" s="798"/>
      <c r="H36" s="798"/>
      <c r="I36" s="798"/>
      <c r="J36" s="798"/>
      <c r="K36" s="798"/>
      <c r="L36" s="287"/>
      <c r="M36" s="817" t="s">
        <v>94</v>
      </c>
      <c r="N36" s="818"/>
      <c r="O36" s="818"/>
      <c r="P36" s="818"/>
      <c r="Q36" s="818"/>
      <c r="R36" s="818"/>
      <c r="S36" s="818"/>
      <c r="T36" s="818"/>
      <c r="U36" s="818"/>
      <c r="V36" s="818"/>
      <c r="W36" s="819"/>
    </row>
    <row r="37" spans="1:23" ht="23.25" customHeight="1" thickBot="1" x14ac:dyDescent="0.3">
      <c r="A37" s="868"/>
      <c r="B37" s="831" t="s">
        <v>80</v>
      </c>
      <c r="C37" s="832"/>
      <c r="D37" s="832"/>
      <c r="E37" s="832"/>
      <c r="F37" s="832"/>
      <c r="G37" s="832"/>
      <c r="H37" s="832"/>
      <c r="I37" s="832"/>
      <c r="J37" s="832"/>
      <c r="K37" s="832"/>
      <c r="L37" s="279"/>
      <c r="M37" s="831" t="s">
        <v>80</v>
      </c>
      <c r="N37" s="832"/>
      <c r="O37" s="832"/>
      <c r="P37" s="832"/>
      <c r="Q37" s="832"/>
      <c r="R37" s="832"/>
      <c r="S37" s="832"/>
      <c r="T37" s="832"/>
      <c r="U37" s="832"/>
      <c r="V37" s="832"/>
      <c r="W37" s="890"/>
    </row>
    <row r="38" spans="1:23" ht="27.75" customHeight="1" thickBot="1" x14ac:dyDescent="0.3">
      <c r="A38" s="868"/>
      <c r="B38" s="307" t="s">
        <v>77</v>
      </c>
      <c r="C38" s="950" t="s">
        <v>141</v>
      </c>
      <c r="D38" s="951"/>
      <c r="E38" s="951"/>
      <c r="F38" s="951"/>
      <c r="G38" s="348" t="s">
        <v>68</v>
      </c>
      <c r="H38" s="260" t="s">
        <v>69</v>
      </c>
      <c r="I38" s="199" t="s">
        <v>70</v>
      </c>
      <c r="J38" s="200" t="s">
        <v>71</v>
      </c>
      <c r="K38" s="201" t="s">
        <v>72</v>
      </c>
      <c r="L38" s="294"/>
      <c r="M38" s="923"/>
      <c r="N38" s="888"/>
      <c r="O38" s="888"/>
      <c r="P38" s="888"/>
      <c r="Q38" s="888"/>
      <c r="R38" s="888"/>
      <c r="S38" s="888"/>
      <c r="T38" s="888"/>
      <c r="U38" s="888"/>
      <c r="V38" s="888"/>
      <c r="W38" s="889"/>
    </row>
    <row r="39" spans="1:23" ht="39" customHeight="1" thickBot="1" x14ac:dyDescent="0.3">
      <c r="A39" s="868"/>
      <c r="B39" s="139" t="s">
        <v>140</v>
      </c>
      <c r="C39" s="952" t="s">
        <v>195</v>
      </c>
      <c r="D39" s="953"/>
      <c r="E39" s="953"/>
      <c r="F39" s="954"/>
      <c r="G39" s="548" t="b">
        <f>IF('Tableau 1-B Analyse du Contexte'!$K$7="Oui",IF('Tableau 1-D-Résultats'!N32="","N/A",'Tableau 1-D-Résultats'!N32), IF('Tableau 1-B Analyse du Contexte'!$K$7="Non",IF('Tableau 1-B Analyse du Contexte'!$K$8="Oui",IF('Tableau 1-D-Résultats'!$V32="F3",IF('Tableau 1-D-Résultats'!N32="","N/A",'Tableau 1-D-Résultats'!N32),IF('Tableau 1-D-Résultats'!N32="","N/A"," F3 exigé")),IF('Tableau 1-D-Résultats'!$V32="F0",IF('Tableau 1-D-Résultats'!N32="","N/A","F0"),IF('Tableau 1-D-Résultats'!$V32="F1",IF('Tableau 1-D-Résultats'!N32="","N/A","F1"),IF('Tableau 1-D-Résultats'!$V$32="Erreur","fiabilité",IF('Tableau 1-D-Résultats'!N32="","N/A",'Tableau 1-D-Résultats'!N32)))))))</f>
        <v>0</v>
      </c>
      <c r="H39" s="548" t="b">
        <f>IF('Tableau 1-B Analyse du Contexte'!$K$7="Oui",IF('Tableau 1-D-Résultats'!O32="","N/A",'Tableau 1-D-Résultats'!O32), IF('Tableau 1-B Analyse du Contexte'!$K$7="Non",IF('Tableau 1-B Analyse du Contexte'!$K$8="Oui",IF('Tableau 1-D-Résultats'!$V32="F3",IF('Tableau 1-D-Résultats'!O32="","N/A",'Tableau 1-D-Résultats'!O32),IF('Tableau 1-D-Résultats'!O32="","N/A"," F3 exigé")),IF('Tableau 1-D-Résultats'!$V32="F0",IF('Tableau 1-D-Résultats'!O32="","N/A","F0"),IF('Tableau 1-D-Résultats'!$V32="F1",IF('Tableau 1-D-Résultats'!O32="","N/A","F1"),IF('Tableau 1-D-Résultats'!$V$32="Erreur","fiabilité",IF('Tableau 1-D-Résultats'!O32="","N/A",'Tableau 1-D-Résultats'!O32)))))))</f>
        <v>0</v>
      </c>
      <c r="I39" s="548" t="b">
        <f>IF('Tableau 1-B Analyse du Contexte'!$K$7="Oui",IF('Tableau 1-D-Résultats'!P32="","N/A",'Tableau 1-D-Résultats'!P32), IF('Tableau 1-B Analyse du Contexte'!$K$7="Non",IF('Tableau 1-B Analyse du Contexte'!$K$8="Oui",IF('Tableau 1-D-Résultats'!$V32="F3",IF('Tableau 1-D-Résultats'!P32="","N/A",'Tableau 1-D-Résultats'!P32),IF('Tableau 1-D-Résultats'!P32="","N/A"," F3 exigé")),IF('Tableau 1-D-Résultats'!$V32="F0",IF('Tableau 1-D-Résultats'!P32="","N/A","F0"),IF('Tableau 1-D-Résultats'!$V32="F1",IF('Tableau 1-D-Résultats'!P32="","N/A","F1"),IF('Tableau 1-D-Résultats'!$V$32="Erreur","fiabilité",IF('Tableau 1-D-Résultats'!P32="","N/A",'Tableau 1-D-Résultats'!P32)))))))</f>
        <v>0</v>
      </c>
      <c r="J39" s="548" t="b">
        <f>IF('Tableau 1-B Analyse du Contexte'!$K$7="Oui",IF('Tableau 1-D-Résultats'!Q32="","N/A",'Tableau 1-D-Résultats'!Q32), IF('Tableau 1-B Analyse du Contexte'!$K$7="Non",IF('Tableau 1-B Analyse du Contexte'!$K$8="Oui",IF('Tableau 1-D-Résultats'!$V32="F3",IF('Tableau 1-D-Résultats'!Q32="","N/A",'Tableau 1-D-Résultats'!Q32),IF('Tableau 1-D-Résultats'!Q32="","N/A"," F3 exigé")),IF('Tableau 1-D-Résultats'!$V32="F0",IF('Tableau 1-D-Résultats'!Q32="","N/A","F0"),IF('Tableau 1-D-Résultats'!$V32="F1",IF('Tableau 1-D-Résultats'!Q32="","N/A","F1"),IF('Tableau 1-D-Résultats'!$V$32="Erreur","fiabilité",IF('Tableau 1-D-Résultats'!Q32="","N/A",'Tableau 1-D-Résultats'!Q32)))))))</f>
        <v>0</v>
      </c>
      <c r="K39" s="428" t="s">
        <v>196</v>
      </c>
      <c r="L39" s="357">
        <v>2</v>
      </c>
      <c r="M39" s="849"/>
      <c r="N39" s="848"/>
      <c r="O39" s="848"/>
      <c r="P39" s="848"/>
      <c r="Q39" s="848"/>
      <c r="R39" s="848"/>
      <c r="S39" s="848"/>
      <c r="T39" s="848"/>
      <c r="U39" s="848"/>
      <c r="V39" s="848"/>
      <c r="W39" s="852"/>
    </row>
    <row r="40" spans="1:23" ht="16.5" customHeight="1" thickBot="1" x14ac:dyDescent="0.3">
      <c r="A40" s="868"/>
      <c r="B40" s="789" t="s">
        <v>260</v>
      </c>
      <c r="C40" s="790"/>
      <c r="D40" s="790"/>
      <c r="E40" s="790"/>
      <c r="F40" s="790"/>
      <c r="G40" s="790"/>
      <c r="H40" s="790"/>
      <c r="I40" s="790"/>
      <c r="J40" s="790"/>
      <c r="K40" s="790"/>
      <c r="L40" s="791"/>
      <c r="M40" s="789" t="s">
        <v>260</v>
      </c>
      <c r="N40" s="790"/>
      <c r="O40" s="790"/>
      <c r="P40" s="790"/>
      <c r="Q40" s="790"/>
      <c r="R40" s="790"/>
      <c r="S40" s="790"/>
      <c r="T40" s="790"/>
      <c r="U40" s="790"/>
      <c r="V40" s="790"/>
      <c r="W40" s="791"/>
    </row>
    <row r="41" spans="1:23" s="550" customFormat="1" ht="27" customHeight="1" thickBot="1" x14ac:dyDescent="0.3">
      <c r="A41" s="868"/>
      <c r="B41" s="551"/>
      <c r="C41" s="861" t="s">
        <v>110</v>
      </c>
      <c r="D41" s="861"/>
      <c r="E41" s="861" t="s">
        <v>225</v>
      </c>
      <c r="F41" s="861"/>
      <c r="G41" s="861" t="s">
        <v>261</v>
      </c>
      <c r="H41" s="861"/>
      <c r="I41" s="861" t="s">
        <v>262</v>
      </c>
      <c r="J41" s="861"/>
      <c r="K41" s="861" t="s">
        <v>14</v>
      </c>
      <c r="L41" s="861"/>
      <c r="M41" s="551"/>
      <c r="N41" s="861" t="s">
        <v>110</v>
      </c>
      <c r="O41" s="861"/>
      <c r="P41" s="861" t="s">
        <v>225</v>
      </c>
      <c r="Q41" s="861"/>
      <c r="R41" s="861" t="s">
        <v>261</v>
      </c>
      <c r="S41" s="861"/>
      <c r="T41" s="861" t="s">
        <v>262</v>
      </c>
      <c r="U41" s="861"/>
      <c r="V41" s="861" t="s">
        <v>14</v>
      </c>
      <c r="W41" s="861"/>
    </row>
    <row r="42" spans="1:23" s="550" customFormat="1" ht="27" customHeight="1" thickBot="1" x14ac:dyDescent="0.3">
      <c r="A42" s="868"/>
      <c r="B42" s="552" t="s">
        <v>266</v>
      </c>
      <c r="C42" s="858" t="str">
        <f>IF('Tableau 2-A-Analyse FC'!D36="x","-F",IF('Tableau 2-A-Analyse FC'!E36="x","-M",IF('Tableau 2-A-Analyse FC'!F36="x","-L",IF('Tableau 2-A-Analyse FC'!G36="x","+L",IF('Tableau 2-A-Analyse FC'!H36="x","+M",IF('Tableau 2-A-Analyse FC'!I36="x","+F","N/A"))))))</f>
        <v>N/A</v>
      </c>
      <c r="D42" s="859"/>
      <c r="E42" s="858" t="str">
        <f>IF('Tableau 2-A-Analyse FC'!D71="x","-F",IF('Tableau 2-A-Analyse FC'!E71="x","-M",IF('Tableau 2-A-Analyse FC'!F71="x","-L",IF('Tableau 2-A-Analyse FC'!G71="x","+L",IF('Tableau 2-A-Analyse FC'!H71="x","+M",IF('Tableau 2-A-Analyse FC'!I71="x","+F","N/A"))))))</f>
        <v>N/A</v>
      </c>
      <c r="F42" s="859"/>
      <c r="G42" s="858" t="str">
        <f>IF('Tableau 2-A-Analyse FC'!D103="x","-F",IF('Tableau 2-A-Analyse FC'!E103="x","-M",IF('Tableau 2-A-Analyse FC'!F103="x","-L",IF('Tableau 2-A-Analyse FC'!G103="x","+L",IF('Tableau 2-A-Analyse FC'!H103="x","+M",IF('Tableau 2-A-Analyse FC'!I103="x","+F","N/A"))))))</f>
        <v>N/A</v>
      </c>
      <c r="H42" s="859"/>
      <c r="I42" s="858" t="str">
        <f>IF('Tableau 2-A-Analyse FC'!D135="x","-F",IF('Tableau 2-A-Analyse FC'!E135="x","-M",IF('Tableau 2-A-Analyse FC'!F135="x","-L",IF('Tableau 2-A-Analyse FC'!G135="x","+L",IF('Tableau 2-A-Analyse FC'!H135="x","+M",IF('Tableau 2-A-Analyse FC'!I135="x","+F","N/A"))))))</f>
        <v>N/A</v>
      </c>
      <c r="J42" s="859"/>
      <c r="K42" s="858" t="str">
        <f>IF('Tableau 2-A-Analyse FC'!D167="x","-F",IF('Tableau 2-A-Analyse FC'!E167="x","-M",IF('Tableau 2-A-Analyse FC'!F167="x","-L",IF('Tableau 2-A-Analyse FC'!G167="x","+L",IF('Tableau 2-A-Analyse FC'!H167="x","+M",IF('Tableau 2-A-Analyse FC'!I167="x","+F","N/A"))))))</f>
        <v>N/A</v>
      </c>
      <c r="L42" s="860"/>
      <c r="M42" s="552" t="s">
        <v>266</v>
      </c>
      <c r="N42" s="862" t="str">
        <f>IF('Tableau 2-A-Analyse FC'!K36="x","-F",IF('Tableau 2-A-Analyse FC'!L36="x","-M",IF('Tableau 2-A-Analyse FC'!M36="x","-L",IF('Tableau 2-A-Analyse FC'!N36="x","+L",IF('Tableau 2-A-Analyse FC'!O36="x","+M",IF('Tableau 2-A-Analyse FC'!P36="x","+F","N/A"))))))</f>
        <v>N/A</v>
      </c>
      <c r="O42" s="863"/>
      <c r="P42" s="862" t="str">
        <f>IF('Tableau 2-A-Analyse FC'!K71="x","-F",IF('Tableau 2-A-Analyse FC'!L71="x","-M",IF('Tableau 2-A-Analyse FC'!M71="x","-L",IF('Tableau 2-A-Analyse FC'!N71="x","+L",IF('Tableau 2-A-Analyse FC'!O71="x","+M",IF('Tableau 2-A-Analyse FC'!P71="x","+F","N/A"))))))</f>
        <v>N/A</v>
      </c>
      <c r="Q42" s="863"/>
      <c r="R42" s="862" t="str">
        <f>IF('Tableau 2-A-Analyse FC'!K103="x","-F",IF('Tableau 2-A-Analyse FC'!L103="x","-M",IF('Tableau 2-A-Analyse FC'!M103="x","-L",IF('Tableau 2-A-Analyse FC'!N103="x","+L",IF('Tableau 2-A-Analyse FC'!O103="x","+M",IF('Tableau 2-A-Analyse FC'!P103="x","+F","N/A"))))))</f>
        <v>N/A</v>
      </c>
      <c r="S42" s="863"/>
      <c r="T42" s="862" t="str">
        <f>IF('Tableau 2-A-Analyse FC'!K135="x","-F",IF('Tableau 2-A-Analyse FC'!L135="x","-M",IF('Tableau 2-A-Analyse FC'!M135="x","-L",IF('Tableau 2-A-Analyse FC'!N135="x","+L",IF('Tableau 2-A-Analyse FC'!O135="x","+M",IF('Tableau 2-A-Analyse FC'!P135="x","+F","N/A"))))))</f>
        <v>N/A</v>
      </c>
      <c r="U42" s="863"/>
      <c r="V42" s="862" t="str">
        <f>IF('Tableau 2-A-Analyse FC'!K167="x","-F",IF('Tableau 2-A-Analyse FC'!L167="x","-M",IF('Tableau 2-A-Analyse FC'!M167="x","-L",IF('Tableau 2-A-Analyse FC'!N167="x","+L",IF('Tableau 2-A-Analyse FC'!O167="x","+M",IF('Tableau 2-A-Analyse FC'!P167="x","+F","N/A"))))))</f>
        <v>N/A</v>
      </c>
      <c r="W42" s="863"/>
    </row>
    <row r="43" spans="1:23" ht="16.350000000000001" customHeight="1" thickBot="1" x14ac:dyDescent="0.3">
      <c r="A43" s="868"/>
      <c r="B43" s="941" t="s">
        <v>85</v>
      </c>
      <c r="C43" s="942"/>
      <c r="D43" s="942"/>
      <c r="E43" s="942"/>
      <c r="F43" s="942"/>
      <c r="G43" s="942"/>
      <c r="H43" s="942"/>
      <c r="I43" s="942"/>
      <c r="J43" s="942"/>
      <c r="K43" s="942"/>
      <c r="L43" s="549"/>
      <c r="M43" s="924" t="s">
        <v>85</v>
      </c>
      <c r="N43" s="925"/>
      <c r="O43" s="925"/>
      <c r="P43" s="925"/>
      <c r="Q43" s="925"/>
      <c r="R43" s="925"/>
      <c r="S43" s="925"/>
      <c r="T43" s="925"/>
      <c r="U43" s="925"/>
      <c r="V43" s="925"/>
      <c r="W43" s="926"/>
    </row>
    <row r="44" spans="1:23" x14ac:dyDescent="0.25">
      <c r="A44" s="869"/>
      <c r="B44" s="842"/>
      <c r="C44" s="913"/>
      <c r="D44" s="913"/>
      <c r="E44" s="913"/>
      <c r="F44" s="913"/>
      <c r="G44" s="913"/>
      <c r="H44" s="913"/>
      <c r="I44" s="913"/>
      <c r="J44" s="913"/>
      <c r="K44" s="913"/>
      <c r="L44" s="914"/>
      <c r="M44" s="842"/>
      <c r="N44" s="888"/>
      <c r="O44" s="888"/>
      <c r="P44" s="888"/>
      <c r="Q44" s="888"/>
      <c r="R44" s="888"/>
      <c r="S44" s="888"/>
      <c r="T44" s="888"/>
      <c r="U44" s="888"/>
      <c r="V44" s="888"/>
      <c r="W44" s="889"/>
    </row>
    <row r="45" spans="1:23" x14ac:dyDescent="0.25">
      <c r="A45" s="869"/>
      <c r="B45" s="915"/>
      <c r="C45" s="916"/>
      <c r="D45" s="916"/>
      <c r="E45" s="916"/>
      <c r="F45" s="916"/>
      <c r="G45" s="916"/>
      <c r="H45" s="916"/>
      <c r="I45" s="916"/>
      <c r="J45" s="916"/>
      <c r="K45" s="916"/>
      <c r="L45" s="917"/>
      <c r="M45" s="849"/>
      <c r="N45" s="848"/>
      <c r="O45" s="848"/>
      <c r="P45" s="848"/>
      <c r="Q45" s="848"/>
      <c r="R45" s="848"/>
      <c r="S45" s="848"/>
      <c r="T45" s="848"/>
      <c r="U45" s="848"/>
      <c r="V45" s="848"/>
      <c r="W45" s="852"/>
    </row>
    <row r="46" spans="1:23" x14ac:dyDescent="0.25">
      <c r="A46" s="869"/>
      <c r="B46" s="915"/>
      <c r="C46" s="916"/>
      <c r="D46" s="916"/>
      <c r="E46" s="916"/>
      <c r="F46" s="916"/>
      <c r="G46" s="916"/>
      <c r="H46" s="916"/>
      <c r="I46" s="916"/>
      <c r="J46" s="916"/>
      <c r="K46" s="916"/>
      <c r="L46" s="917"/>
      <c r="M46" s="849"/>
      <c r="N46" s="848"/>
      <c r="O46" s="848"/>
      <c r="P46" s="848"/>
      <c r="Q46" s="848"/>
      <c r="R46" s="848"/>
      <c r="S46" s="848"/>
      <c r="T46" s="848"/>
      <c r="U46" s="848"/>
      <c r="V46" s="848"/>
      <c r="W46" s="852"/>
    </row>
    <row r="47" spans="1:23" ht="15.75" thickBot="1" x14ac:dyDescent="0.3">
      <c r="A47" s="869"/>
      <c r="B47" s="918"/>
      <c r="C47" s="919"/>
      <c r="D47" s="919"/>
      <c r="E47" s="919"/>
      <c r="F47" s="919"/>
      <c r="G47" s="919"/>
      <c r="H47" s="919"/>
      <c r="I47" s="919"/>
      <c r="J47" s="919"/>
      <c r="K47" s="919"/>
      <c r="L47" s="920"/>
      <c r="M47" s="850"/>
      <c r="N47" s="851"/>
      <c r="O47" s="851"/>
      <c r="P47" s="851"/>
      <c r="Q47" s="851"/>
      <c r="R47" s="851"/>
      <c r="S47" s="851"/>
      <c r="T47" s="851"/>
      <c r="U47" s="851"/>
      <c r="V47" s="851"/>
      <c r="W47" s="853"/>
    </row>
    <row r="48" spans="1:23" ht="29.25" customHeight="1" thickBot="1" x14ac:dyDescent="0.3">
      <c r="A48" s="868"/>
      <c r="B48" s="870" t="s">
        <v>86</v>
      </c>
      <c r="C48" s="871"/>
      <c r="D48" s="940"/>
      <c r="E48" s="940"/>
      <c r="F48" s="940"/>
      <c r="G48" s="348" t="s">
        <v>68</v>
      </c>
      <c r="H48" s="260" t="s">
        <v>69</v>
      </c>
      <c r="I48" s="199" t="s">
        <v>70</v>
      </c>
      <c r="J48" s="200" t="s">
        <v>71</v>
      </c>
      <c r="K48" s="201" t="s">
        <v>72</v>
      </c>
      <c r="L48" s="293"/>
      <c r="M48" s="874" t="s">
        <v>86</v>
      </c>
      <c r="N48" s="875"/>
      <c r="O48" s="822" t="s">
        <v>68</v>
      </c>
      <c r="P48" s="822"/>
      <c r="Q48" s="822"/>
      <c r="R48" s="822"/>
      <c r="S48" s="260" t="s">
        <v>69</v>
      </c>
      <c r="T48" s="199" t="s">
        <v>70</v>
      </c>
      <c r="U48" s="200" t="s">
        <v>71</v>
      </c>
      <c r="V48" s="201" t="s">
        <v>72</v>
      </c>
      <c r="W48" s="287"/>
    </row>
    <row r="49" spans="1:23" ht="15.75" thickBot="1" x14ac:dyDescent="0.3">
      <c r="A49" s="868"/>
      <c r="B49" s="872"/>
      <c r="C49" s="873"/>
      <c r="D49" s="928"/>
      <c r="E49" s="928"/>
      <c r="F49" s="928"/>
      <c r="G49" s="294"/>
      <c r="H49" s="294"/>
      <c r="I49" s="294"/>
      <c r="J49" s="294"/>
      <c r="K49" s="294"/>
      <c r="L49" s="170"/>
      <c r="M49" s="872"/>
      <c r="N49" s="876"/>
      <c r="O49" s="823"/>
      <c r="P49" s="824"/>
      <c r="Q49" s="824"/>
      <c r="R49" s="825"/>
      <c r="S49" s="294"/>
      <c r="T49" s="294"/>
      <c r="U49" s="294"/>
      <c r="V49" s="294"/>
      <c r="W49" s="302"/>
    </row>
    <row r="50" spans="1:23" ht="5.85" customHeight="1" thickBot="1" x14ac:dyDescent="0.3">
      <c r="A50" s="30"/>
      <c r="B50" s="31"/>
      <c r="C50" s="32"/>
      <c r="D50" s="32"/>
      <c r="E50" s="32"/>
      <c r="F50" s="32"/>
      <c r="G50" s="33"/>
      <c r="H50" s="33"/>
      <c r="I50" s="33"/>
      <c r="J50" s="33"/>
      <c r="K50" s="34"/>
      <c r="L50" s="32"/>
      <c r="M50" s="31"/>
      <c r="N50" s="32"/>
      <c r="O50" s="33"/>
      <c r="P50" s="33"/>
      <c r="Q50" s="33"/>
      <c r="R50" s="33"/>
      <c r="S50" s="33"/>
      <c r="T50" s="33"/>
      <c r="U50" s="33"/>
      <c r="V50" s="34"/>
      <c r="W50" s="34"/>
    </row>
    <row r="51" spans="1:23" ht="33.75" customHeight="1" thickBot="1" x14ac:dyDescent="0.3">
      <c r="A51" s="864" t="s">
        <v>97</v>
      </c>
      <c r="B51" s="831" t="s">
        <v>87</v>
      </c>
      <c r="C51" s="832"/>
      <c r="D51" s="832"/>
      <c r="E51" s="832"/>
      <c r="F51" s="832"/>
      <c r="G51" s="832"/>
      <c r="H51" s="832"/>
      <c r="I51" s="832"/>
      <c r="J51" s="832"/>
      <c r="K51" s="832"/>
      <c r="L51" s="890"/>
      <c r="M51" s="831" t="s">
        <v>96</v>
      </c>
      <c r="N51" s="832"/>
      <c r="O51" s="832"/>
      <c r="P51" s="832"/>
      <c r="Q51" s="832"/>
      <c r="R51" s="832"/>
      <c r="S51" s="832"/>
      <c r="T51" s="832"/>
      <c r="U51" s="832"/>
      <c r="V51" s="832"/>
      <c r="W51" s="890"/>
    </row>
    <row r="52" spans="1:23" ht="15.75" customHeight="1" thickBot="1" x14ac:dyDescent="0.3">
      <c r="A52" s="864"/>
      <c r="B52" s="831" t="s">
        <v>80</v>
      </c>
      <c r="C52" s="832"/>
      <c r="D52" s="832"/>
      <c r="E52" s="832"/>
      <c r="F52" s="832"/>
      <c r="G52" s="832"/>
      <c r="H52" s="832"/>
      <c r="I52" s="832"/>
      <c r="J52" s="832"/>
      <c r="K52" s="818"/>
      <c r="L52" s="890"/>
      <c r="M52" s="280"/>
      <c r="N52" s="281"/>
      <c r="O52" s="281"/>
      <c r="P52" s="281"/>
      <c r="Q52" s="467"/>
      <c r="R52" s="281"/>
      <c r="S52" s="281"/>
      <c r="T52" s="281"/>
      <c r="U52" s="281"/>
      <c r="V52" s="281"/>
      <c r="W52" s="291"/>
    </row>
    <row r="53" spans="1:23" ht="27" customHeight="1" x14ac:dyDescent="0.25">
      <c r="A53" s="864"/>
      <c r="B53" s="210" t="s">
        <v>77</v>
      </c>
      <c r="C53" s="29" t="s">
        <v>141</v>
      </c>
      <c r="D53" s="931"/>
      <c r="E53" s="931"/>
      <c r="F53" s="931"/>
      <c r="G53" s="348" t="s">
        <v>68</v>
      </c>
      <c r="H53" s="260" t="s">
        <v>69</v>
      </c>
      <c r="I53" s="199" t="s">
        <v>70</v>
      </c>
      <c r="J53" s="200" t="s">
        <v>71</v>
      </c>
      <c r="K53" s="201" t="s">
        <v>72</v>
      </c>
      <c r="L53" s="295"/>
      <c r="M53" s="907"/>
      <c r="N53" s="908"/>
      <c r="O53" s="908"/>
      <c r="P53" s="908"/>
      <c r="Q53" s="908"/>
      <c r="R53" s="908"/>
      <c r="S53" s="908"/>
      <c r="T53" s="908"/>
      <c r="U53" s="908"/>
      <c r="V53" s="908"/>
      <c r="W53" s="909"/>
    </row>
    <row r="54" spans="1:23" ht="41.25" customHeight="1" thickBot="1" x14ac:dyDescent="0.3">
      <c r="A54" s="864"/>
      <c r="B54" s="297" t="s">
        <v>176</v>
      </c>
      <c r="C54" s="548" t="b">
        <f>IF('Tableau 1-B Analyse du Contexte'!$K$7="Oui",IF('Tableau 1-D-Résultats'!M35="","N/A",'Tableau 1-D-Résultats'!M35), IF('Tableau 1-B Analyse du Contexte'!$K$7="Non",IF('Tableau 1-B Analyse du Contexte'!$K$8="Oui",IF('Tableau 1-D-Résultats'!$V35="F3",IF('Tableau 1-D-Résultats'!M35="","N/A",'Tableau 1-D-Résultats'!M35),IF('Tableau 1-D-Résultats'!M35="","N/A"," F3 exigé")),IF('Tableau 1-D-Résultats'!$V35="F0",IF('Tableau 1-D-Résultats'!M35="","N/A","F0"),IF('Tableau 1-D-Résultats'!$V35="F1",IF('Tableau 1-D-Résultats'!M35="","N/A","F1"),IF('Tableau 1-D-Résultats'!$V$35="Erreur","fiabilité",IF('Tableau 1-D-Résultats'!M35="","N/A",'Tableau 1-D-Résultats'!M35)))))))</f>
        <v>0</v>
      </c>
      <c r="D54" s="933"/>
      <c r="E54" s="933"/>
      <c r="F54" s="933"/>
      <c r="G54" s="294"/>
      <c r="H54" s="294"/>
      <c r="I54" s="294"/>
      <c r="J54" s="294"/>
      <c r="K54" s="294"/>
      <c r="L54" s="296"/>
      <c r="M54" s="910"/>
      <c r="N54" s="911"/>
      <c r="O54" s="911"/>
      <c r="P54" s="911"/>
      <c r="Q54" s="911"/>
      <c r="R54" s="911"/>
      <c r="S54" s="911"/>
      <c r="T54" s="911"/>
      <c r="U54" s="911"/>
      <c r="V54" s="911"/>
      <c r="W54" s="912"/>
    </row>
    <row r="55" spans="1:23" ht="39" x14ac:dyDescent="0.25">
      <c r="A55" s="864"/>
      <c r="B55" s="405" t="s">
        <v>88</v>
      </c>
      <c r="C55" s="548" t="b">
        <f>IF('Tableau 1-B Analyse du Contexte'!$K$7="Oui",IF('Tableau 1-D-Résultats'!M36="","N/A",'Tableau 1-D-Résultats'!M36), IF('Tableau 1-B Analyse du Contexte'!$K$7="Non",IF('Tableau 1-B Analyse du Contexte'!$K$8="Oui",IF('Tableau 1-D-Résultats'!$V36="F3",IF('Tableau 1-D-Résultats'!M36="","N/A",'Tableau 1-D-Résultats'!M36),IF('Tableau 1-D-Résultats'!M36="","N/A"," F3 exigé")),IF('Tableau 1-D-Résultats'!$V36="F0",IF('Tableau 1-D-Résultats'!M36="","N/A","F0"),IF('Tableau 1-D-Résultats'!$V36="F1",IF('Tableau 1-D-Résultats'!M36="","N/A","F1"),IF('Tableau 1-D-Résultats'!$V$36="Erreur","fiabilité",IF('Tableau 1-D-Résultats'!M36="","N/A",'Tableau 1-D-Résultats'!M36)))))))</f>
        <v>0</v>
      </c>
      <c r="D55" s="933"/>
      <c r="E55" s="933"/>
      <c r="F55" s="933"/>
      <c r="G55" s="294"/>
      <c r="H55" s="294"/>
      <c r="I55" s="294"/>
      <c r="J55" s="294"/>
      <c r="K55" s="294"/>
      <c r="L55" s="296"/>
      <c r="M55" s="866" t="s">
        <v>78</v>
      </c>
      <c r="N55" s="867"/>
      <c r="O55" s="822" t="s">
        <v>68</v>
      </c>
      <c r="P55" s="822"/>
      <c r="Q55" s="822"/>
      <c r="R55" s="822"/>
      <c r="S55" s="260" t="s">
        <v>69</v>
      </c>
      <c r="T55" s="199" t="s">
        <v>70</v>
      </c>
      <c r="U55" s="200" t="s">
        <v>71</v>
      </c>
      <c r="V55" s="201" t="s">
        <v>72</v>
      </c>
      <c r="W55" s="298"/>
    </row>
    <row r="56" spans="1:23" ht="33" customHeight="1" thickBot="1" x14ac:dyDescent="0.3">
      <c r="A56" s="864"/>
      <c r="B56" s="297" t="s">
        <v>28</v>
      </c>
      <c r="C56" s="548" t="b">
        <f>IF('Tableau 1-B Analyse du Contexte'!$K$7="Oui",IF('Tableau 1-D-Résultats'!M38="","N/A",'Tableau 1-D-Résultats'!M38), IF('Tableau 1-B Analyse du Contexte'!$K$7="Non",IF('Tableau 1-B Analyse du Contexte'!$K$8="Oui",IF('Tableau 1-D-Résultats'!$V38="F3",IF('Tableau 1-D-Résultats'!M38="","N/A",'Tableau 1-D-Résultats'!M38),IF('Tableau 1-D-Résultats'!M38="","N/A"," F3 exigé")),IF('Tableau 1-D-Résultats'!$V38="F0",IF('Tableau 1-D-Résultats'!M38="","N/A","F0"),IF('Tableau 1-D-Résultats'!$V38="F1",IF('Tableau 1-D-Résultats'!M38="","N/A","F1"),IF('Tableau 1-D-Résultats'!$V$38="Erreur","fiabilité",IF('Tableau 1-D-Résultats'!M38="","N/A",'Tableau 1-D-Résultats'!M38)))))))</f>
        <v>0</v>
      </c>
      <c r="D56" s="936"/>
      <c r="E56" s="936"/>
      <c r="F56" s="936"/>
      <c r="G56" s="294"/>
      <c r="H56" s="294"/>
      <c r="I56" s="294"/>
      <c r="J56" s="294"/>
      <c r="K56" s="294"/>
      <c r="L56" s="296"/>
      <c r="M56" s="303" t="s">
        <v>88</v>
      </c>
      <c r="N56" s="450" t="b">
        <f>IF('Tableau 1-B Analyse du Contexte'!$K$7="Oui",IF('Tableau 1-D-Résultats'!M37="","N/A",'Tableau 1-D-Résultats'!M37), IF('Tableau 1-B Analyse du Contexte'!$K$7="Non",IF('Tableau 1-B Analyse du Contexte'!$K$8="Oui",IF('Tableau 1-D-Résultats'!$V37="F3",IF('Tableau 1-D-Résultats'!M37="","N/A",'Tableau 1-D-Résultats'!M37),IF('Tableau 1-D-Résultats'!M37="","N/A"," F3 exigé")),IF('Tableau 1-D-Résultats'!$V37="F0",IF('Tableau 1-D-Résultats'!M37="","N/A","F0"),IF('Tableau 1-D-Résultats'!$V37="F1",IF('Tableau 1-D-Résultats'!M37="","N/A","F1"),IF('Tableau 1-D-Résultats'!$V$37="Erreur","fiabilité",IF('Tableau 1-D-Résultats'!M37="","N/A",'Tableau 1-D-Résultats'!M37)))))))</f>
        <v>0</v>
      </c>
      <c r="O56" s="823"/>
      <c r="P56" s="824"/>
      <c r="Q56" s="824"/>
      <c r="R56" s="825"/>
      <c r="S56" s="294"/>
      <c r="T56" s="294"/>
      <c r="U56" s="294"/>
      <c r="V56" s="294"/>
      <c r="W56" s="298"/>
    </row>
    <row r="57" spans="1:23" ht="15.75" customHeight="1" thickBot="1" x14ac:dyDescent="0.3">
      <c r="A57" s="864"/>
      <c r="B57" s="921" t="s">
        <v>81</v>
      </c>
      <c r="C57" s="922"/>
      <c r="D57" s="922"/>
      <c r="E57" s="922"/>
      <c r="F57" s="922"/>
      <c r="G57" s="922"/>
      <c r="H57" s="922"/>
      <c r="I57" s="922"/>
      <c r="J57" s="922"/>
      <c r="K57" s="922"/>
      <c r="L57" s="293"/>
      <c r="M57" s="217"/>
      <c r="N57" s="218"/>
      <c r="O57" s="219"/>
      <c r="P57" s="272"/>
      <c r="Q57" s="272"/>
      <c r="R57" s="220"/>
      <c r="S57" s="221"/>
      <c r="T57" s="221"/>
      <c r="U57" s="221"/>
      <c r="V57" s="222"/>
      <c r="W57" s="298"/>
    </row>
    <row r="58" spans="1:23" ht="15.75" thickBot="1" x14ac:dyDescent="0.3">
      <c r="A58" s="865"/>
      <c r="B58" s="209" t="s">
        <v>29</v>
      </c>
      <c r="C58" s="548" t="b">
        <f>IF('Tableau 1-B Analyse du Contexte'!$K$7="Oui",IF('Tableau 1-D-Résultats'!M39="","N/A",'Tableau 1-D-Résultats'!M39), IF('Tableau 1-B Analyse du Contexte'!$K$7="Non",IF('Tableau 1-B Analyse du Contexte'!$K$8="Oui",IF('Tableau 1-D-Résultats'!$V39="F3",IF('Tableau 1-D-Résultats'!M39="","N/A",'Tableau 1-D-Résultats'!M39),IF('Tableau 1-D-Résultats'!M39="","N/A"," F3 exigé")),IF('Tableau 1-D-Résultats'!$V39="F0",IF('Tableau 1-D-Résultats'!M39="","N/A","F0"),IF('Tableau 1-D-Résultats'!$V39="F1",IF('Tableau 1-D-Résultats'!M39="","N/A","F1"),IF('Tableau 1-D-Résultats'!$V$39="Erreur","fiabilité",IF('Tableau 1-D-Résultats'!M39="","N/A",'Tableau 1-D-Résultats'!M39)))))))</f>
        <v>0</v>
      </c>
      <c r="D58" s="937"/>
      <c r="E58" s="938"/>
      <c r="F58" s="939"/>
      <c r="G58" s="294"/>
      <c r="H58" s="294"/>
      <c r="I58" s="294"/>
      <c r="J58" s="294"/>
      <c r="K58" s="294"/>
      <c r="L58" s="293"/>
      <c r="M58" s="212"/>
      <c r="N58" s="213"/>
      <c r="O58" s="214"/>
      <c r="P58" s="273"/>
      <c r="Q58" s="273"/>
      <c r="R58" s="215"/>
      <c r="S58" s="216"/>
      <c r="T58" s="216"/>
      <c r="U58" s="216"/>
      <c r="V58" s="223"/>
      <c r="W58" s="282"/>
    </row>
    <row r="59" spans="1:23" ht="16.5" customHeight="1" thickBot="1" x14ac:dyDescent="0.3">
      <c r="A59" s="865"/>
      <c r="B59" s="789" t="s">
        <v>260</v>
      </c>
      <c r="C59" s="790"/>
      <c r="D59" s="790"/>
      <c r="E59" s="790"/>
      <c r="F59" s="790"/>
      <c r="G59" s="790"/>
      <c r="H59" s="790"/>
      <c r="I59" s="790"/>
      <c r="J59" s="790"/>
      <c r="K59" s="790"/>
      <c r="L59" s="791"/>
      <c r="M59" s="789" t="s">
        <v>260</v>
      </c>
      <c r="N59" s="790"/>
      <c r="O59" s="790"/>
      <c r="P59" s="790"/>
      <c r="Q59" s="790"/>
      <c r="R59" s="790"/>
      <c r="S59" s="790"/>
      <c r="T59" s="790"/>
      <c r="U59" s="790"/>
      <c r="V59" s="790"/>
      <c r="W59" s="791"/>
    </row>
    <row r="60" spans="1:23" ht="16.5" thickBot="1" x14ac:dyDescent="0.3">
      <c r="A60" s="865"/>
      <c r="B60" s="551"/>
      <c r="C60" s="861" t="s">
        <v>110</v>
      </c>
      <c r="D60" s="861"/>
      <c r="E60" s="861" t="s">
        <v>225</v>
      </c>
      <c r="F60" s="861"/>
      <c r="G60" s="861" t="s">
        <v>261</v>
      </c>
      <c r="H60" s="861"/>
      <c r="I60" s="861" t="s">
        <v>262</v>
      </c>
      <c r="J60" s="861"/>
      <c r="K60" s="861" t="s">
        <v>14</v>
      </c>
      <c r="L60" s="861"/>
      <c r="M60" s="551"/>
      <c r="N60" s="861" t="s">
        <v>110</v>
      </c>
      <c r="O60" s="861"/>
      <c r="P60" s="861" t="s">
        <v>225</v>
      </c>
      <c r="Q60" s="861"/>
      <c r="R60" s="861" t="s">
        <v>261</v>
      </c>
      <c r="S60" s="861"/>
      <c r="T60" s="861" t="s">
        <v>262</v>
      </c>
      <c r="U60" s="861"/>
      <c r="V60" s="861" t="s">
        <v>14</v>
      </c>
      <c r="W60" s="861"/>
    </row>
    <row r="61" spans="1:23" ht="26.25" customHeight="1" thickBot="1" x14ac:dyDescent="0.3">
      <c r="A61" s="865"/>
      <c r="B61" s="552" t="s">
        <v>267</v>
      </c>
      <c r="C61" s="858" t="str">
        <f>IF('Tableau 2-A-Analyse FC'!D37="x","-F",IF('Tableau 2-A-Analyse FC'!E37="x","-M",IF('Tableau 2-A-Analyse FC'!F37="x","-L",IF('Tableau 2-A-Analyse FC'!G37="x","+L",IF('Tableau 2-A-Analyse FC'!H37="x","+M",IF('Tableau 2-A-Analyse FC'!I37="x","+F","N/A"))))))</f>
        <v>N/A</v>
      </c>
      <c r="D61" s="859"/>
      <c r="E61" s="858" t="str">
        <f>IF('Tableau 2-A-Analyse FC'!D72="x","-F",IF('Tableau 2-A-Analyse FC'!E72="x","-M",IF('Tableau 2-A-Analyse FC'!F72="x","-L",IF('Tableau 2-A-Analyse FC'!G72="x","+L",IF('Tableau 2-A-Analyse FC'!H72="x","+M",IF('Tableau 2-A-Analyse FC'!I72="x","+F","N/A"))))))</f>
        <v>N/A</v>
      </c>
      <c r="F61" s="859"/>
      <c r="G61" s="858" t="str">
        <f>IF('Tableau 2-A-Analyse FC'!D104="x","-F",IF('Tableau 2-A-Analyse FC'!E104="x","-M",IF('Tableau 2-A-Analyse FC'!F104="x","-L",IF('Tableau 2-A-Analyse FC'!G104="x","+L",IF('Tableau 2-A-Analyse FC'!H104="x","+M",IF('Tableau 2-A-Analyse FC'!I104="x","+F","N/A"))))))</f>
        <v>N/A</v>
      </c>
      <c r="H61" s="859"/>
      <c r="I61" s="858" t="str">
        <f>IF('Tableau 2-A-Analyse FC'!D136="x","-F",IF('Tableau 2-A-Analyse FC'!E136="x","-M",IF('Tableau 2-A-Analyse FC'!F136="x","-L",IF('Tableau 2-A-Analyse FC'!G136="x","+L",IF('Tableau 2-A-Analyse FC'!H136="x","+M",IF('Tableau 2-A-Analyse FC'!I136="x","+F","N/A"))))))</f>
        <v>N/A</v>
      </c>
      <c r="J61" s="859"/>
      <c r="K61" s="858" t="str">
        <f>IF('Tableau 2-A-Analyse FC'!D168="x","-F",IF('Tableau 2-A-Analyse FC'!E168="x","-M",IF('Tableau 2-A-Analyse FC'!F168="x","-L",IF('Tableau 2-A-Analyse FC'!G168="x","+L",IF('Tableau 2-A-Analyse FC'!H168="x","+M",IF('Tableau 2-A-Analyse FC'!I168="x","+F","N/A"))))))</f>
        <v>N/A</v>
      </c>
      <c r="L61" s="860"/>
      <c r="M61" s="552" t="s">
        <v>267</v>
      </c>
      <c r="N61" s="862" t="str">
        <f>IF('Tableau 2-A-Analyse FC'!K37="x","-F",IF('Tableau 2-A-Analyse FC'!L37="x","-M",IF('Tableau 2-A-Analyse FC'!M37="x","-L",IF('Tableau 2-A-Analyse FC'!N37="x","+L",IF('Tableau 2-A-Analyse FC'!O37="x","+M",IF('Tableau 2-A-Analyse FC'!P37="x","+F","N/A"))))))</f>
        <v>N/A</v>
      </c>
      <c r="O61" s="863"/>
      <c r="P61" s="862" t="str">
        <f>IF('Tableau 2-A-Analyse FC'!K72="x","-F",IF('Tableau 2-A-Analyse FC'!L72="x","-M",IF('Tableau 2-A-Analyse FC'!M72="x","-L",IF('Tableau 2-A-Analyse FC'!N72="x","+L",IF('Tableau 2-A-Analyse FC'!O72="x","+M",IF('Tableau 2-A-Analyse FC'!P72="x","+F","N/A"))))))</f>
        <v>N/A</v>
      </c>
      <c r="Q61" s="863"/>
      <c r="R61" s="862" t="str">
        <f>IF('Tableau 2-A-Analyse FC'!K104="x","-F",IF('Tableau 2-A-Analyse FC'!L104="x","-M",IF('Tableau 2-A-Analyse FC'!M104="x","-L",IF('Tableau 2-A-Analyse FC'!N104="x","+L",IF('Tableau 2-A-Analyse FC'!O104="x","+M",IF('Tableau 2-A-Analyse FC'!P104="x","+F","N/A"))))))</f>
        <v>N/A</v>
      </c>
      <c r="S61" s="863"/>
      <c r="T61" s="862" t="str">
        <f>IF('Tableau 2-A-Analyse FC'!K136="x","-F",IF('Tableau 2-A-Analyse FC'!L136="x","-M",IF('Tableau 2-A-Analyse FC'!M136="x","-L",IF('Tableau 2-A-Analyse FC'!N136="x","+L",IF('Tableau 2-A-Analyse FC'!O136="x","+M",IF('Tableau 2-A-Analyse FC'!P136="x","+F","N/A"))))))</f>
        <v>N/A</v>
      </c>
      <c r="U61" s="863"/>
      <c r="V61" s="862" t="str">
        <f>IF('Tableau 2-A-Analyse FC'!K168="x","-F",IF('Tableau 2-A-Analyse FC'!L168="x","-M",IF('Tableau 2-A-Analyse FC'!M168="x","-L",IF('Tableau 2-A-Analyse FC'!N168="x","+L",IF('Tableau 2-A-Analyse FC'!O168="x","+M",IF('Tableau 2-A-Analyse FC'!P168="x","+F","N/A"))))))</f>
        <v>N/A</v>
      </c>
      <c r="W61" s="863"/>
    </row>
    <row r="62" spans="1:23" ht="16.350000000000001" customHeight="1" thickBot="1" x14ac:dyDescent="0.3">
      <c r="A62" s="865"/>
      <c r="B62" s="891" t="s">
        <v>93</v>
      </c>
      <c r="C62" s="892"/>
      <c r="D62" s="892"/>
      <c r="E62" s="892"/>
      <c r="F62" s="892"/>
      <c r="G62" s="892"/>
      <c r="H62" s="892"/>
      <c r="I62" s="892"/>
      <c r="J62" s="892"/>
      <c r="K62" s="892"/>
      <c r="L62" s="893"/>
      <c r="M62" s="891" t="s">
        <v>93</v>
      </c>
      <c r="N62" s="892"/>
      <c r="O62" s="892"/>
      <c r="P62" s="892"/>
      <c r="Q62" s="892"/>
      <c r="R62" s="892"/>
      <c r="S62" s="892"/>
      <c r="T62" s="892"/>
      <c r="U62" s="892"/>
      <c r="V62" s="893"/>
      <c r="W62" s="283"/>
    </row>
    <row r="63" spans="1:23" x14ac:dyDescent="0.25">
      <c r="A63" s="865"/>
      <c r="B63" s="845"/>
      <c r="C63" s="848"/>
      <c r="D63" s="848"/>
      <c r="E63" s="848"/>
      <c r="F63" s="848"/>
      <c r="G63" s="848"/>
      <c r="H63" s="848"/>
      <c r="I63" s="848"/>
      <c r="J63" s="848"/>
      <c r="K63" s="848"/>
      <c r="L63" s="848"/>
      <c r="M63" s="842"/>
      <c r="N63" s="843"/>
      <c r="O63" s="843"/>
      <c r="P63" s="843"/>
      <c r="Q63" s="843"/>
      <c r="R63" s="843"/>
      <c r="S63" s="843"/>
      <c r="T63" s="843"/>
      <c r="U63" s="843"/>
      <c r="V63" s="843"/>
      <c r="W63" s="844"/>
    </row>
    <row r="64" spans="1:23" x14ac:dyDescent="0.25">
      <c r="A64" s="865"/>
      <c r="B64" s="849"/>
      <c r="C64" s="848"/>
      <c r="D64" s="848"/>
      <c r="E64" s="848"/>
      <c r="F64" s="848"/>
      <c r="G64" s="848"/>
      <c r="H64" s="848"/>
      <c r="I64" s="848"/>
      <c r="J64" s="848"/>
      <c r="K64" s="848"/>
      <c r="L64" s="848"/>
      <c r="M64" s="845"/>
      <c r="N64" s="846"/>
      <c r="O64" s="846"/>
      <c r="P64" s="846"/>
      <c r="Q64" s="846"/>
      <c r="R64" s="846"/>
      <c r="S64" s="846"/>
      <c r="T64" s="846"/>
      <c r="U64" s="846"/>
      <c r="V64" s="846"/>
      <c r="W64" s="847"/>
    </row>
    <row r="65" spans="1:23" x14ac:dyDescent="0.25">
      <c r="A65" s="865"/>
      <c r="B65" s="849"/>
      <c r="C65" s="848"/>
      <c r="D65" s="848"/>
      <c r="E65" s="848"/>
      <c r="F65" s="848"/>
      <c r="G65" s="848"/>
      <c r="H65" s="848"/>
      <c r="I65" s="848"/>
      <c r="J65" s="848"/>
      <c r="K65" s="848"/>
      <c r="L65" s="848"/>
      <c r="M65" s="845"/>
      <c r="N65" s="846"/>
      <c r="O65" s="846"/>
      <c r="P65" s="846"/>
      <c r="Q65" s="846"/>
      <c r="R65" s="846"/>
      <c r="S65" s="846"/>
      <c r="T65" s="846"/>
      <c r="U65" s="846"/>
      <c r="V65" s="846"/>
      <c r="W65" s="847"/>
    </row>
    <row r="66" spans="1:23" ht="15.75" thickBot="1" x14ac:dyDescent="0.3">
      <c r="A66" s="865"/>
      <c r="B66" s="850"/>
      <c r="C66" s="851"/>
      <c r="D66" s="851"/>
      <c r="E66" s="851"/>
      <c r="F66" s="848"/>
      <c r="G66" s="848"/>
      <c r="H66" s="851"/>
      <c r="I66" s="851"/>
      <c r="J66" s="851"/>
      <c r="K66" s="851"/>
      <c r="L66" s="848"/>
      <c r="M66" s="845"/>
      <c r="N66" s="846"/>
      <c r="O66" s="846"/>
      <c r="P66" s="846"/>
      <c r="Q66" s="846"/>
      <c r="R66" s="846"/>
      <c r="S66" s="846"/>
      <c r="T66" s="846"/>
      <c r="U66" s="846"/>
      <c r="V66" s="846"/>
      <c r="W66" s="847"/>
    </row>
    <row r="67" spans="1:23" ht="35.25" customHeight="1" x14ac:dyDescent="0.25">
      <c r="A67" s="865"/>
      <c r="B67" s="874" t="s">
        <v>89</v>
      </c>
      <c r="C67" s="906"/>
      <c r="D67" s="928"/>
      <c r="E67" s="928"/>
      <c r="F67" s="929"/>
      <c r="G67" s="364" t="s">
        <v>68</v>
      </c>
      <c r="H67" s="260" t="s">
        <v>69</v>
      </c>
      <c r="I67" s="199" t="s">
        <v>70</v>
      </c>
      <c r="J67" s="200" t="s">
        <v>71</v>
      </c>
      <c r="K67" s="201" t="s">
        <v>72</v>
      </c>
      <c r="L67" s="301"/>
      <c r="M67" s="874" t="s">
        <v>89</v>
      </c>
      <c r="N67" s="875"/>
      <c r="O67" s="822" t="s">
        <v>68</v>
      </c>
      <c r="P67" s="822"/>
      <c r="Q67" s="822"/>
      <c r="R67" s="822"/>
      <c r="S67" s="260" t="s">
        <v>69</v>
      </c>
      <c r="T67" s="199" t="s">
        <v>70</v>
      </c>
      <c r="U67" s="200" t="s">
        <v>71</v>
      </c>
      <c r="V67" s="201" t="s">
        <v>72</v>
      </c>
      <c r="W67" s="856"/>
    </row>
    <row r="68" spans="1:23" ht="15.75" thickBot="1" x14ac:dyDescent="0.3">
      <c r="A68" s="865"/>
      <c r="B68" s="872"/>
      <c r="C68" s="873"/>
      <c r="D68" s="928"/>
      <c r="E68" s="928"/>
      <c r="F68" s="929"/>
      <c r="G68" s="294"/>
      <c r="H68" s="294"/>
      <c r="I68" s="294"/>
      <c r="J68" s="294"/>
      <c r="K68" s="294"/>
      <c r="L68" s="170"/>
      <c r="M68" s="872"/>
      <c r="N68" s="876"/>
      <c r="O68" s="823"/>
      <c r="P68" s="824"/>
      <c r="Q68" s="824"/>
      <c r="R68" s="825"/>
      <c r="S68" s="294"/>
      <c r="T68" s="294"/>
      <c r="U68" s="294"/>
      <c r="V68" s="294"/>
      <c r="W68" s="857"/>
    </row>
    <row r="69" spans="1:23" ht="5.85" customHeight="1" thickBot="1" x14ac:dyDescent="0.3">
      <c r="A69" s="30"/>
      <c r="B69" s="304"/>
      <c r="C69" s="299"/>
      <c r="D69" s="299"/>
      <c r="E69" s="299"/>
      <c r="F69" s="299"/>
      <c r="G69" s="305"/>
      <c r="H69" s="305"/>
      <c r="I69" s="305"/>
      <c r="J69" s="305"/>
      <c r="K69" s="306"/>
      <c r="L69" s="299"/>
      <c r="M69" s="31"/>
      <c r="N69" s="32"/>
      <c r="O69" s="33"/>
      <c r="P69" s="33"/>
      <c r="Q69" s="33"/>
      <c r="R69" s="33"/>
      <c r="S69" s="33"/>
      <c r="T69" s="33"/>
      <c r="U69" s="33"/>
      <c r="V69" s="34"/>
      <c r="W69" s="34"/>
    </row>
    <row r="70" spans="1:23" ht="15.75" thickBot="1" x14ac:dyDescent="0.3">
      <c r="A70" s="864" t="s">
        <v>109</v>
      </c>
      <c r="B70" s="797" t="s">
        <v>90</v>
      </c>
      <c r="C70" s="798"/>
      <c r="D70" s="798"/>
      <c r="E70" s="798"/>
      <c r="F70" s="798"/>
      <c r="G70" s="798"/>
      <c r="H70" s="798"/>
      <c r="I70" s="798"/>
      <c r="J70" s="798"/>
      <c r="K70" s="798"/>
      <c r="L70" s="287"/>
      <c r="M70" s="818" t="s">
        <v>90</v>
      </c>
      <c r="N70" s="818"/>
      <c r="O70" s="818"/>
      <c r="P70" s="818"/>
      <c r="Q70" s="818"/>
      <c r="R70" s="818"/>
      <c r="S70" s="818"/>
      <c r="T70" s="818"/>
      <c r="U70" s="818"/>
      <c r="V70" s="818"/>
      <c r="W70" s="819"/>
    </row>
    <row r="71" spans="1:23" ht="23.25" customHeight="1" thickBot="1" x14ac:dyDescent="0.3">
      <c r="A71" s="864"/>
      <c r="B71" s="831" t="s">
        <v>80</v>
      </c>
      <c r="C71" s="832"/>
      <c r="D71" s="832"/>
      <c r="E71" s="832"/>
      <c r="F71" s="832"/>
      <c r="G71" s="832"/>
      <c r="H71" s="832"/>
      <c r="I71" s="832"/>
      <c r="J71" s="832"/>
      <c r="K71" s="832"/>
      <c r="L71" s="279"/>
      <c r="M71" s="832" t="s">
        <v>80</v>
      </c>
      <c r="N71" s="832"/>
      <c r="O71" s="832"/>
      <c r="P71" s="832"/>
      <c r="Q71" s="832"/>
      <c r="R71" s="832"/>
      <c r="S71" s="832"/>
      <c r="T71" s="832"/>
      <c r="U71" s="832"/>
      <c r="V71" s="832"/>
      <c r="W71" s="890"/>
    </row>
    <row r="72" spans="1:23" ht="27" customHeight="1" thickBot="1" x14ac:dyDescent="0.3">
      <c r="A72" s="864"/>
      <c r="B72" s="28" t="s">
        <v>77</v>
      </c>
      <c r="C72" s="388" t="s">
        <v>248</v>
      </c>
      <c r="D72" s="930"/>
      <c r="E72" s="931"/>
      <c r="F72" s="931"/>
      <c r="G72" s="348" t="s">
        <v>68</v>
      </c>
      <c r="H72" s="260" t="s">
        <v>69</v>
      </c>
      <c r="I72" s="199" t="s">
        <v>70</v>
      </c>
      <c r="J72" s="200" t="s">
        <v>71</v>
      </c>
      <c r="K72" s="201" t="s">
        <v>72</v>
      </c>
      <c r="L72" s="313"/>
      <c r="M72" s="854"/>
      <c r="N72" s="854"/>
      <c r="O72" s="854"/>
      <c r="P72" s="854"/>
      <c r="Q72" s="854"/>
      <c r="R72" s="854"/>
      <c r="S72" s="854"/>
      <c r="T72" s="854"/>
      <c r="U72" s="854"/>
      <c r="V72" s="854"/>
      <c r="W72" s="855"/>
    </row>
    <row r="73" spans="1:23" ht="15.75" thickBot="1" x14ac:dyDescent="0.3">
      <c r="A73" s="864"/>
      <c r="B73" s="58" t="s">
        <v>30</v>
      </c>
      <c r="C73" s="211" t="b">
        <f>IF('Tableau 1-B Analyse du Contexte'!$K$7="Oui",IF('Tableau 1-D-Résultats'!M42="","N/A",'Tableau 1-D-Résultats'!M42), IF('Tableau 1-B Analyse du Contexte'!$K$7="Non",IF('Tableau 1-B Analyse du Contexte'!$K$8="Oui",IF('Tableau 1-D-Résultats'!$V42="F3",IF('Tableau 1-D-Résultats'!M42="","N/A",'Tableau 1-D-Résultats'!M42),IF('Tableau 1-D-Résultats'!M42="","N/A"," F3 exigé")),IF('Tableau 1-D-Résultats'!$V42="F0",IF('Tableau 1-D-Résultats'!M42="","N/A","F0"),IF('Tableau 1-D-Résultats'!$V42="F1",IF('Tableau 1-D-Résultats'!M42="","N/A","F1"),IF('Tableau 1-D-Résultats'!$V$42="Erreur","fiabilité",IF('Tableau 1-D-Résultats'!M42="","N/A",'Tableau 1-D-Résultats'!M42)))))))</f>
        <v>0</v>
      </c>
      <c r="D73" s="932"/>
      <c r="E73" s="933"/>
      <c r="F73" s="933"/>
      <c r="G73" s="294"/>
      <c r="H73" s="294"/>
      <c r="I73" s="294"/>
      <c r="J73" s="294"/>
      <c r="K73" s="294"/>
      <c r="L73" s="313"/>
      <c r="M73" s="854"/>
      <c r="N73" s="854"/>
      <c r="O73" s="854"/>
      <c r="P73" s="854"/>
      <c r="Q73" s="854"/>
      <c r="R73" s="854"/>
      <c r="S73" s="854"/>
      <c r="T73" s="854"/>
      <c r="U73" s="854"/>
      <c r="V73" s="854"/>
      <c r="W73" s="855"/>
    </row>
    <row r="74" spans="1:23" ht="15.75" thickBot="1" x14ac:dyDescent="0.3">
      <c r="A74" s="864"/>
      <c r="B74" s="58" t="s">
        <v>31</v>
      </c>
      <c r="C74" s="211" t="b">
        <f>IF('Tableau 1-B Analyse du Contexte'!$K$7="Oui",IF('Tableau 1-D-Résultats'!M43="","N/A",'Tableau 1-D-Résultats'!M43), IF('Tableau 1-B Analyse du Contexte'!$K$7="Non",IF('Tableau 1-B Analyse du Contexte'!$K$8="Oui",IF('Tableau 1-D-Résultats'!$V43="F3",IF('Tableau 1-D-Résultats'!M43="","N/A",'Tableau 1-D-Résultats'!M43),IF('Tableau 1-D-Résultats'!M43="","N/A"," F3 exigé")),IF('Tableau 1-D-Résultats'!$V43="F0",IF('Tableau 1-D-Résultats'!M43="","N/A","F0"),IF('Tableau 1-D-Résultats'!$V43="F1",IF('Tableau 1-D-Résultats'!M43="","N/A","F1"),IF('Tableau 1-D-Résultats'!$V$43="Erreur","fiabilité",IF('Tableau 1-D-Résultats'!M43="","N/A",'Tableau 1-D-Résultats'!M43)))))))</f>
        <v>0</v>
      </c>
      <c r="D74" s="934"/>
      <c r="E74" s="935"/>
      <c r="F74" s="935"/>
      <c r="G74" s="294"/>
      <c r="H74" s="294"/>
      <c r="I74" s="294"/>
      <c r="J74" s="294"/>
      <c r="K74" s="294"/>
      <c r="L74" s="313"/>
      <c r="M74" s="854"/>
      <c r="N74" s="854"/>
      <c r="O74" s="854"/>
      <c r="P74" s="854"/>
      <c r="Q74" s="854"/>
      <c r="R74" s="854"/>
      <c r="S74" s="854"/>
      <c r="T74" s="854"/>
      <c r="U74" s="854"/>
      <c r="V74" s="854"/>
      <c r="W74" s="855"/>
    </row>
    <row r="75" spans="1:23" ht="16.5" thickBot="1" x14ac:dyDescent="0.3">
      <c r="A75" s="864"/>
      <c r="B75" s="789" t="s">
        <v>260</v>
      </c>
      <c r="C75" s="790"/>
      <c r="D75" s="790"/>
      <c r="E75" s="790"/>
      <c r="F75" s="790"/>
      <c r="G75" s="790"/>
      <c r="H75" s="790"/>
      <c r="I75" s="790"/>
      <c r="J75" s="790"/>
      <c r="K75" s="790"/>
      <c r="L75" s="290"/>
      <c r="M75" s="789" t="s">
        <v>260</v>
      </c>
      <c r="N75" s="790"/>
      <c r="O75" s="790"/>
      <c r="P75" s="790"/>
      <c r="Q75" s="790"/>
      <c r="R75" s="790"/>
      <c r="S75" s="790"/>
      <c r="T75" s="790"/>
      <c r="U75" s="790"/>
      <c r="V75" s="790"/>
      <c r="W75" s="290"/>
    </row>
    <row r="76" spans="1:23" ht="16.5" thickBot="1" x14ac:dyDescent="0.3">
      <c r="A76" s="864"/>
      <c r="B76" s="551"/>
      <c r="C76" s="861" t="s">
        <v>110</v>
      </c>
      <c r="D76" s="861"/>
      <c r="E76" s="861" t="s">
        <v>225</v>
      </c>
      <c r="F76" s="861"/>
      <c r="G76" s="861" t="s">
        <v>261</v>
      </c>
      <c r="H76" s="861"/>
      <c r="I76" s="861" t="s">
        <v>262</v>
      </c>
      <c r="J76" s="861"/>
      <c r="K76" s="861" t="s">
        <v>14</v>
      </c>
      <c r="L76" s="861"/>
      <c r="M76" s="551"/>
      <c r="N76" s="861" t="s">
        <v>110</v>
      </c>
      <c r="O76" s="861"/>
      <c r="P76" s="861" t="s">
        <v>225</v>
      </c>
      <c r="Q76" s="861"/>
      <c r="R76" s="861" t="s">
        <v>261</v>
      </c>
      <c r="S76" s="861"/>
      <c r="T76" s="861" t="s">
        <v>262</v>
      </c>
      <c r="U76" s="861"/>
      <c r="V76" s="861" t="s">
        <v>14</v>
      </c>
      <c r="W76" s="861"/>
    </row>
    <row r="77" spans="1:23" ht="21.75" customHeight="1" thickBot="1" x14ac:dyDescent="0.3">
      <c r="A77" s="864"/>
      <c r="B77" s="552" t="s">
        <v>268</v>
      </c>
      <c r="C77" s="858" t="str">
        <f>IF('Tableau 2-A-Analyse FC'!D38="x","-F",IF('Tableau 2-A-Analyse FC'!E38="x","-M",IF('Tableau 2-A-Analyse FC'!F38="x","-L",IF('Tableau 2-A-Analyse FC'!G38="x","+L",IF('Tableau 2-A-Analyse FC'!H38="x","+M",IF('Tableau 2-A-Analyse FC'!I38="x","+F","N/A"))))))</f>
        <v>N/A</v>
      </c>
      <c r="D77" s="859"/>
      <c r="E77" s="858" t="str">
        <f>IF('Tableau 2-A-Analyse FC'!D73="x","-F",IF('Tableau 2-A-Analyse FC'!E73="x","-M",IF('Tableau 2-A-Analyse FC'!F73="x","-L",IF('Tableau 2-A-Analyse FC'!G73="x","+L",IF('Tableau 2-A-Analyse FC'!H73="x","+M",IF('Tableau 2-A-Analyse FC'!I73="x","+F","N/A"))))))</f>
        <v>N/A</v>
      </c>
      <c r="F77" s="859"/>
      <c r="G77" s="858" t="str">
        <f>IF('Tableau 2-A-Analyse FC'!D105="x","-F",IF('Tableau 2-A-Analyse FC'!E105="x","-M",IF('Tableau 2-A-Analyse FC'!F105="x","-L",IF('Tableau 2-A-Analyse FC'!G105="x","+L",IF('Tableau 2-A-Analyse FC'!H105="x","+M",IF('Tableau 2-A-Analyse FC'!I105="x","+F","N/A"))))))</f>
        <v>N/A</v>
      </c>
      <c r="H77" s="859"/>
      <c r="I77" s="858" t="str">
        <f>IF('Tableau 2-A-Analyse FC'!D137="x","-F",IF('Tableau 2-A-Analyse FC'!E137="x","-M",IF('Tableau 2-A-Analyse FC'!F137="x","-L",IF('Tableau 2-A-Analyse FC'!G137="x","+L",IF('Tableau 2-A-Analyse FC'!H137="x","+M",IF('Tableau 2-A-Analyse FC'!I137="x","+F","N/A"))))))</f>
        <v>N/A</v>
      </c>
      <c r="J77" s="859"/>
      <c r="K77" s="858" t="str">
        <f>IF('Tableau 2-A-Analyse FC'!D169="x","-F",IF('Tableau 2-A-Analyse FC'!E169="x","-M",IF('Tableau 2-A-Analyse FC'!F169="x","-L",IF('Tableau 2-A-Analyse FC'!G169="x","+L",IF('Tableau 2-A-Analyse FC'!H169="x","+M",IF('Tableau 2-A-Analyse FC'!I169="x","+F","N/A"))))))</f>
        <v>N/A</v>
      </c>
      <c r="L77" s="860"/>
      <c r="M77" s="552" t="s">
        <v>268</v>
      </c>
      <c r="N77" s="862" t="str">
        <f>IF('Tableau 2-A-Analyse FC'!K38="x","-F",IF('Tableau 2-A-Analyse FC'!L38="x","-M",IF('Tableau 2-A-Analyse FC'!M38="x","-L",IF('Tableau 2-A-Analyse FC'!N38="x","+L",IF('Tableau 2-A-Analyse FC'!O38="x","+M",IF('Tableau 2-A-Analyse FC'!P38="x","+F","N/A"))))))</f>
        <v>N/A</v>
      </c>
      <c r="O77" s="863"/>
      <c r="P77" s="862" t="str">
        <f>IF('Tableau 2-A-Analyse FC'!K73="x","-F",IF('Tableau 2-A-Analyse FC'!L73="x","-M",IF('Tableau 2-A-Analyse FC'!M73="x","-L",IF('Tableau 2-A-Analyse FC'!N73="x","+L",IF('Tableau 2-A-Analyse FC'!O73="x","+M",IF('Tableau 2-A-Analyse FC'!P73="x","+F","N/A"))))))</f>
        <v>N/A</v>
      </c>
      <c r="Q77" s="863"/>
      <c r="R77" s="862" t="str">
        <f>IF('Tableau 2-A-Analyse FC'!K105="x","-F",IF('Tableau 2-A-Analyse FC'!L105="x","-M",IF('Tableau 2-A-Analyse FC'!M105="x","-L",IF('Tableau 2-A-Analyse FC'!N105="x","+L",IF('Tableau 2-A-Analyse FC'!O105="x","+M",IF('Tableau 2-A-Analyse FC'!P105="x","+F","N/A"))))))</f>
        <v>N/A</v>
      </c>
      <c r="S77" s="863"/>
      <c r="T77" s="862" t="str">
        <f>IF('Tableau 2-A-Analyse FC'!K137="x","-F",IF('Tableau 2-A-Analyse FC'!L137="x","-M",IF('Tableau 2-A-Analyse FC'!M137="x","-L",IF('Tableau 2-A-Analyse FC'!N137="x","+L",IF('Tableau 2-A-Analyse FC'!O137="x","+M",IF('Tableau 2-A-Analyse FC'!P137="x","+F","N/A"))))))</f>
        <v>N/A</v>
      </c>
      <c r="U77" s="863"/>
      <c r="V77" s="862" t="str">
        <f>IF('Tableau 2-A-Analyse FC'!K169="x","-F",IF('Tableau 2-A-Analyse FC'!L169="x","-M",IF('Tableau 2-A-Analyse FC'!M169="x","-L",IF('Tableau 2-A-Analyse FC'!N169="x","+L",IF('Tableau 2-A-Analyse FC'!O169="x","+M",IF('Tableau 2-A-Analyse FC'!P169="x","+F","N/A"))))))</f>
        <v>N/A</v>
      </c>
      <c r="W77" s="863"/>
    </row>
    <row r="78" spans="1:23" ht="16.350000000000001" customHeight="1" thickBot="1" x14ac:dyDescent="0.3">
      <c r="A78" s="864"/>
      <c r="B78" s="904" t="s">
        <v>91</v>
      </c>
      <c r="C78" s="905"/>
      <c r="D78" s="905"/>
      <c r="E78" s="905"/>
      <c r="F78" s="905"/>
      <c r="G78" s="905"/>
      <c r="H78" s="905"/>
      <c r="I78" s="905"/>
      <c r="J78" s="905"/>
      <c r="K78" s="905"/>
      <c r="L78" s="283"/>
      <c r="M78" s="891" t="s">
        <v>91</v>
      </c>
      <c r="N78" s="892"/>
      <c r="O78" s="892"/>
      <c r="P78" s="892"/>
      <c r="Q78" s="892"/>
      <c r="R78" s="892"/>
      <c r="S78" s="892"/>
      <c r="T78" s="892"/>
      <c r="U78" s="892"/>
      <c r="V78" s="892"/>
      <c r="W78" s="893"/>
    </row>
    <row r="79" spans="1:23" x14ac:dyDescent="0.25">
      <c r="A79" s="864"/>
      <c r="B79" s="845"/>
      <c r="C79" s="848"/>
      <c r="D79" s="848"/>
      <c r="E79" s="848"/>
      <c r="F79" s="848"/>
      <c r="G79" s="848"/>
      <c r="H79" s="848"/>
      <c r="I79" s="848"/>
      <c r="J79" s="848"/>
      <c r="K79" s="848"/>
      <c r="L79" s="852"/>
      <c r="M79" s="845"/>
      <c r="N79" s="848"/>
      <c r="O79" s="848"/>
      <c r="P79" s="848"/>
      <c r="Q79" s="848"/>
      <c r="R79" s="848"/>
      <c r="S79" s="848"/>
      <c r="T79" s="848"/>
      <c r="U79" s="848"/>
      <c r="V79" s="848"/>
      <c r="W79" s="852"/>
    </row>
    <row r="80" spans="1:23" x14ac:dyDescent="0.25">
      <c r="A80" s="864"/>
      <c r="B80" s="849"/>
      <c r="C80" s="848"/>
      <c r="D80" s="848"/>
      <c r="E80" s="848"/>
      <c r="F80" s="848"/>
      <c r="G80" s="848"/>
      <c r="H80" s="848"/>
      <c r="I80" s="848"/>
      <c r="J80" s="848"/>
      <c r="K80" s="848"/>
      <c r="L80" s="852"/>
      <c r="M80" s="849"/>
      <c r="N80" s="848"/>
      <c r="O80" s="848"/>
      <c r="P80" s="848"/>
      <c r="Q80" s="848"/>
      <c r="R80" s="848"/>
      <c r="S80" s="848"/>
      <c r="T80" s="848"/>
      <c r="U80" s="848"/>
      <c r="V80" s="848"/>
      <c r="W80" s="852"/>
    </row>
    <row r="81" spans="1:23" x14ac:dyDescent="0.25">
      <c r="A81" s="864"/>
      <c r="B81" s="849"/>
      <c r="C81" s="848"/>
      <c r="D81" s="848"/>
      <c r="E81" s="848"/>
      <c r="F81" s="848"/>
      <c r="G81" s="848"/>
      <c r="H81" s="848"/>
      <c r="I81" s="848"/>
      <c r="J81" s="848"/>
      <c r="K81" s="848"/>
      <c r="L81" s="852"/>
      <c r="M81" s="849"/>
      <c r="N81" s="848"/>
      <c r="O81" s="848"/>
      <c r="P81" s="848"/>
      <c r="Q81" s="848"/>
      <c r="R81" s="848"/>
      <c r="S81" s="848"/>
      <c r="T81" s="848"/>
      <c r="U81" s="848"/>
      <c r="V81" s="848"/>
      <c r="W81" s="852"/>
    </row>
    <row r="82" spans="1:23" ht="15.75" thickBot="1" x14ac:dyDescent="0.3">
      <c r="A82" s="864"/>
      <c r="B82" s="849"/>
      <c r="C82" s="848"/>
      <c r="D82" s="848"/>
      <c r="E82" s="848"/>
      <c r="F82" s="848"/>
      <c r="G82" s="848"/>
      <c r="H82" s="848"/>
      <c r="I82" s="848"/>
      <c r="J82" s="848"/>
      <c r="K82" s="848"/>
      <c r="L82" s="853"/>
      <c r="M82" s="849"/>
      <c r="N82" s="848"/>
      <c r="O82" s="848"/>
      <c r="P82" s="848"/>
      <c r="Q82" s="848"/>
      <c r="R82" s="848"/>
      <c r="S82" s="848"/>
      <c r="T82" s="848"/>
      <c r="U82" s="848"/>
      <c r="V82" s="848"/>
      <c r="W82" s="852"/>
    </row>
    <row r="83" spans="1:23" ht="30" customHeight="1" x14ac:dyDescent="0.25">
      <c r="A83" s="864"/>
      <c r="B83" s="894" t="s">
        <v>92</v>
      </c>
      <c r="C83" s="895"/>
      <c r="D83" s="312"/>
      <c r="E83" s="312"/>
      <c r="F83" s="465"/>
      <c r="G83" s="364" t="s">
        <v>68</v>
      </c>
      <c r="H83" s="365" t="s">
        <v>69</v>
      </c>
      <c r="I83" s="309" t="s">
        <v>70</v>
      </c>
      <c r="J83" s="310" t="s">
        <v>71</v>
      </c>
      <c r="K83" s="311" t="s">
        <v>72</v>
      </c>
      <c r="L83" s="288"/>
      <c r="M83" s="894" t="s">
        <v>92</v>
      </c>
      <c r="N83" s="895"/>
      <c r="O83" s="822" t="s">
        <v>68</v>
      </c>
      <c r="P83" s="822"/>
      <c r="Q83" s="822"/>
      <c r="R83" s="822"/>
      <c r="S83" s="260" t="s">
        <v>69</v>
      </c>
      <c r="T83" s="199" t="s">
        <v>70</v>
      </c>
      <c r="U83" s="200" t="s">
        <v>71</v>
      </c>
      <c r="V83" s="201" t="s">
        <v>72</v>
      </c>
      <c r="W83" s="288"/>
    </row>
    <row r="84" spans="1:23" ht="15.75" thickBot="1" x14ac:dyDescent="0.3">
      <c r="A84" s="864"/>
      <c r="B84" s="896"/>
      <c r="C84" s="897"/>
      <c r="D84" s="314"/>
      <c r="E84" s="314"/>
      <c r="F84" s="476"/>
      <c r="G84" s="294"/>
      <c r="H84" s="294"/>
      <c r="I84" s="294"/>
      <c r="J84" s="294"/>
      <c r="K84" s="294"/>
      <c r="L84" s="289"/>
      <c r="M84" s="896"/>
      <c r="N84" s="897"/>
      <c r="O84" s="823"/>
      <c r="P84" s="824"/>
      <c r="Q84" s="824"/>
      <c r="R84" s="825"/>
      <c r="S84" s="294"/>
      <c r="T84" s="294"/>
      <c r="U84" s="294"/>
      <c r="V84" s="294"/>
      <c r="W84" s="289"/>
    </row>
    <row r="85" spans="1:23" ht="6" customHeight="1" thickBot="1" x14ac:dyDescent="0.3">
      <c r="A85" s="30"/>
      <c r="B85" s="31"/>
      <c r="C85" s="32"/>
      <c r="D85" s="32"/>
      <c r="E85" s="32"/>
      <c r="F85" s="32"/>
      <c r="G85" s="32"/>
      <c r="H85" s="32"/>
      <c r="I85" s="32"/>
      <c r="J85" s="32"/>
      <c r="K85" s="267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67"/>
      <c r="W85" s="32"/>
    </row>
  </sheetData>
  <sheetProtection formatCells="0" formatColumns="0" formatRows="0" insertRows="0"/>
  <protectedRanges>
    <protectedRange sqref="L14:L18 G19:K22 L24 B29:L32 G34:K34 L39 B44:L47 G49:K49 G54:K56 G58:K58 B63:L66 G68:K68 G73:K74 B79:L82 G84:K84 L26:L27 W26:W27 L41:L42 W41:W42 L60:L61 W60:W61 L76:L77 W76:W77" name="Range1"/>
    <protectedRange sqref="M13:W16 W18 R19:V22 M29:W32 O34:V34 M38:W39 M44:W47 O49:V49 W24 M53:W54 M63:W66 M72:W74 M79:W82 O84:V84" name="Range2"/>
  </protectedRanges>
  <mergeCells count="173">
    <mergeCell ref="K41:L41"/>
    <mergeCell ref="D13:F13"/>
    <mergeCell ref="C15:F17"/>
    <mergeCell ref="C38:F38"/>
    <mergeCell ref="C39:F39"/>
    <mergeCell ref="D33:F34"/>
    <mergeCell ref="C41:D41"/>
    <mergeCell ref="E41:F41"/>
    <mergeCell ref="B25:L25"/>
    <mergeCell ref="D67:F68"/>
    <mergeCell ref="D72:F74"/>
    <mergeCell ref="D53:F56"/>
    <mergeCell ref="D58:F58"/>
    <mergeCell ref="D48:F49"/>
    <mergeCell ref="C61:D61"/>
    <mergeCell ref="E61:F61"/>
    <mergeCell ref="C42:D42"/>
    <mergeCell ref="E42:F42"/>
    <mergeCell ref="B43:K43"/>
    <mergeCell ref="K61:L61"/>
    <mergeCell ref="C60:D60"/>
    <mergeCell ref="E60:F60"/>
    <mergeCell ref="G60:H60"/>
    <mergeCell ref="I60:J60"/>
    <mergeCell ref="K60:L60"/>
    <mergeCell ref="B62:L62"/>
    <mergeCell ref="B52:L52"/>
    <mergeCell ref="R77:S77"/>
    <mergeCell ref="T77:U77"/>
    <mergeCell ref="V77:W77"/>
    <mergeCell ref="M75:V75"/>
    <mergeCell ref="N76:O76"/>
    <mergeCell ref="P76:Q76"/>
    <mergeCell ref="R76:S76"/>
    <mergeCell ref="T76:U76"/>
    <mergeCell ref="V76:W76"/>
    <mergeCell ref="M37:W37"/>
    <mergeCell ref="N26:O26"/>
    <mergeCell ref="P26:Q26"/>
    <mergeCell ref="R26:S26"/>
    <mergeCell ref="T26:U26"/>
    <mergeCell ref="V26:W26"/>
    <mergeCell ref="C26:D26"/>
    <mergeCell ref="E26:F26"/>
    <mergeCell ref="G26:H26"/>
    <mergeCell ref="I26:J26"/>
    <mergeCell ref="K26:L26"/>
    <mergeCell ref="B37:K37"/>
    <mergeCell ref="P27:Q27"/>
    <mergeCell ref="R27:S27"/>
    <mergeCell ref="T27:U27"/>
    <mergeCell ref="V27:W27"/>
    <mergeCell ref="E27:F27"/>
    <mergeCell ref="G27:H27"/>
    <mergeCell ref="I27:J27"/>
    <mergeCell ref="K27:L27"/>
    <mergeCell ref="C27:D27"/>
    <mergeCell ref="N27:O27"/>
    <mergeCell ref="M38:W39"/>
    <mergeCell ref="M43:W43"/>
    <mergeCell ref="M51:W51"/>
    <mergeCell ref="O56:R56"/>
    <mergeCell ref="O55:R55"/>
    <mergeCell ref="O48:R48"/>
    <mergeCell ref="O49:R49"/>
    <mergeCell ref="G42:H42"/>
    <mergeCell ref="I42:J42"/>
    <mergeCell ref="K42:L42"/>
    <mergeCell ref="G41:H41"/>
    <mergeCell ref="I41:J41"/>
    <mergeCell ref="B40:L40"/>
    <mergeCell ref="M40:W40"/>
    <mergeCell ref="N42:O42"/>
    <mergeCell ref="P42:Q42"/>
    <mergeCell ref="R42:S42"/>
    <mergeCell ref="T42:U42"/>
    <mergeCell ref="V42:W42"/>
    <mergeCell ref="N41:O41"/>
    <mergeCell ref="P41:Q41"/>
    <mergeCell ref="R41:S41"/>
    <mergeCell ref="T41:U41"/>
    <mergeCell ref="V41:W41"/>
    <mergeCell ref="M53:W54"/>
    <mergeCell ref="M44:W47"/>
    <mergeCell ref="B44:L47"/>
    <mergeCell ref="B57:K57"/>
    <mergeCell ref="B51:L51"/>
    <mergeCell ref="B59:L59"/>
    <mergeCell ref="N61:O61"/>
    <mergeCell ref="P61:Q61"/>
    <mergeCell ref="R61:S61"/>
    <mergeCell ref="T61:U61"/>
    <mergeCell ref="V61:W61"/>
    <mergeCell ref="N60:O60"/>
    <mergeCell ref="P60:Q60"/>
    <mergeCell ref="R60:S60"/>
    <mergeCell ref="T60:U60"/>
    <mergeCell ref="V60:W60"/>
    <mergeCell ref="M59:W59"/>
    <mergeCell ref="G61:H61"/>
    <mergeCell ref="I61:J61"/>
    <mergeCell ref="A70:A84"/>
    <mergeCell ref="A51:A68"/>
    <mergeCell ref="M55:N55"/>
    <mergeCell ref="A36:A49"/>
    <mergeCell ref="A11:A34"/>
    <mergeCell ref="B48:C49"/>
    <mergeCell ref="M48:N49"/>
    <mergeCell ref="M33:N34"/>
    <mergeCell ref="B33:C34"/>
    <mergeCell ref="M23:W23"/>
    <mergeCell ref="M28:W28"/>
    <mergeCell ref="M29:W32"/>
    <mergeCell ref="M71:W71"/>
    <mergeCell ref="M78:W78"/>
    <mergeCell ref="B71:K71"/>
    <mergeCell ref="B70:K70"/>
    <mergeCell ref="B83:C84"/>
    <mergeCell ref="B29:L32"/>
    <mergeCell ref="L19:L22"/>
    <mergeCell ref="M83:N84"/>
    <mergeCell ref="B78:K78"/>
    <mergeCell ref="M62:V62"/>
    <mergeCell ref="B67:C68"/>
    <mergeCell ref="M67:N68"/>
    <mergeCell ref="O84:R84"/>
    <mergeCell ref="O67:R67"/>
    <mergeCell ref="O83:R83"/>
    <mergeCell ref="M63:W66"/>
    <mergeCell ref="B63:L66"/>
    <mergeCell ref="O68:R68"/>
    <mergeCell ref="B79:L82"/>
    <mergeCell ref="M72:W74"/>
    <mergeCell ref="M79:W82"/>
    <mergeCell ref="M70:W70"/>
    <mergeCell ref="W67:W68"/>
    <mergeCell ref="C77:D77"/>
    <mergeCell ref="E77:F77"/>
    <mergeCell ref="G77:H77"/>
    <mergeCell ref="I77:J77"/>
    <mergeCell ref="K77:L77"/>
    <mergeCell ref="B75:K75"/>
    <mergeCell ref="C76:D76"/>
    <mergeCell ref="E76:F76"/>
    <mergeCell ref="G76:H76"/>
    <mergeCell ref="I76:J76"/>
    <mergeCell ref="K76:L76"/>
    <mergeCell ref="N77:O77"/>
    <mergeCell ref="P77:Q77"/>
    <mergeCell ref="M25:W25"/>
    <mergeCell ref="A2:K2"/>
    <mergeCell ref="M10:W10"/>
    <mergeCell ref="B10:K10"/>
    <mergeCell ref="B36:K36"/>
    <mergeCell ref="B23:L23"/>
    <mergeCell ref="N17:P17"/>
    <mergeCell ref="C14:D14"/>
    <mergeCell ref="C7:D7"/>
    <mergeCell ref="A9:W9"/>
    <mergeCell ref="B11:L11"/>
    <mergeCell ref="W19:W22"/>
    <mergeCell ref="G14:H14"/>
    <mergeCell ref="P24:V24"/>
    <mergeCell ref="M36:W36"/>
    <mergeCell ref="B28:K28"/>
    <mergeCell ref="O33:R33"/>
    <mergeCell ref="O34:R34"/>
    <mergeCell ref="M11:W11"/>
    <mergeCell ref="M24:N24"/>
    <mergeCell ref="B12:L12"/>
    <mergeCell ref="M13:W16"/>
    <mergeCell ref="J14:K14"/>
    <mergeCell ref="I17:K17"/>
  </mergeCells>
  <conditionalFormatting sqref="H18:K22 G19:K22">
    <cfRule type="cellIs" dxfId="745" priority="1087" operator="equal">
      <formula>5</formula>
    </cfRule>
    <cfRule type="cellIs" dxfId="744" priority="1088" operator="equal">
      <formula>4</formula>
    </cfRule>
    <cfRule type="cellIs" dxfId="743" priority="1089" operator="equal">
      <formula>2</formula>
    </cfRule>
    <cfRule type="cellIs" dxfId="742" priority="1091" operator="equal">
      <formula>3</formula>
    </cfRule>
  </conditionalFormatting>
  <conditionalFormatting sqref="H18:K22 G19:K22">
    <cfRule type="cellIs" dxfId="741" priority="1009" operator="equal">
      <formula>1</formula>
    </cfRule>
  </conditionalFormatting>
  <conditionalFormatting sqref="D24:K24">
    <cfRule type="cellIs" dxfId="740" priority="987" operator="equal">
      <formula>5</formula>
    </cfRule>
    <cfRule type="cellIs" dxfId="739" priority="988" operator="equal">
      <formula>4</formula>
    </cfRule>
    <cfRule type="cellIs" dxfId="738" priority="989" operator="equal">
      <formula>2</formula>
    </cfRule>
    <cfRule type="cellIs" dxfId="737" priority="990" operator="equal">
      <formula>1</formula>
    </cfRule>
    <cfRule type="cellIs" dxfId="736" priority="991" operator="equal">
      <formula>3</formula>
    </cfRule>
    <cfRule type="cellIs" dxfId="735" priority="992" operator="equal">
      <formula>2</formula>
    </cfRule>
    <cfRule type="cellIs" dxfId="734" priority="993" operator="equal">
      <formula>1</formula>
    </cfRule>
  </conditionalFormatting>
  <conditionalFormatting sqref="H24:K24">
    <cfRule type="cellIs" dxfId="733" priority="980" operator="equal">
      <formula>5</formula>
    </cfRule>
    <cfRule type="cellIs" dxfId="732" priority="981" operator="equal">
      <formula>4</formula>
    </cfRule>
    <cfRule type="cellIs" dxfId="731" priority="982" operator="equal">
      <formula>2</formula>
    </cfRule>
    <cfRule type="cellIs" dxfId="730" priority="983" operator="equal">
      <formula>1</formula>
    </cfRule>
    <cfRule type="cellIs" dxfId="729" priority="984" operator="equal">
      <formula>3</formula>
    </cfRule>
    <cfRule type="cellIs" dxfId="728" priority="985" operator="equal">
      <formula>2</formula>
    </cfRule>
    <cfRule type="cellIs" dxfId="727" priority="986" operator="equal">
      <formula>1</formula>
    </cfRule>
  </conditionalFormatting>
  <conditionalFormatting sqref="D24:K24">
    <cfRule type="cellIs" dxfId="726" priority="979" operator="equal">
      <formula>1</formula>
    </cfRule>
  </conditionalFormatting>
  <conditionalFormatting sqref="L49">
    <cfRule type="cellIs" dxfId="725" priority="897" operator="equal">
      <formula>5</formula>
    </cfRule>
    <cfRule type="cellIs" dxfId="724" priority="898" operator="equal">
      <formula>4</formula>
    </cfRule>
    <cfRule type="cellIs" dxfId="723" priority="899" operator="equal">
      <formula>2</formula>
    </cfRule>
    <cfRule type="cellIs" dxfId="722" priority="900" operator="equal">
      <formula>1</formula>
    </cfRule>
    <cfRule type="cellIs" dxfId="721" priority="901" operator="equal">
      <formula>3</formula>
    </cfRule>
    <cfRule type="cellIs" dxfId="720" priority="902" operator="equal">
      <formula>2</formula>
    </cfRule>
    <cfRule type="cellIs" dxfId="719" priority="903" operator="equal">
      <formula>1</formula>
    </cfRule>
  </conditionalFormatting>
  <conditionalFormatting sqref="L49">
    <cfRule type="cellIs" dxfId="718" priority="890" operator="equal">
      <formula>5</formula>
    </cfRule>
    <cfRule type="cellIs" dxfId="717" priority="891" operator="equal">
      <formula>4</formula>
    </cfRule>
    <cfRule type="cellIs" dxfId="716" priority="892" operator="equal">
      <formula>2</formula>
    </cfRule>
    <cfRule type="cellIs" dxfId="715" priority="893" operator="equal">
      <formula>1</formula>
    </cfRule>
    <cfRule type="cellIs" dxfId="714" priority="894" operator="equal">
      <formula>3</formula>
    </cfRule>
    <cfRule type="cellIs" dxfId="713" priority="895" operator="equal">
      <formula>2</formula>
    </cfRule>
    <cfRule type="cellIs" dxfId="712" priority="896" operator="equal">
      <formula>1</formula>
    </cfRule>
  </conditionalFormatting>
  <conditionalFormatting sqref="L49">
    <cfRule type="cellIs" dxfId="711" priority="889" operator="equal">
      <formula>1</formula>
    </cfRule>
  </conditionalFormatting>
  <conditionalFormatting sqref="K39">
    <cfRule type="cellIs" dxfId="710" priority="686" operator="equal">
      <formula>5</formula>
    </cfRule>
    <cfRule type="cellIs" dxfId="709" priority="687" operator="equal">
      <formula>4</formula>
    </cfRule>
    <cfRule type="cellIs" dxfId="708" priority="688" operator="equal">
      <formula>2</formula>
    </cfRule>
    <cfRule type="cellIs" dxfId="707" priority="689" operator="equal">
      <formula>1</formula>
    </cfRule>
    <cfRule type="cellIs" dxfId="706" priority="690" operator="equal">
      <formula>3</formula>
    </cfRule>
    <cfRule type="cellIs" dxfId="705" priority="691" operator="equal">
      <formula>2</formula>
    </cfRule>
    <cfRule type="cellIs" dxfId="704" priority="692" operator="equal">
      <formula>1</formula>
    </cfRule>
  </conditionalFormatting>
  <conditionalFormatting sqref="K39">
    <cfRule type="cellIs" dxfId="703" priority="685" operator="equal">
      <formula>1</formula>
    </cfRule>
  </conditionalFormatting>
  <conditionalFormatting sqref="L68">
    <cfRule type="cellIs" dxfId="702" priority="814" operator="equal">
      <formula>5</formula>
    </cfRule>
    <cfRule type="cellIs" dxfId="701" priority="815" operator="equal">
      <formula>4</formula>
    </cfRule>
    <cfRule type="cellIs" dxfId="700" priority="816" operator="equal">
      <formula>2</formula>
    </cfRule>
    <cfRule type="cellIs" dxfId="699" priority="817" operator="equal">
      <formula>1</formula>
    </cfRule>
    <cfRule type="cellIs" dxfId="698" priority="818" operator="equal">
      <formula>3</formula>
    </cfRule>
    <cfRule type="cellIs" dxfId="697" priority="819" operator="equal">
      <formula>2</formula>
    </cfRule>
    <cfRule type="cellIs" dxfId="696" priority="820" operator="equal">
      <formula>1</formula>
    </cfRule>
  </conditionalFormatting>
  <conditionalFormatting sqref="L68">
    <cfRule type="cellIs" dxfId="695" priority="806" operator="equal">
      <formula>1</formula>
    </cfRule>
  </conditionalFormatting>
  <conditionalFormatting sqref="R18">
    <cfRule type="cellIs" dxfId="694" priority="700" operator="equal">
      <formula>1</formula>
    </cfRule>
  </conditionalFormatting>
  <conditionalFormatting sqref="S18:V18">
    <cfRule type="cellIs" dxfId="693" priority="723" operator="equal">
      <formula>5</formula>
    </cfRule>
    <cfRule type="cellIs" dxfId="692" priority="724" operator="equal">
      <formula>4</formula>
    </cfRule>
    <cfRule type="cellIs" dxfId="691" priority="725" operator="equal">
      <formula>2</formula>
    </cfRule>
    <cfRule type="cellIs" dxfId="690" priority="726" operator="equal">
      <formula>1</formula>
    </cfRule>
    <cfRule type="cellIs" dxfId="689" priority="727" operator="equal">
      <formula>3</formula>
    </cfRule>
    <cfRule type="cellIs" dxfId="688" priority="728" operator="equal">
      <formula>2</formula>
    </cfRule>
    <cfRule type="cellIs" dxfId="687" priority="729" operator="equal">
      <formula>1</formula>
    </cfRule>
  </conditionalFormatting>
  <conditionalFormatting sqref="S18:V18">
    <cfRule type="cellIs" dxfId="686" priority="716" operator="equal">
      <formula>5</formula>
    </cfRule>
    <cfRule type="cellIs" dxfId="685" priority="717" operator="equal">
      <formula>4</formula>
    </cfRule>
    <cfRule type="cellIs" dxfId="684" priority="718" operator="equal">
      <formula>2</formula>
    </cfRule>
    <cfRule type="cellIs" dxfId="683" priority="719" operator="equal">
      <formula>1</formula>
    </cfRule>
    <cfRule type="cellIs" dxfId="682" priority="720" operator="equal">
      <formula>3</formula>
    </cfRule>
    <cfRule type="cellIs" dxfId="681" priority="721" operator="equal">
      <formula>2</formula>
    </cfRule>
    <cfRule type="cellIs" dxfId="680" priority="722" operator="equal">
      <formula>1</formula>
    </cfRule>
  </conditionalFormatting>
  <conditionalFormatting sqref="S18:V18">
    <cfRule type="cellIs" dxfId="679" priority="715" operator="equal">
      <formula>1</formula>
    </cfRule>
  </conditionalFormatting>
  <conditionalFormatting sqref="R18">
    <cfRule type="cellIs" dxfId="678" priority="708" operator="equal">
      <formula>5</formula>
    </cfRule>
    <cfRule type="cellIs" dxfId="677" priority="709" operator="equal">
      <formula>4</formula>
    </cfRule>
    <cfRule type="cellIs" dxfId="676" priority="710" operator="equal">
      <formula>2</formula>
    </cfRule>
    <cfRule type="cellIs" dxfId="675" priority="711" operator="equal">
      <formula>1</formula>
    </cfRule>
    <cfRule type="cellIs" dxfId="674" priority="712" operator="equal">
      <formula>3</formula>
    </cfRule>
    <cfRule type="cellIs" dxfId="673" priority="713" operator="equal">
      <formula>2</formula>
    </cfRule>
    <cfRule type="cellIs" dxfId="672" priority="714" operator="equal">
      <formula>1</formula>
    </cfRule>
  </conditionalFormatting>
  <conditionalFormatting sqref="R18">
    <cfRule type="cellIs" dxfId="671" priority="701" operator="equal">
      <formula>5</formula>
    </cfRule>
    <cfRule type="cellIs" dxfId="670" priority="702" operator="equal">
      <formula>4</formula>
    </cfRule>
    <cfRule type="cellIs" dxfId="669" priority="703" operator="equal">
      <formula>2</formula>
    </cfRule>
    <cfRule type="cellIs" dxfId="668" priority="704" operator="equal">
      <formula>1</formula>
    </cfRule>
    <cfRule type="cellIs" dxfId="667" priority="705" operator="equal">
      <formula>3</formula>
    </cfRule>
    <cfRule type="cellIs" dxfId="666" priority="706" operator="equal">
      <formula>2</formula>
    </cfRule>
    <cfRule type="cellIs" dxfId="665" priority="707" operator="equal">
      <formula>1</formula>
    </cfRule>
  </conditionalFormatting>
  <conditionalFormatting sqref="K39">
    <cfRule type="cellIs" dxfId="664" priority="693" operator="equal">
      <formula>5</formula>
    </cfRule>
    <cfRule type="cellIs" dxfId="663" priority="694" operator="equal">
      <formula>4</formula>
    </cfRule>
    <cfRule type="cellIs" dxfId="662" priority="695" operator="equal">
      <formula>2</formula>
    </cfRule>
    <cfRule type="cellIs" dxfId="661" priority="696" operator="equal">
      <formula>1</formula>
    </cfRule>
    <cfRule type="cellIs" dxfId="660" priority="697" operator="equal">
      <formula>3</formula>
    </cfRule>
    <cfRule type="cellIs" dxfId="659" priority="698" operator="equal">
      <formula>2</formula>
    </cfRule>
    <cfRule type="cellIs" dxfId="658" priority="699" operator="equal">
      <formula>1</formula>
    </cfRule>
  </conditionalFormatting>
  <conditionalFormatting sqref="L54:L56">
    <cfRule type="cellIs" dxfId="657" priority="618" operator="equal">
      <formula>5</formula>
    </cfRule>
    <cfRule type="cellIs" dxfId="656" priority="619" operator="equal">
      <formula>4</formula>
    </cfRule>
    <cfRule type="cellIs" dxfId="655" priority="620" operator="equal">
      <formula>2</formula>
    </cfRule>
    <cfRule type="cellIs" dxfId="654" priority="621" operator="equal">
      <formula>1</formula>
    </cfRule>
    <cfRule type="cellIs" dxfId="653" priority="622" operator="equal">
      <formula>3</formula>
    </cfRule>
    <cfRule type="cellIs" dxfId="652" priority="623" operator="equal">
      <formula>2</formula>
    </cfRule>
    <cfRule type="cellIs" dxfId="651" priority="624" operator="equal">
      <formula>1</formula>
    </cfRule>
  </conditionalFormatting>
  <conditionalFormatting sqref="L54:L56">
    <cfRule type="cellIs" dxfId="650" priority="617" operator="equal">
      <formula>1</formula>
    </cfRule>
  </conditionalFormatting>
  <conditionalFormatting sqref="G20">
    <cfRule type="cellIs" dxfId="649" priority="610" operator="equal">
      <formula>5</formula>
    </cfRule>
    <cfRule type="cellIs" dxfId="648" priority="611" operator="equal">
      <formula>4</formula>
    </cfRule>
    <cfRule type="cellIs" dxfId="647" priority="612" operator="equal">
      <formula>2</formula>
    </cfRule>
    <cfRule type="cellIs" dxfId="646" priority="613" operator="equal">
      <formula>1</formula>
    </cfRule>
    <cfRule type="cellIs" dxfId="645" priority="614" operator="equal">
      <formula>3</formula>
    </cfRule>
    <cfRule type="cellIs" dxfId="644" priority="615" operator="equal">
      <formula>2</formula>
    </cfRule>
    <cfRule type="cellIs" dxfId="643" priority="616" operator="equal">
      <formula>1</formula>
    </cfRule>
  </conditionalFormatting>
  <conditionalFormatting sqref="G20">
    <cfRule type="cellIs" dxfId="642" priority="609" operator="equal">
      <formula>1</formula>
    </cfRule>
  </conditionalFormatting>
  <conditionalFormatting sqref="L19">
    <cfRule type="cellIs" dxfId="641" priority="594" operator="equal">
      <formula>5</formula>
    </cfRule>
    <cfRule type="cellIs" dxfId="640" priority="595" operator="equal">
      <formula>4</formula>
    </cfRule>
    <cfRule type="cellIs" dxfId="639" priority="596" operator="equal">
      <formula>2</formula>
    </cfRule>
    <cfRule type="cellIs" dxfId="638" priority="597" operator="equal">
      <formula>1</formula>
    </cfRule>
    <cfRule type="cellIs" dxfId="637" priority="598" operator="equal">
      <formula>3</formula>
    </cfRule>
    <cfRule type="cellIs" dxfId="636" priority="599" operator="equal">
      <formula>2</formula>
    </cfRule>
    <cfRule type="cellIs" dxfId="635" priority="600" operator="equal">
      <formula>1</formula>
    </cfRule>
  </conditionalFormatting>
  <conditionalFormatting sqref="L19">
    <cfRule type="cellIs" dxfId="634" priority="593" operator="equal">
      <formula>1</formula>
    </cfRule>
  </conditionalFormatting>
  <conditionalFormatting sqref="P24:Q24">
    <cfRule type="cellIs" dxfId="633" priority="578" operator="equal">
      <formula>5</formula>
    </cfRule>
    <cfRule type="cellIs" dxfId="632" priority="579" operator="equal">
      <formula>4</formula>
    </cfRule>
    <cfRule type="cellIs" dxfId="631" priority="580" operator="equal">
      <formula>2</formula>
    </cfRule>
    <cfRule type="cellIs" dxfId="630" priority="581" operator="equal">
      <formula>1</formula>
    </cfRule>
    <cfRule type="cellIs" dxfId="629" priority="582" operator="equal">
      <formula>3</formula>
    </cfRule>
    <cfRule type="cellIs" dxfId="628" priority="583" operator="equal">
      <formula>2</formula>
    </cfRule>
    <cfRule type="cellIs" dxfId="627" priority="584" operator="equal">
      <formula>1</formula>
    </cfRule>
  </conditionalFormatting>
  <conditionalFormatting sqref="P24:Q24">
    <cfRule type="cellIs" dxfId="626" priority="571" operator="equal">
      <formula>5</formula>
    </cfRule>
    <cfRule type="cellIs" dxfId="625" priority="572" operator="equal">
      <formula>4</formula>
    </cfRule>
    <cfRule type="cellIs" dxfId="624" priority="573" operator="equal">
      <formula>2</formula>
    </cfRule>
    <cfRule type="cellIs" dxfId="623" priority="574" operator="equal">
      <formula>1</formula>
    </cfRule>
    <cfRule type="cellIs" dxfId="622" priority="575" operator="equal">
      <formula>3</formula>
    </cfRule>
    <cfRule type="cellIs" dxfId="621" priority="576" operator="equal">
      <formula>2</formula>
    </cfRule>
    <cfRule type="cellIs" dxfId="620" priority="577" operator="equal">
      <formula>1</formula>
    </cfRule>
  </conditionalFormatting>
  <conditionalFormatting sqref="P24:Q24">
    <cfRule type="cellIs" dxfId="619" priority="570" operator="equal">
      <formula>1</formula>
    </cfRule>
  </conditionalFormatting>
  <conditionalFormatting sqref="W19">
    <cfRule type="cellIs" dxfId="618" priority="563" operator="equal">
      <formula>5</formula>
    </cfRule>
    <cfRule type="cellIs" dxfId="617" priority="564" operator="equal">
      <formula>4</formula>
    </cfRule>
    <cfRule type="cellIs" dxfId="616" priority="565" operator="equal">
      <formula>2</formula>
    </cfRule>
    <cfRule type="cellIs" dxfId="615" priority="566" operator="equal">
      <formula>1</formula>
    </cfRule>
    <cfRule type="cellIs" dxfId="614" priority="567" operator="equal">
      <formula>3</formula>
    </cfRule>
    <cfRule type="cellIs" dxfId="613" priority="568" operator="equal">
      <formula>2</formula>
    </cfRule>
    <cfRule type="cellIs" dxfId="612" priority="569" operator="equal">
      <formula>1</formula>
    </cfRule>
  </conditionalFormatting>
  <conditionalFormatting sqref="W19">
    <cfRule type="cellIs" dxfId="611" priority="562" operator="equal">
      <formula>1</formula>
    </cfRule>
  </conditionalFormatting>
  <conditionalFormatting sqref="W55:W57">
    <cfRule type="cellIs" dxfId="610" priority="547" operator="equal">
      <formula>5</formula>
    </cfRule>
    <cfRule type="cellIs" dxfId="609" priority="548" operator="equal">
      <formula>4</formula>
    </cfRule>
    <cfRule type="cellIs" dxfId="608" priority="549" operator="equal">
      <formula>2</formula>
    </cfRule>
    <cfRule type="cellIs" dxfId="607" priority="550" operator="equal">
      <formula>1</formula>
    </cfRule>
    <cfRule type="cellIs" dxfId="606" priority="551" operator="equal">
      <formula>3</formula>
    </cfRule>
    <cfRule type="cellIs" dxfId="605" priority="552" operator="equal">
      <formula>2</formula>
    </cfRule>
    <cfRule type="cellIs" dxfId="604" priority="553" operator="equal">
      <formula>1</formula>
    </cfRule>
  </conditionalFormatting>
  <conditionalFormatting sqref="W55:W57">
    <cfRule type="cellIs" dxfId="603" priority="546" operator="equal">
      <formula>1</formula>
    </cfRule>
  </conditionalFormatting>
  <conditionalFormatting sqref="W67">
    <cfRule type="cellIs" dxfId="602" priority="539" operator="equal">
      <formula>5</formula>
    </cfRule>
    <cfRule type="cellIs" dxfId="601" priority="540" operator="equal">
      <formula>4</formula>
    </cfRule>
    <cfRule type="cellIs" dxfId="600" priority="541" operator="equal">
      <formula>2</formula>
    </cfRule>
    <cfRule type="cellIs" dxfId="599" priority="542" operator="equal">
      <formula>1</formula>
    </cfRule>
    <cfRule type="cellIs" dxfId="598" priority="543" operator="equal">
      <formula>3</formula>
    </cfRule>
    <cfRule type="cellIs" dxfId="597" priority="544" operator="equal">
      <formula>2</formula>
    </cfRule>
    <cfRule type="cellIs" dxfId="596" priority="545" operator="equal">
      <formula>1</formula>
    </cfRule>
  </conditionalFormatting>
  <conditionalFormatting sqref="W67">
    <cfRule type="cellIs" dxfId="595" priority="538" operator="equal">
      <formula>1</formula>
    </cfRule>
  </conditionalFormatting>
  <conditionalFormatting sqref="R19:V22">
    <cfRule type="cellIs" dxfId="594" priority="518" operator="equal">
      <formula>5</formula>
    </cfRule>
    <cfRule type="cellIs" dxfId="593" priority="519" operator="equal">
      <formula>4</formula>
    </cfRule>
    <cfRule type="cellIs" dxfId="592" priority="520" operator="equal">
      <formula>2</formula>
    </cfRule>
    <cfRule type="cellIs" dxfId="591" priority="521" operator="equal">
      <formula>3</formula>
    </cfRule>
  </conditionalFormatting>
  <conditionalFormatting sqref="R19:V22">
    <cfRule type="cellIs" dxfId="590" priority="517" operator="equal">
      <formula>1</formula>
    </cfRule>
  </conditionalFormatting>
  <conditionalFormatting sqref="W18">
    <cfRule type="cellIs" dxfId="589" priority="508" operator="equal">
      <formula>5</formula>
    </cfRule>
    <cfRule type="cellIs" dxfId="588" priority="509" operator="equal">
      <formula>4</formula>
    </cfRule>
    <cfRule type="cellIs" dxfId="587" priority="510" operator="equal">
      <formula>2</formula>
    </cfRule>
    <cfRule type="cellIs" dxfId="586" priority="511" operator="equal">
      <formula>3</formula>
    </cfRule>
  </conditionalFormatting>
  <conditionalFormatting sqref="W18">
    <cfRule type="cellIs" dxfId="585" priority="507" operator="equal">
      <formula>1</formula>
    </cfRule>
  </conditionalFormatting>
  <conditionalFormatting sqref="G34:K34">
    <cfRule type="cellIs" dxfId="584" priority="498" operator="equal">
      <formula>5</formula>
    </cfRule>
    <cfRule type="cellIs" dxfId="583" priority="499" operator="equal">
      <formula>4</formula>
    </cfRule>
    <cfRule type="cellIs" dxfId="582" priority="500" operator="equal">
      <formula>2</formula>
    </cfRule>
    <cfRule type="cellIs" dxfId="581" priority="501" operator="equal">
      <formula>3</formula>
    </cfRule>
  </conditionalFormatting>
  <conditionalFormatting sqref="G34:K34">
    <cfRule type="cellIs" dxfId="580" priority="497" operator="equal">
      <formula>1</formula>
    </cfRule>
  </conditionalFormatting>
  <conditionalFormatting sqref="C24">
    <cfRule type="containsText" dxfId="579" priority="457" operator="containsText" text="F3 exigé">
      <formula>NOT(ISERROR(SEARCH("F3 exigé",C24)))</formula>
    </cfRule>
  </conditionalFormatting>
  <conditionalFormatting sqref="O24">
    <cfRule type="containsText" dxfId="578" priority="456" operator="containsText" text="F3 exigé">
      <formula>NOT(ISERROR(SEARCH("F3 exigé",O24)))</formula>
    </cfRule>
  </conditionalFormatting>
  <conditionalFormatting sqref="A36:L37 A40 A49:C49 L48:L49 A44:A47 K39 A43:L43 A38:C39 A48:D48">
    <cfRule type="containsText" dxfId="577" priority="455" operator="containsText" text="F3 exigé">
      <formula>NOT(ISERROR(SEARCH("F3 exigé",A36)))</formula>
    </cfRule>
  </conditionalFormatting>
  <conditionalFormatting sqref="C1:C15 C33:C39 C48:C53 C67:C74 C83:C1048576 C24 C57 C62 C43 C28 C78 C18">
    <cfRule type="containsText" dxfId="576" priority="454" operator="containsText" text="F3 exigé">
      <formula>NOT(ISERROR(SEARCH("F3 exigé",C1)))</formula>
    </cfRule>
  </conditionalFormatting>
  <conditionalFormatting sqref="N1:N12 N18 N33:N37 N48:N52 N67:N71 N55:N58 N83:N1048576 N78 N23:N24 N43 N28 N62">
    <cfRule type="containsText" dxfId="575" priority="453" operator="containsText" text="F3 exigé">
      <formula>NOT(ISERROR(SEARCH("F3 exigé",N1)))</formula>
    </cfRule>
  </conditionalFormatting>
  <conditionalFormatting sqref="A9:W12 R17:W17 A34:C34 W33:W34 A28:W28 A24:K24 E14:F14 M24:Q24 A29:A32 A13:D13 E18:K18 A18:C18 M17:N18 P18:W18 M20:M22 G19:M19 M23:W23 G20:K22 R20:V22 R19:W19 A19:B23 A16:B17 A26:A27 A33:D33 G33:N34 G13:L13 A14:C15">
    <cfRule type="containsText" dxfId="574" priority="452" operator="containsText" text="N/A">
      <formula>NOT(ISERROR(SEARCH("N/A",A9)))</formula>
    </cfRule>
  </conditionalFormatting>
  <conditionalFormatting sqref="G38:K38">
    <cfRule type="containsText" dxfId="573" priority="451" operator="containsText" text="N/A">
      <formula>NOT(ISERROR(SEARCH("N/A",G38)))</formula>
    </cfRule>
  </conditionalFormatting>
  <conditionalFormatting sqref="G48:K48">
    <cfRule type="containsText" dxfId="572" priority="450" operator="containsText" text="N/A">
      <formula>NOT(ISERROR(SEARCH("N/A",G48)))</formula>
    </cfRule>
  </conditionalFormatting>
  <conditionalFormatting sqref="G53:K53">
    <cfRule type="containsText" dxfId="571" priority="449" operator="containsText" text="N/A">
      <formula>NOT(ISERROR(SEARCH("N/A",G53)))</formula>
    </cfRule>
  </conditionalFormatting>
  <conditionalFormatting sqref="G67:K67">
    <cfRule type="containsText" dxfId="570" priority="448" operator="containsText" text="N/A">
      <formula>NOT(ISERROR(SEARCH("N/A",G67)))</formula>
    </cfRule>
  </conditionalFormatting>
  <conditionalFormatting sqref="G72:K72">
    <cfRule type="containsText" dxfId="569" priority="447" operator="containsText" text="N/A">
      <formula>NOT(ISERROR(SEARCH("N/A",G72)))</formula>
    </cfRule>
  </conditionalFormatting>
  <conditionalFormatting sqref="G83:K83">
    <cfRule type="containsText" dxfId="568" priority="446" operator="containsText" text="N/A">
      <formula>NOT(ISERROR(SEARCH("N/A",G83)))</formula>
    </cfRule>
  </conditionalFormatting>
  <conditionalFormatting sqref="S83:V83">
    <cfRule type="containsText" dxfId="567" priority="445" operator="containsText" text="N/A">
      <formula>NOT(ISERROR(SEARCH("N/A",S83)))</formula>
    </cfRule>
  </conditionalFormatting>
  <conditionalFormatting sqref="S67:V67">
    <cfRule type="containsText" dxfId="566" priority="444" operator="containsText" text="N/A">
      <formula>NOT(ISERROR(SEARCH("N/A",S67)))</formula>
    </cfRule>
  </conditionalFormatting>
  <conditionalFormatting sqref="S55:V55">
    <cfRule type="containsText" dxfId="565" priority="443" operator="containsText" text="N/A">
      <formula>NOT(ISERROR(SEARCH("N/A",S55)))</formula>
    </cfRule>
  </conditionalFormatting>
  <conditionalFormatting sqref="S48:V48">
    <cfRule type="containsText" dxfId="564" priority="442" operator="containsText" text="N/A">
      <formula>NOT(ISERROR(SEARCH("N/A",S48)))</formula>
    </cfRule>
  </conditionalFormatting>
  <conditionalFormatting sqref="S33:V33">
    <cfRule type="containsText" dxfId="563" priority="441" operator="containsText" text="N/A">
      <formula>NOT(ISERROR(SEARCH("N/A",S33)))</formula>
    </cfRule>
  </conditionalFormatting>
  <conditionalFormatting sqref="G19:K22">
    <cfRule type="cellIs" dxfId="562" priority="437" operator="equal">
      <formula>5</formula>
    </cfRule>
    <cfRule type="cellIs" dxfId="561" priority="438" operator="equal">
      <formula>4</formula>
    </cfRule>
    <cfRule type="cellIs" dxfId="560" priority="439" operator="equal">
      <formula>2</formula>
    </cfRule>
    <cfRule type="cellIs" dxfId="559" priority="440" operator="equal">
      <formula>3</formula>
    </cfRule>
  </conditionalFormatting>
  <conditionalFormatting sqref="G19:K22">
    <cfRule type="cellIs" dxfId="558" priority="436" operator="equal">
      <formula>1</formula>
    </cfRule>
  </conditionalFormatting>
  <conditionalFormatting sqref="G34:K34">
    <cfRule type="cellIs" dxfId="557" priority="432" operator="equal">
      <formula>5</formula>
    </cfRule>
    <cfRule type="cellIs" dxfId="556" priority="433" operator="equal">
      <formula>4</formula>
    </cfRule>
    <cfRule type="cellIs" dxfId="555" priority="434" operator="equal">
      <formula>2</formula>
    </cfRule>
    <cfRule type="cellIs" dxfId="554" priority="435" operator="equal">
      <formula>3</formula>
    </cfRule>
  </conditionalFormatting>
  <conditionalFormatting sqref="G34:K34">
    <cfRule type="cellIs" dxfId="553" priority="431" operator="equal">
      <formula>1</formula>
    </cfRule>
  </conditionalFormatting>
  <conditionalFormatting sqref="G34:K34">
    <cfRule type="cellIs" dxfId="552" priority="427" operator="equal">
      <formula>5</formula>
    </cfRule>
    <cfRule type="cellIs" dxfId="551" priority="428" operator="equal">
      <formula>4</formula>
    </cfRule>
    <cfRule type="cellIs" dxfId="550" priority="429" operator="equal">
      <formula>2</formula>
    </cfRule>
    <cfRule type="cellIs" dxfId="549" priority="430" operator="equal">
      <formula>3</formula>
    </cfRule>
  </conditionalFormatting>
  <conditionalFormatting sqref="G34:K34">
    <cfRule type="cellIs" dxfId="548" priority="426" operator="equal">
      <formula>1</formula>
    </cfRule>
  </conditionalFormatting>
  <conditionalFormatting sqref="G49:K49">
    <cfRule type="cellIs" dxfId="547" priority="422" operator="equal">
      <formula>5</formula>
    </cfRule>
    <cfRule type="cellIs" dxfId="546" priority="423" operator="equal">
      <formula>4</formula>
    </cfRule>
    <cfRule type="cellIs" dxfId="545" priority="424" operator="equal">
      <formula>2</formula>
    </cfRule>
    <cfRule type="cellIs" dxfId="544" priority="425" operator="equal">
      <formula>3</formula>
    </cfRule>
  </conditionalFormatting>
  <conditionalFormatting sqref="G49:K49">
    <cfRule type="cellIs" dxfId="543" priority="421" operator="equal">
      <formula>1</formula>
    </cfRule>
  </conditionalFormatting>
  <conditionalFormatting sqref="G49:K49">
    <cfRule type="containsText" dxfId="542" priority="420" operator="containsText" text="N/A">
      <formula>NOT(ISERROR(SEARCH("N/A",G49)))</formula>
    </cfRule>
  </conditionalFormatting>
  <conditionalFormatting sqref="G49:K49">
    <cfRule type="cellIs" dxfId="541" priority="416" operator="equal">
      <formula>5</formula>
    </cfRule>
    <cfRule type="cellIs" dxfId="540" priority="417" operator="equal">
      <formula>4</formula>
    </cfRule>
    <cfRule type="cellIs" dxfId="539" priority="418" operator="equal">
      <formula>2</formula>
    </cfRule>
    <cfRule type="cellIs" dxfId="538" priority="419" operator="equal">
      <formula>3</formula>
    </cfRule>
  </conditionalFormatting>
  <conditionalFormatting sqref="G49:K49">
    <cfRule type="cellIs" dxfId="537" priority="415" operator="equal">
      <formula>1</formula>
    </cfRule>
  </conditionalFormatting>
  <conditionalFormatting sqref="G54:K56">
    <cfRule type="cellIs" dxfId="536" priority="411" operator="equal">
      <formula>5</formula>
    </cfRule>
    <cfRule type="cellIs" dxfId="535" priority="412" operator="equal">
      <formula>4</formula>
    </cfRule>
    <cfRule type="cellIs" dxfId="534" priority="413" operator="equal">
      <formula>2</formula>
    </cfRule>
    <cfRule type="cellIs" dxfId="533" priority="414" operator="equal">
      <formula>3</formula>
    </cfRule>
  </conditionalFormatting>
  <conditionalFormatting sqref="G54:K56">
    <cfRule type="cellIs" dxfId="532" priority="410" operator="equal">
      <formula>1</formula>
    </cfRule>
  </conditionalFormatting>
  <conditionalFormatting sqref="G54:K56">
    <cfRule type="containsText" dxfId="531" priority="409" operator="containsText" text="N/A">
      <formula>NOT(ISERROR(SEARCH("N/A",G54)))</formula>
    </cfRule>
  </conditionalFormatting>
  <conditionalFormatting sqref="G54:K56">
    <cfRule type="cellIs" dxfId="530" priority="405" operator="equal">
      <formula>5</formula>
    </cfRule>
    <cfRule type="cellIs" dxfId="529" priority="406" operator="equal">
      <formula>4</formula>
    </cfRule>
    <cfRule type="cellIs" dxfId="528" priority="407" operator="equal">
      <formula>2</formula>
    </cfRule>
    <cfRule type="cellIs" dxfId="527" priority="408" operator="equal">
      <formula>3</formula>
    </cfRule>
  </conditionalFormatting>
  <conditionalFormatting sqref="G54:K56">
    <cfRule type="cellIs" dxfId="526" priority="404" operator="equal">
      <formula>1</formula>
    </cfRule>
  </conditionalFormatting>
  <conditionalFormatting sqref="G58:K58">
    <cfRule type="cellIs" dxfId="525" priority="400" operator="equal">
      <formula>5</formula>
    </cfRule>
    <cfRule type="cellIs" dxfId="524" priority="401" operator="equal">
      <formula>4</formula>
    </cfRule>
    <cfRule type="cellIs" dxfId="523" priority="402" operator="equal">
      <formula>2</formula>
    </cfRule>
    <cfRule type="cellIs" dxfId="522" priority="403" operator="equal">
      <formula>3</formula>
    </cfRule>
  </conditionalFormatting>
  <conditionalFormatting sqref="G58:K58">
    <cfRule type="cellIs" dxfId="521" priority="399" operator="equal">
      <formula>1</formula>
    </cfRule>
  </conditionalFormatting>
  <conditionalFormatting sqref="G58:K58">
    <cfRule type="containsText" dxfId="520" priority="398" operator="containsText" text="N/A">
      <formula>NOT(ISERROR(SEARCH("N/A",G58)))</formula>
    </cfRule>
  </conditionalFormatting>
  <conditionalFormatting sqref="G58:K58">
    <cfRule type="cellIs" dxfId="519" priority="394" operator="equal">
      <formula>5</formula>
    </cfRule>
    <cfRule type="cellIs" dxfId="518" priority="395" operator="equal">
      <formula>4</formula>
    </cfRule>
    <cfRule type="cellIs" dxfId="517" priority="396" operator="equal">
      <formula>2</formula>
    </cfRule>
    <cfRule type="cellIs" dxfId="516" priority="397" operator="equal">
      <formula>3</formula>
    </cfRule>
  </conditionalFormatting>
  <conditionalFormatting sqref="G58:K58">
    <cfRule type="cellIs" dxfId="515" priority="393" operator="equal">
      <formula>1</formula>
    </cfRule>
  </conditionalFormatting>
  <conditionalFormatting sqref="G68:K68">
    <cfRule type="cellIs" dxfId="514" priority="389" operator="equal">
      <formula>5</formula>
    </cfRule>
    <cfRule type="cellIs" dxfId="513" priority="390" operator="equal">
      <formula>4</formula>
    </cfRule>
    <cfRule type="cellIs" dxfId="512" priority="391" operator="equal">
      <formula>2</formula>
    </cfRule>
    <cfRule type="cellIs" dxfId="511" priority="392" operator="equal">
      <formula>3</formula>
    </cfRule>
  </conditionalFormatting>
  <conditionalFormatting sqref="G68:K68">
    <cfRule type="cellIs" dxfId="510" priority="388" operator="equal">
      <formula>1</formula>
    </cfRule>
  </conditionalFormatting>
  <conditionalFormatting sqref="G68:K68">
    <cfRule type="containsText" dxfId="509" priority="387" operator="containsText" text="N/A">
      <formula>NOT(ISERROR(SEARCH("N/A",G68)))</formula>
    </cfRule>
  </conditionalFormatting>
  <conditionalFormatting sqref="G68:K68">
    <cfRule type="cellIs" dxfId="508" priority="383" operator="equal">
      <formula>5</formula>
    </cfRule>
    <cfRule type="cellIs" dxfId="507" priority="384" operator="equal">
      <formula>4</formula>
    </cfRule>
    <cfRule type="cellIs" dxfId="506" priority="385" operator="equal">
      <formula>2</formula>
    </cfRule>
    <cfRule type="cellIs" dxfId="505" priority="386" operator="equal">
      <formula>3</formula>
    </cfRule>
  </conditionalFormatting>
  <conditionalFormatting sqref="G68:K68">
    <cfRule type="cellIs" dxfId="504" priority="382" operator="equal">
      <formula>1</formula>
    </cfRule>
  </conditionalFormatting>
  <conditionalFormatting sqref="G73:K74">
    <cfRule type="cellIs" dxfId="503" priority="378" operator="equal">
      <formula>5</formula>
    </cfRule>
    <cfRule type="cellIs" dxfId="502" priority="379" operator="equal">
      <formula>4</formula>
    </cfRule>
    <cfRule type="cellIs" dxfId="501" priority="380" operator="equal">
      <formula>2</formula>
    </cfRule>
    <cfRule type="cellIs" dxfId="500" priority="381" operator="equal">
      <formula>3</formula>
    </cfRule>
  </conditionalFormatting>
  <conditionalFormatting sqref="G73:K74">
    <cfRule type="cellIs" dxfId="499" priority="377" operator="equal">
      <formula>1</formula>
    </cfRule>
  </conditionalFormatting>
  <conditionalFormatting sqref="G73:K74">
    <cfRule type="containsText" dxfId="498" priority="376" operator="containsText" text="N/A">
      <formula>NOT(ISERROR(SEARCH("N/A",G73)))</formula>
    </cfRule>
  </conditionalFormatting>
  <conditionalFormatting sqref="G73:K74">
    <cfRule type="cellIs" dxfId="497" priority="372" operator="equal">
      <formula>5</formula>
    </cfRule>
    <cfRule type="cellIs" dxfId="496" priority="373" operator="equal">
      <formula>4</formula>
    </cfRule>
    <cfRule type="cellIs" dxfId="495" priority="374" operator="equal">
      <formula>2</formula>
    </cfRule>
    <cfRule type="cellIs" dxfId="494" priority="375" operator="equal">
      <formula>3</formula>
    </cfRule>
  </conditionalFormatting>
  <conditionalFormatting sqref="G73:K74">
    <cfRule type="cellIs" dxfId="493" priority="371" operator="equal">
      <formula>1</formula>
    </cfRule>
  </conditionalFormatting>
  <conditionalFormatting sqref="G84:K84">
    <cfRule type="cellIs" dxfId="492" priority="367" operator="equal">
      <formula>5</formula>
    </cfRule>
    <cfRule type="cellIs" dxfId="491" priority="368" operator="equal">
      <formula>4</formula>
    </cfRule>
    <cfRule type="cellIs" dxfId="490" priority="369" operator="equal">
      <formula>2</formula>
    </cfRule>
    <cfRule type="cellIs" dxfId="489" priority="370" operator="equal">
      <formula>3</formula>
    </cfRule>
  </conditionalFormatting>
  <conditionalFormatting sqref="G84:K84">
    <cfRule type="cellIs" dxfId="488" priority="366" operator="equal">
      <formula>1</formula>
    </cfRule>
  </conditionalFormatting>
  <conditionalFormatting sqref="G84:K84">
    <cfRule type="containsText" dxfId="487" priority="365" operator="containsText" text="N/A">
      <formula>NOT(ISERROR(SEARCH("N/A",G84)))</formula>
    </cfRule>
  </conditionalFormatting>
  <conditionalFormatting sqref="G84:K84">
    <cfRule type="cellIs" dxfId="486" priority="361" operator="equal">
      <formula>5</formula>
    </cfRule>
    <cfRule type="cellIs" dxfId="485" priority="362" operator="equal">
      <formula>4</formula>
    </cfRule>
    <cfRule type="cellIs" dxfId="484" priority="363" operator="equal">
      <formula>2</formula>
    </cfRule>
    <cfRule type="cellIs" dxfId="483" priority="364" operator="equal">
      <formula>3</formula>
    </cfRule>
  </conditionalFormatting>
  <conditionalFormatting sqref="G84:K84">
    <cfRule type="cellIs" dxfId="482" priority="360" operator="equal">
      <formula>1</formula>
    </cfRule>
  </conditionalFormatting>
  <conditionalFormatting sqref="S84:V84">
    <cfRule type="cellIs" dxfId="481" priority="356" operator="equal">
      <formula>5</formula>
    </cfRule>
    <cfRule type="cellIs" dxfId="480" priority="357" operator="equal">
      <formula>4</formula>
    </cfRule>
    <cfRule type="cellIs" dxfId="479" priority="358" operator="equal">
      <formula>2</formula>
    </cfRule>
    <cfRule type="cellIs" dxfId="478" priority="359" operator="equal">
      <formula>3</formula>
    </cfRule>
  </conditionalFormatting>
  <conditionalFormatting sqref="S84:V84">
    <cfRule type="cellIs" dxfId="477" priority="355" operator="equal">
      <formula>1</formula>
    </cfRule>
  </conditionalFormatting>
  <conditionalFormatting sqref="S84:V84">
    <cfRule type="containsText" dxfId="476" priority="354" operator="containsText" text="N/A">
      <formula>NOT(ISERROR(SEARCH("N/A",S84)))</formula>
    </cfRule>
  </conditionalFormatting>
  <conditionalFormatting sqref="S84:V84">
    <cfRule type="cellIs" dxfId="475" priority="350" operator="equal">
      <formula>5</formula>
    </cfRule>
    <cfRule type="cellIs" dxfId="474" priority="351" operator="equal">
      <formula>4</formula>
    </cfRule>
    <cfRule type="cellIs" dxfId="473" priority="352" operator="equal">
      <formula>2</formula>
    </cfRule>
    <cfRule type="cellIs" dxfId="472" priority="353" operator="equal">
      <formula>3</formula>
    </cfRule>
  </conditionalFormatting>
  <conditionalFormatting sqref="S84:V84">
    <cfRule type="cellIs" dxfId="471" priority="349" operator="equal">
      <formula>1</formula>
    </cfRule>
  </conditionalFormatting>
  <conditionalFormatting sqref="O84">
    <cfRule type="cellIs" dxfId="470" priority="345" operator="equal">
      <formula>5</formula>
    </cfRule>
    <cfRule type="cellIs" dxfId="469" priority="346" operator="equal">
      <formula>4</formula>
    </cfRule>
    <cfRule type="cellIs" dxfId="468" priority="347" operator="equal">
      <formula>2</formula>
    </cfRule>
    <cfRule type="cellIs" dxfId="467" priority="348" operator="equal">
      <formula>3</formula>
    </cfRule>
  </conditionalFormatting>
  <conditionalFormatting sqref="O84">
    <cfRule type="cellIs" dxfId="466" priority="344" operator="equal">
      <formula>1</formula>
    </cfRule>
  </conditionalFormatting>
  <conditionalFormatting sqref="O84">
    <cfRule type="containsText" dxfId="465" priority="343" operator="containsText" text="N/A">
      <formula>NOT(ISERROR(SEARCH("N/A",O84)))</formula>
    </cfRule>
  </conditionalFormatting>
  <conditionalFormatting sqref="O84">
    <cfRule type="cellIs" dxfId="464" priority="339" operator="equal">
      <formula>5</formula>
    </cfRule>
    <cfRule type="cellIs" dxfId="463" priority="340" operator="equal">
      <formula>4</formula>
    </cfRule>
    <cfRule type="cellIs" dxfId="462" priority="341" operator="equal">
      <formula>2</formula>
    </cfRule>
    <cfRule type="cellIs" dxfId="461" priority="342" operator="equal">
      <formula>3</formula>
    </cfRule>
  </conditionalFormatting>
  <conditionalFormatting sqref="O84">
    <cfRule type="cellIs" dxfId="460" priority="338" operator="equal">
      <formula>1</formula>
    </cfRule>
  </conditionalFormatting>
  <conditionalFormatting sqref="S68:V68">
    <cfRule type="cellIs" dxfId="459" priority="334" operator="equal">
      <formula>5</formula>
    </cfRule>
    <cfRule type="cellIs" dxfId="458" priority="335" operator="equal">
      <formula>4</formula>
    </cfRule>
    <cfRule type="cellIs" dxfId="457" priority="336" operator="equal">
      <formula>2</formula>
    </cfRule>
    <cfRule type="cellIs" dxfId="456" priority="337" operator="equal">
      <formula>3</formula>
    </cfRule>
  </conditionalFormatting>
  <conditionalFormatting sqref="S68:V68">
    <cfRule type="cellIs" dxfId="455" priority="333" operator="equal">
      <formula>1</formula>
    </cfRule>
  </conditionalFormatting>
  <conditionalFormatting sqref="S68:V68">
    <cfRule type="containsText" dxfId="454" priority="332" operator="containsText" text="N/A">
      <formula>NOT(ISERROR(SEARCH("N/A",S68)))</formula>
    </cfRule>
  </conditionalFormatting>
  <conditionalFormatting sqref="S68:V68">
    <cfRule type="cellIs" dxfId="453" priority="328" operator="equal">
      <formula>5</formula>
    </cfRule>
    <cfRule type="cellIs" dxfId="452" priority="329" operator="equal">
      <formula>4</formula>
    </cfRule>
    <cfRule type="cellIs" dxfId="451" priority="330" operator="equal">
      <formula>2</formula>
    </cfRule>
    <cfRule type="cellIs" dxfId="450" priority="331" operator="equal">
      <formula>3</formula>
    </cfRule>
  </conditionalFormatting>
  <conditionalFormatting sqref="S68:V68">
    <cfRule type="cellIs" dxfId="449" priority="327" operator="equal">
      <formula>1</formula>
    </cfRule>
  </conditionalFormatting>
  <conditionalFormatting sqref="O68">
    <cfRule type="cellIs" dxfId="448" priority="323" operator="equal">
      <formula>5</formula>
    </cfRule>
    <cfRule type="cellIs" dxfId="447" priority="324" operator="equal">
      <formula>4</formula>
    </cfRule>
    <cfRule type="cellIs" dxfId="446" priority="325" operator="equal">
      <formula>2</formula>
    </cfRule>
    <cfRule type="cellIs" dxfId="445" priority="326" operator="equal">
      <formula>3</formula>
    </cfRule>
  </conditionalFormatting>
  <conditionalFormatting sqref="O68">
    <cfRule type="cellIs" dxfId="444" priority="322" operator="equal">
      <formula>1</formula>
    </cfRule>
  </conditionalFormatting>
  <conditionalFormatting sqref="O68">
    <cfRule type="containsText" dxfId="443" priority="321" operator="containsText" text="N/A">
      <formula>NOT(ISERROR(SEARCH("N/A",O68)))</formula>
    </cfRule>
  </conditionalFormatting>
  <conditionalFormatting sqref="O68">
    <cfRule type="cellIs" dxfId="442" priority="317" operator="equal">
      <formula>5</formula>
    </cfRule>
    <cfRule type="cellIs" dxfId="441" priority="318" operator="equal">
      <formula>4</formula>
    </cfRule>
    <cfRule type="cellIs" dxfId="440" priority="319" operator="equal">
      <formula>2</formula>
    </cfRule>
    <cfRule type="cellIs" dxfId="439" priority="320" operator="equal">
      <formula>3</formula>
    </cfRule>
  </conditionalFormatting>
  <conditionalFormatting sqref="O68">
    <cfRule type="cellIs" dxfId="438" priority="316" operator="equal">
      <formula>1</formula>
    </cfRule>
  </conditionalFormatting>
  <conditionalFormatting sqref="S56:V56">
    <cfRule type="cellIs" dxfId="437" priority="312" operator="equal">
      <formula>5</formula>
    </cfRule>
    <cfRule type="cellIs" dxfId="436" priority="313" operator="equal">
      <formula>4</formula>
    </cfRule>
    <cfRule type="cellIs" dxfId="435" priority="314" operator="equal">
      <formula>2</formula>
    </cfRule>
    <cfRule type="cellIs" dxfId="434" priority="315" operator="equal">
      <formula>3</formula>
    </cfRule>
  </conditionalFormatting>
  <conditionalFormatting sqref="S56:V56">
    <cfRule type="cellIs" dxfId="433" priority="311" operator="equal">
      <formula>1</formula>
    </cfRule>
  </conditionalFormatting>
  <conditionalFormatting sqref="S56:V56">
    <cfRule type="containsText" dxfId="432" priority="310" operator="containsText" text="N/A">
      <formula>NOT(ISERROR(SEARCH("N/A",S56)))</formula>
    </cfRule>
  </conditionalFormatting>
  <conditionalFormatting sqref="S56:V56">
    <cfRule type="cellIs" dxfId="431" priority="306" operator="equal">
      <formula>5</formula>
    </cfRule>
    <cfRule type="cellIs" dxfId="430" priority="307" operator="equal">
      <formula>4</formula>
    </cfRule>
    <cfRule type="cellIs" dxfId="429" priority="308" operator="equal">
      <formula>2</formula>
    </cfRule>
    <cfRule type="cellIs" dxfId="428" priority="309" operator="equal">
      <formula>3</formula>
    </cfRule>
  </conditionalFormatting>
  <conditionalFormatting sqref="S56:V56">
    <cfRule type="cellIs" dxfId="427" priority="305" operator="equal">
      <formula>1</formula>
    </cfRule>
  </conditionalFormatting>
  <conditionalFormatting sqref="O56">
    <cfRule type="cellIs" dxfId="426" priority="301" operator="equal">
      <formula>5</formula>
    </cfRule>
    <cfRule type="cellIs" dxfId="425" priority="302" operator="equal">
      <formula>4</formula>
    </cfRule>
    <cfRule type="cellIs" dxfId="424" priority="303" operator="equal">
      <formula>2</formula>
    </cfRule>
    <cfRule type="cellIs" dxfId="423" priority="304" operator="equal">
      <formula>3</formula>
    </cfRule>
  </conditionalFormatting>
  <conditionalFormatting sqref="O56">
    <cfRule type="cellIs" dxfId="422" priority="300" operator="equal">
      <formula>1</formula>
    </cfRule>
  </conditionalFormatting>
  <conditionalFormatting sqref="O56">
    <cfRule type="containsText" dxfId="421" priority="299" operator="containsText" text="N/A">
      <formula>NOT(ISERROR(SEARCH("N/A",O56)))</formula>
    </cfRule>
  </conditionalFormatting>
  <conditionalFormatting sqref="O56">
    <cfRule type="cellIs" dxfId="420" priority="295" operator="equal">
      <formula>5</formula>
    </cfRule>
    <cfRule type="cellIs" dxfId="419" priority="296" operator="equal">
      <formula>4</formula>
    </cfRule>
    <cfRule type="cellIs" dxfId="418" priority="297" operator="equal">
      <formula>2</formula>
    </cfRule>
    <cfRule type="cellIs" dxfId="417" priority="298" operator="equal">
      <formula>3</formula>
    </cfRule>
  </conditionalFormatting>
  <conditionalFormatting sqref="O56">
    <cfRule type="cellIs" dxfId="416" priority="294" operator="equal">
      <formula>1</formula>
    </cfRule>
  </conditionalFormatting>
  <conditionalFormatting sqref="S49:V49">
    <cfRule type="cellIs" dxfId="415" priority="290" operator="equal">
      <formula>5</formula>
    </cfRule>
    <cfRule type="cellIs" dxfId="414" priority="291" operator="equal">
      <formula>4</formula>
    </cfRule>
    <cfRule type="cellIs" dxfId="413" priority="292" operator="equal">
      <formula>2</formula>
    </cfRule>
    <cfRule type="cellIs" dxfId="412" priority="293" operator="equal">
      <formula>3</formula>
    </cfRule>
  </conditionalFormatting>
  <conditionalFormatting sqref="S49:V49">
    <cfRule type="cellIs" dxfId="411" priority="289" operator="equal">
      <formula>1</formula>
    </cfRule>
  </conditionalFormatting>
  <conditionalFormatting sqref="S49:V49">
    <cfRule type="containsText" dxfId="410" priority="288" operator="containsText" text="N/A">
      <formula>NOT(ISERROR(SEARCH("N/A",S49)))</formula>
    </cfRule>
  </conditionalFormatting>
  <conditionalFormatting sqref="S49:V49">
    <cfRule type="cellIs" dxfId="409" priority="284" operator="equal">
      <formula>5</formula>
    </cfRule>
    <cfRule type="cellIs" dxfId="408" priority="285" operator="equal">
      <formula>4</formula>
    </cfRule>
    <cfRule type="cellIs" dxfId="407" priority="286" operator="equal">
      <formula>2</formula>
    </cfRule>
    <cfRule type="cellIs" dxfId="406" priority="287" operator="equal">
      <formula>3</formula>
    </cfRule>
  </conditionalFormatting>
  <conditionalFormatting sqref="S49:V49">
    <cfRule type="cellIs" dxfId="405" priority="283" operator="equal">
      <formula>1</formula>
    </cfRule>
  </conditionalFormatting>
  <conditionalFormatting sqref="O49">
    <cfRule type="cellIs" dxfId="404" priority="279" operator="equal">
      <formula>5</formula>
    </cfRule>
    <cfRule type="cellIs" dxfId="403" priority="280" operator="equal">
      <formula>4</formula>
    </cfRule>
    <cfRule type="cellIs" dxfId="402" priority="281" operator="equal">
      <formula>2</formula>
    </cfRule>
    <cfRule type="cellIs" dxfId="401" priority="282" operator="equal">
      <formula>3</formula>
    </cfRule>
  </conditionalFormatting>
  <conditionalFormatting sqref="O49">
    <cfRule type="cellIs" dxfId="400" priority="278" operator="equal">
      <formula>1</formula>
    </cfRule>
  </conditionalFormatting>
  <conditionalFormatting sqref="O49">
    <cfRule type="containsText" dxfId="399" priority="277" operator="containsText" text="N/A">
      <formula>NOT(ISERROR(SEARCH("N/A",O49)))</formula>
    </cfRule>
  </conditionalFormatting>
  <conditionalFormatting sqref="O49">
    <cfRule type="cellIs" dxfId="398" priority="273" operator="equal">
      <formula>5</formula>
    </cfRule>
    <cfRule type="cellIs" dxfId="397" priority="274" operator="equal">
      <formula>4</formula>
    </cfRule>
    <cfRule type="cellIs" dxfId="396" priority="275" operator="equal">
      <formula>2</formula>
    </cfRule>
    <cfRule type="cellIs" dxfId="395" priority="276" operator="equal">
      <formula>3</formula>
    </cfRule>
  </conditionalFormatting>
  <conditionalFormatting sqref="O49">
    <cfRule type="cellIs" dxfId="394" priority="272" operator="equal">
      <formula>1</formula>
    </cfRule>
  </conditionalFormatting>
  <conditionalFormatting sqref="S34:V34">
    <cfRule type="cellIs" dxfId="393" priority="268" operator="equal">
      <formula>5</formula>
    </cfRule>
    <cfRule type="cellIs" dxfId="392" priority="269" operator="equal">
      <formula>4</formula>
    </cfRule>
    <cfRule type="cellIs" dxfId="391" priority="270" operator="equal">
      <formula>2</formula>
    </cfRule>
    <cfRule type="cellIs" dxfId="390" priority="271" operator="equal">
      <formula>3</formula>
    </cfRule>
  </conditionalFormatting>
  <conditionalFormatting sqref="S34:V34">
    <cfRule type="cellIs" dxfId="389" priority="267" operator="equal">
      <formula>1</formula>
    </cfRule>
  </conditionalFormatting>
  <conditionalFormatting sqref="S34:V34">
    <cfRule type="containsText" dxfId="388" priority="266" operator="containsText" text="N/A">
      <formula>NOT(ISERROR(SEARCH("N/A",S34)))</formula>
    </cfRule>
  </conditionalFormatting>
  <conditionalFormatting sqref="S34:V34">
    <cfRule type="cellIs" dxfId="387" priority="262" operator="equal">
      <formula>5</formula>
    </cfRule>
    <cfRule type="cellIs" dxfId="386" priority="263" operator="equal">
      <formula>4</formula>
    </cfRule>
    <cfRule type="cellIs" dxfId="385" priority="264" operator="equal">
      <formula>2</formula>
    </cfRule>
    <cfRule type="cellIs" dxfId="384" priority="265" operator="equal">
      <formula>3</formula>
    </cfRule>
  </conditionalFormatting>
  <conditionalFormatting sqref="S34:V34">
    <cfRule type="cellIs" dxfId="383" priority="261" operator="equal">
      <formula>1</formula>
    </cfRule>
  </conditionalFormatting>
  <conditionalFormatting sqref="O34">
    <cfRule type="cellIs" dxfId="382" priority="257" operator="equal">
      <formula>5</formula>
    </cfRule>
    <cfRule type="cellIs" dxfId="381" priority="258" operator="equal">
      <formula>4</formula>
    </cfRule>
    <cfRule type="cellIs" dxfId="380" priority="259" operator="equal">
      <formula>2</formula>
    </cfRule>
    <cfRule type="cellIs" dxfId="379" priority="260" operator="equal">
      <formula>3</formula>
    </cfRule>
  </conditionalFormatting>
  <conditionalFormatting sqref="O34">
    <cfRule type="cellIs" dxfId="378" priority="256" operator="equal">
      <formula>1</formula>
    </cfRule>
  </conditionalFormatting>
  <conditionalFormatting sqref="O34">
    <cfRule type="containsText" dxfId="377" priority="255" operator="containsText" text="N/A">
      <formula>NOT(ISERROR(SEARCH("N/A",O34)))</formula>
    </cfRule>
  </conditionalFormatting>
  <conditionalFormatting sqref="O34">
    <cfRule type="cellIs" dxfId="376" priority="251" operator="equal">
      <formula>5</formula>
    </cfRule>
    <cfRule type="cellIs" dxfId="375" priority="252" operator="equal">
      <formula>4</formula>
    </cfRule>
    <cfRule type="cellIs" dxfId="374" priority="253" operator="equal">
      <formula>2</formula>
    </cfRule>
    <cfRule type="cellIs" dxfId="373" priority="254" operator="equal">
      <formula>3</formula>
    </cfRule>
  </conditionalFormatting>
  <conditionalFormatting sqref="O34">
    <cfRule type="cellIs" dxfId="372" priority="250" operator="equal">
      <formula>1</formula>
    </cfRule>
  </conditionalFormatting>
  <conditionalFormatting sqref="L39">
    <cfRule type="cellIs" dxfId="371" priority="246" operator="equal">
      <formula>5</formula>
    </cfRule>
    <cfRule type="cellIs" dxfId="370" priority="247" operator="equal">
      <formula>4</formula>
    </cfRule>
    <cfRule type="cellIs" dxfId="369" priority="248" operator="equal">
      <formula>2</formula>
    </cfRule>
    <cfRule type="cellIs" dxfId="368" priority="249" operator="equal">
      <formula>3</formula>
    </cfRule>
  </conditionalFormatting>
  <conditionalFormatting sqref="L39">
    <cfRule type="cellIs" dxfId="367" priority="245" operator="equal">
      <formula>1</formula>
    </cfRule>
  </conditionalFormatting>
  <conditionalFormatting sqref="L39">
    <cfRule type="containsText" dxfId="366" priority="244" operator="containsText" text="N/A">
      <formula>NOT(ISERROR(SEARCH("N/A",L39)))</formula>
    </cfRule>
  </conditionalFormatting>
  <conditionalFormatting sqref="L39">
    <cfRule type="cellIs" dxfId="365" priority="240" operator="equal">
      <formula>5</formula>
    </cfRule>
    <cfRule type="cellIs" dxfId="364" priority="241" operator="equal">
      <formula>4</formula>
    </cfRule>
    <cfRule type="cellIs" dxfId="363" priority="242" operator="equal">
      <formula>2</formula>
    </cfRule>
    <cfRule type="cellIs" dxfId="362" priority="243" operator="equal">
      <formula>3</formula>
    </cfRule>
  </conditionalFormatting>
  <conditionalFormatting sqref="L39">
    <cfRule type="cellIs" dxfId="361" priority="239" operator="equal">
      <formula>1</formula>
    </cfRule>
  </conditionalFormatting>
  <conditionalFormatting sqref="L39">
    <cfRule type="cellIs" dxfId="360" priority="235" operator="equal">
      <formula>5</formula>
    </cfRule>
    <cfRule type="cellIs" dxfId="359" priority="236" operator="equal">
      <formula>4</formula>
    </cfRule>
    <cfRule type="cellIs" dxfId="358" priority="237" operator="equal">
      <formula>2</formula>
    </cfRule>
    <cfRule type="cellIs" dxfId="357" priority="238" operator="equal">
      <formula>3</formula>
    </cfRule>
  </conditionalFormatting>
  <conditionalFormatting sqref="L39">
    <cfRule type="cellIs" dxfId="356" priority="234" operator="equal">
      <formula>1</formula>
    </cfRule>
  </conditionalFormatting>
  <conditionalFormatting sqref="L24">
    <cfRule type="cellIs" dxfId="355" priority="230" operator="equal">
      <formula>5</formula>
    </cfRule>
    <cfRule type="cellIs" dxfId="354" priority="231" operator="equal">
      <formula>4</formula>
    </cfRule>
    <cfRule type="cellIs" dxfId="353" priority="232" operator="equal">
      <formula>2</formula>
    </cfRule>
    <cfRule type="cellIs" dxfId="352" priority="233" operator="equal">
      <formula>3</formula>
    </cfRule>
  </conditionalFormatting>
  <conditionalFormatting sqref="L24">
    <cfRule type="cellIs" dxfId="351" priority="229" operator="equal">
      <formula>1</formula>
    </cfRule>
  </conditionalFormatting>
  <conditionalFormatting sqref="L24">
    <cfRule type="containsText" dxfId="350" priority="228" operator="containsText" text="N/A">
      <formula>NOT(ISERROR(SEARCH("N/A",L24)))</formula>
    </cfRule>
  </conditionalFormatting>
  <conditionalFormatting sqref="L24">
    <cfRule type="cellIs" dxfId="349" priority="224" operator="equal">
      <formula>5</formula>
    </cfRule>
    <cfRule type="cellIs" dxfId="348" priority="225" operator="equal">
      <formula>4</formula>
    </cfRule>
    <cfRule type="cellIs" dxfId="347" priority="226" operator="equal">
      <formula>2</formula>
    </cfRule>
    <cfRule type="cellIs" dxfId="346" priority="227" operator="equal">
      <formula>3</formula>
    </cfRule>
  </conditionalFormatting>
  <conditionalFormatting sqref="L24">
    <cfRule type="cellIs" dxfId="345" priority="223" operator="equal">
      <formula>1</formula>
    </cfRule>
  </conditionalFormatting>
  <conditionalFormatting sqref="L24">
    <cfRule type="cellIs" dxfId="344" priority="219" operator="equal">
      <formula>5</formula>
    </cfRule>
    <cfRule type="cellIs" dxfId="343" priority="220" operator="equal">
      <formula>4</formula>
    </cfRule>
    <cfRule type="cellIs" dxfId="342" priority="221" operator="equal">
      <formula>2</formula>
    </cfRule>
    <cfRule type="cellIs" dxfId="341" priority="222" operator="equal">
      <formula>3</formula>
    </cfRule>
  </conditionalFormatting>
  <conditionalFormatting sqref="L24">
    <cfRule type="cellIs" dxfId="340" priority="218" operator="equal">
      <formula>1</formula>
    </cfRule>
  </conditionalFormatting>
  <conditionalFormatting sqref="L14:L17">
    <cfRule type="cellIs" dxfId="339" priority="214" operator="equal">
      <formula>5</formula>
    </cfRule>
    <cfRule type="cellIs" dxfId="338" priority="215" operator="equal">
      <formula>4</formula>
    </cfRule>
    <cfRule type="cellIs" dxfId="337" priority="216" operator="equal">
      <formula>2</formula>
    </cfRule>
    <cfRule type="cellIs" dxfId="336" priority="217" operator="equal">
      <formula>3</formula>
    </cfRule>
  </conditionalFormatting>
  <conditionalFormatting sqref="L14:L17">
    <cfRule type="cellIs" dxfId="335" priority="213" operator="equal">
      <formula>1</formula>
    </cfRule>
  </conditionalFormatting>
  <conditionalFormatting sqref="L14:L17">
    <cfRule type="containsText" dxfId="334" priority="212" operator="containsText" text="N/A">
      <formula>NOT(ISERROR(SEARCH("N/A",L14)))</formula>
    </cfRule>
  </conditionalFormatting>
  <conditionalFormatting sqref="L14:L17">
    <cfRule type="cellIs" dxfId="333" priority="208" operator="equal">
      <formula>5</formula>
    </cfRule>
    <cfRule type="cellIs" dxfId="332" priority="209" operator="equal">
      <formula>4</formula>
    </cfRule>
    <cfRule type="cellIs" dxfId="331" priority="210" operator="equal">
      <formula>2</formula>
    </cfRule>
    <cfRule type="cellIs" dxfId="330" priority="211" operator="equal">
      <formula>3</formula>
    </cfRule>
  </conditionalFormatting>
  <conditionalFormatting sqref="L14:L17">
    <cfRule type="cellIs" dxfId="329" priority="207" operator="equal">
      <formula>1</formula>
    </cfRule>
  </conditionalFormatting>
  <conditionalFormatting sqref="L14:L17">
    <cfRule type="cellIs" dxfId="328" priority="203" operator="equal">
      <formula>5</formula>
    </cfRule>
    <cfRule type="cellIs" dxfId="327" priority="204" operator="equal">
      <formula>4</formula>
    </cfRule>
    <cfRule type="cellIs" dxfId="326" priority="205" operator="equal">
      <formula>2</formula>
    </cfRule>
    <cfRule type="cellIs" dxfId="325" priority="206" operator="equal">
      <formula>3</formula>
    </cfRule>
  </conditionalFormatting>
  <conditionalFormatting sqref="L14:L17">
    <cfRule type="cellIs" dxfId="324" priority="202" operator="equal">
      <formula>1</formula>
    </cfRule>
  </conditionalFormatting>
  <conditionalFormatting sqref="L18">
    <cfRule type="cellIs" dxfId="323" priority="198" operator="equal">
      <formula>5</formula>
    </cfRule>
    <cfRule type="cellIs" dxfId="322" priority="199" operator="equal">
      <formula>4</formula>
    </cfRule>
    <cfRule type="cellIs" dxfId="321" priority="200" operator="equal">
      <formula>2</formula>
    </cfRule>
    <cfRule type="cellIs" dxfId="320" priority="201" operator="equal">
      <formula>3</formula>
    </cfRule>
  </conditionalFormatting>
  <conditionalFormatting sqref="L18">
    <cfRule type="cellIs" dxfId="319" priority="197" operator="equal">
      <formula>1</formula>
    </cfRule>
  </conditionalFormatting>
  <conditionalFormatting sqref="L18">
    <cfRule type="containsText" dxfId="318" priority="196" operator="containsText" text="N/A">
      <formula>NOT(ISERROR(SEARCH("N/A",L18)))</formula>
    </cfRule>
  </conditionalFormatting>
  <conditionalFormatting sqref="L18">
    <cfRule type="cellIs" dxfId="317" priority="192" operator="equal">
      <formula>5</formula>
    </cfRule>
    <cfRule type="cellIs" dxfId="316" priority="193" operator="equal">
      <formula>4</formula>
    </cfRule>
    <cfRule type="cellIs" dxfId="315" priority="194" operator="equal">
      <formula>2</formula>
    </cfRule>
    <cfRule type="cellIs" dxfId="314" priority="195" operator="equal">
      <formula>3</formula>
    </cfRule>
  </conditionalFormatting>
  <conditionalFormatting sqref="L18">
    <cfRule type="cellIs" dxfId="313" priority="191" operator="equal">
      <formula>1</formula>
    </cfRule>
  </conditionalFormatting>
  <conditionalFormatting sqref="L18">
    <cfRule type="cellIs" dxfId="312" priority="187" operator="equal">
      <formula>5</formula>
    </cfRule>
    <cfRule type="cellIs" dxfId="311" priority="188" operator="equal">
      <formula>4</formula>
    </cfRule>
    <cfRule type="cellIs" dxfId="310" priority="189" operator="equal">
      <formula>2</formula>
    </cfRule>
    <cfRule type="cellIs" dxfId="309" priority="190" operator="equal">
      <formula>3</formula>
    </cfRule>
  </conditionalFormatting>
  <conditionalFormatting sqref="L18">
    <cfRule type="cellIs" dxfId="308" priority="186" operator="equal">
      <formula>1</formula>
    </cfRule>
  </conditionalFormatting>
  <conditionalFormatting sqref="W18">
    <cfRule type="cellIs" dxfId="307" priority="182" operator="equal">
      <formula>5</formula>
    </cfRule>
    <cfRule type="cellIs" dxfId="306" priority="183" operator="equal">
      <formula>4</formula>
    </cfRule>
    <cfRule type="cellIs" dxfId="305" priority="184" operator="equal">
      <formula>2</formula>
    </cfRule>
    <cfRule type="cellIs" dxfId="304" priority="185" operator="equal">
      <formula>3</formula>
    </cfRule>
  </conditionalFormatting>
  <conditionalFormatting sqref="W18">
    <cfRule type="cellIs" dxfId="303" priority="181" operator="equal">
      <formula>1</formula>
    </cfRule>
  </conditionalFormatting>
  <conditionalFormatting sqref="W24">
    <cfRule type="cellIs" dxfId="302" priority="167" operator="equal">
      <formula>5</formula>
    </cfRule>
    <cfRule type="cellIs" dxfId="301" priority="168" operator="equal">
      <formula>4</formula>
    </cfRule>
    <cfRule type="cellIs" dxfId="300" priority="169" operator="equal">
      <formula>2</formula>
    </cfRule>
    <cfRule type="cellIs" dxfId="299" priority="170" operator="equal">
      <formula>3</formula>
    </cfRule>
  </conditionalFormatting>
  <conditionalFormatting sqref="W24">
    <cfRule type="cellIs" dxfId="298" priority="166" operator="equal">
      <formula>1</formula>
    </cfRule>
  </conditionalFormatting>
  <conditionalFormatting sqref="W24">
    <cfRule type="containsText" dxfId="297" priority="165" operator="containsText" text="N/A">
      <formula>NOT(ISERROR(SEARCH("N/A",W24)))</formula>
    </cfRule>
  </conditionalFormatting>
  <conditionalFormatting sqref="N29:N32">
    <cfRule type="containsText" dxfId="296" priority="163" operator="containsText" text="F3 exigé">
      <formula>NOT(ISERROR(SEARCH("F3 exigé",N29)))</formula>
    </cfRule>
  </conditionalFormatting>
  <conditionalFormatting sqref="B29 M29:W32">
    <cfRule type="containsText" dxfId="295" priority="162" operator="containsText" text="N/A">
      <formula>NOT(ISERROR(SEARCH("N/A",B29)))</formula>
    </cfRule>
  </conditionalFormatting>
  <conditionalFormatting sqref="N13:N16">
    <cfRule type="containsText" dxfId="294" priority="161" operator="containsText" text="F3 exigé">
      <formula>NOT(ISERROR(SEARCH("F3 exigé",N13)))</formula>
    </cfRule>
  </conditionalFormatting>
  <conditionalFormatting sqref="M13:W16">
    <cfRule type="containsText" dxfId="293" priority="160" operator="containsText" text="N/A">
      <formula>NOT(ISERROR(SEARCH("N/A",M13)))</formula>
    </cfRule>
  </conditionalFormatting>
  <conditionalFormatting sqref="N38:N39">
    <cfRule type="containsText" dxfId="292" priority="159" operator="containsText" text="F3 exigé">
      <formula>NOT(ISERROR(SEARCH("F3 exigé",N38)))</formula>
    </cfRule>
  </conditionalFormatting>
  <conditionalFormatting sqref="B44:L47">
    <cfRule type="containsText" dxfId="291" priority="158" operator="containsText" text="F3 exigé">
      <formula>NOT(ISERROR(SEARCH("F3 exigé",B44)))</formula>
    </cfRule>
  </conditionalFormatting>
  <conditionalFormatting sqref="C44:C47">
    <cfRule type="containsText" dxfId="290" priority="157" operator="containsText" text="F3 exigé">
      <formula>NOT(ISERROR(SEARCH("F3 exigé",C44)))</formula>
    </cfRule>
  </conditionalFormatting>
  <conditionalFormatting sqref="N44:N47">
    <cfRule type="containsText" dxfId="289" priority="156" operator="containsText" text="F3 exigé">
      <formula>NOT(ISERROR(SEARCH("F3 exigé",N44)))</formula>
    </cfRule>
  </conditionalFormatting>
  <conditionalFormatting sqref="C63:C66">
    <cfRule type="containsText" dxfId="288" priority="155" operator="containsText" text="F3 exigé">
      <formula>NOT(ISERROR(SEARCH("F3 exigé",C63)))</formula>
    </cfRule>
  </conditionalFormatting>
  <conditionalFormatting sqref="N63:N66">
    <cfRule type="containsText" dxfId="287" priority="154" operator="containsText" text="F3 exigé">
      <formula>NOT(ISERROR(SEARCH("F3 exigé",N63)))</formula>
    </cfRule>
  </conditionalFormatting>
  <conditionalFormatting sqref="N53:N54">
    <cfRule type="containsText" dxfId="286" priority="153" operator="containsText" text="F3 exigé">
      <formula>NOT(ISERROR(SEARCH("F3 exigé",N53)))</formula>
    </cfRule>
  </conditionalFormatting>
  <conditionalFormatting sqref="C79:C82">
    <cfRule type="containsText" dxfId="285" priority="152" operator="containsText" text="F3 exigé">
      <formula>NOT(ISERROR(SEARCH("F3 exigé",C79)))</formula>
    </cfRule>
  </conditionalFormatting>
  <conditionalFormatting sqref="N79:N82">
    <cfRule type="containsText" dxfId="284" priority="151" operator="containsText" text="F3 exigé">
      <formula>NOT(ISERROR(SEARCH("F3 exigé",N79)))</formula>
    </cfRule>
  </conditionalFormatting>
  <conditionalFormatting sqref="N72:N74">
    <cfRule type="containsText" dxfId="283" priority="150" operator="containsText" text="F3 exigé">
      <formula>NOT(ISERROR(SEARCH("F3 exigé",N72)))</formula>
    </cfRule>
  </conditionalFormatting>
  <conditionalFormatting sqref="D18">
    <cfRule type="containsText" dxfId="282" priority="149" operator="containsText" text="F3 exigé">
      <formula>NOT(ISERROR(SEARCH("F3 exigé",D18)))</formula>
    </cfRule>
  </conditionalFormatting>
  <conditionalFormatting sqref="D18">
    <cfRule type="containsText" dxfId="281" priority="148" operator="containsText" text="N/A">
      <formula>NOT(ISERROR(SEARCH("N/A",D18)))</formula>
    </cfRule>
  </conditionalFormatting>
  <conditionalFormatting sqref="O18">
    <cfRule type="containsText" dxfId="280" priority="147" operator="containsText" text="F3 exigé">
      <formula>NOT(ISERROR(SEARCH("F3 exigé",O18)))</formula>
    </cfRule>
  </conditionalFormatting>
  <conditionalFormatting sqref="O18">
    <cfRule type="containsText" dxfId="279" priority="146" operator="containsText" text="N/A">
      <formula>NOT(ISERROR(SEARCH("N/A",O18)))</formula>
    </cfRule>
  </conditionalFormatting>
  <conditionalFormatting sqref="L38">
    <cfRule type="cellIs" dxfId="278" priority="134" operator="equal">
      <formula>5</formula>
    </cfRule>
    <cfRule type="cellIs" dxfId="277" priority="135" operator="equal">
      <formula>4</formula>
    </cfRule>
    <cfRule type="cellIs" dxfId="276" priority="136" operator="equal">
      <formula>2</formula>
    </cfRule>
    <cfRule type="cellIs" dxfId="275" priority="137" operator="equal">
      <formula>3</formula>
    </cfRule>
  </conditionalFormatting>
  <conditionalFormatting sqref="L38">
    <cfRule type="cellIs" dxfId="274" priority="133" operator="equal">
      <formula>1</formula>
    </cfRule>
  </conditionalFormatting>
  <conditionalFormatting sqref="L38">
    <cfRule type="containsText" dxfId="273" priority="132" operator="containsText" text="N/A">
      <formula>NOT(ISERROR(SEARCH("N/A",L38)))</formula>
    </cfRule>
  </conditionalFormatting>
  <conditionalFormatting sqref="L38">
    <cfRule type="cellIs" dxfId="272" priority="128" operator="equal">
      <formula>5</formula>
    </cfRule>
    <cfRule type="cellIs" dxfId="271" priority="129" operator="equal">
      <formula>4</formula>
    </cfRule>
    <cfRule type="cellIs" dxfId="270" priority="130" operator="equal">
      <formula>2</formula>
    </cfRule>
    <cfRule type="cellIs" dxfId="269" priority="131" operator="equal">
      <formula>3</formula>
    </cfRule>
  </conditionalFormatting>
  <conditionalFormatting sqref="L38">
    <cfRule type="cellIs" dxfId="268" priority="127" operator="equal">
      <formula>1</formula>
    </cfRule>
  </conditionalFormatting>
  <conditionalFormatting sqref="A41:A42">
    <cfRule type="containsText" dxfId="267" priority="92" operator="containsText" text="N/A">
      <formula>NOT(ISERROR(SEARCH("N/A",A41)))</formula>
    </cfRule>
  </conditionalFormatting>
  <conditionalFormatting sqref="A25:B25">
    <cfRule type="containsText" dxfId="266" priority="55" operator="containsText" text="N/A">
      <formula>NOT(ISERROR(SEARCH("N/A",A25)))</formula>
    </cfRule>
  </conditionalFormatting>
  <conditionalFormatting sqref="M25">
    <cfRule type="containsText" dxfId="265" priority="47" operator="containsText" text="N/A">
      <formula>NOT(ISERROR(SEARCH("N/A",M25)))</formula>
    </cfRule>
  </conditionalFormatting>
  <conditionalFormatting sqref="B27">
    <cfRule type="containsText" dxfId="264" priority="46" operator="containsText" text="F3 exigé">
      <formula>NOT(ISERROR(SEARCH("F3 exigé",B27)))</formula>
    </cfRule>
  </conditionalFormatting>
  <conditionalFormatting sqref="B27">
    <cfRule type="containsText" dxfId="263" priority="45" operator="containsText" text="N/A">
      <formula>NOT(ISERROR(SEARCH("N/A",B27)))</formula>
    </cfRule>
  </conditionalFormatting>
  <conditionalFormatting sqref="B40">
    <cfRule type="containsText" dxfId="262" priority="41" operator="containsText" text="N/A">
      <formula>NOT(ISERROR(SEARCH("N/A",B40)))</formula>
    </cfRule>
  </conditionalFormatting>
  <conditionalFormatting sqref="B42">
    <cfRule type="containsText" dxfId="261" priority="40" operator="containsText" text="F3 exigé">
      <formula>NOT(ISERROR(SEARCH("F3 exigé",B42)))</formula>
    </cfRule>
  </conditionalFormatting>
  <conditionalFormatting sqref="B42">
    <cfRule type="containsText" dxfId="260" priority="39" operator="containsText" text="N/A">
      <formula>NOT(ISERROR(SEARCH("N/A",B42)))</formula>
    </cfRule>
  </conditionalFormatting>
  <conditionalFormatting sqref="M40">
    <cfRule type="containsText" dxfId="259" priority="37" operator="containsText" text="N/A">
      <formula>NOT(ISERROR(SEARCH("N/A",M40)))</formula>
    </cfRule>
  </conditionalFormatting>
  <conditionalFormatting sqref="M42">
    <cfRule type="containsText" dxfId="258" priority="14" operator="containsText" text="F3 exigé">
      <formula>NOT(ISERROR(SEARCH("F3 exigé",M42)))</formula>
    </cfRule>
  </conditionalFormatting>
  <conditionalFormatting sqref="B59">
    <cfRule type="containsText" dxfId="257" priority="33" operator="containsText" text="N/A">
      <formula>NOT(ISERROR(SEARCH("N/A",B59)))</formula>
    </cfRule>
  </conditionalFormatting>
  <conditionalFormatting sqref="B61">
    <cfRule type="containsText" dxfId="256" priority="32" operator="containsText" text="F3 exigé">
      <formula>NOT(ISERROR(SEARCH("F3 exigé",B61)))</formula>
    </cfRule>
  </conditionalFormatting>
  <conditionalFormatting sqref="B61">
    <cfRule type="containsText" dxfId="255" priority="31" operator="containsText" text="N/A">
      <formula>NOT(ISERROR(SEARCH("N/A",B61)))</formula>
    </cfRule>
  </conditionalFormatting>
  <conditionalFormatting sqref="M59">
    <cfRule type="containsText" dxfId="254" priority="29" operator="containsText" text="N/A">
      <formula>NOT(ISERROR(SEARCH("N/A",M59)))</formula>
    </cfRule>
  </conditionalFormatting>
  <conditionalFormatting sqref="B77">
    <cfRule type="containsText" dxfId="253" priority="24" operator="containsText" text="F3 exigé">
      <formula>NOT(ISERROR(SEARCH("F3 exigé",B77)))</formula>
    </cfRule>
  </conditionalFormatting>
  <conditionalFormatting sqref="B77">
    <cfRule type="containsText" dxfId="252" priority="23" operator="containsText" text="N/A">
      <formula>NOT(ISERROR(SEARCH("N/A",B77)))</formula>
    </cfRule>
  </conditionalFormatting>
  <conditionalFormatting sqref="C75">
    <cfRule type="containsText" dxfId="251" priority="26" operator="containsText" text="F3 exigé">
      <formula>NOT(ISERROR(SEARCH("F3 exigé",C75)))</formula>
    </cfRule>
  </conditionalFormatting>
  <conditionalFormatting sqref="B75:L75">
    <cfRule type="containsText" dxfId="250" priority="25" operator="containsText" text="N/A">
      <formula>NOT(ISERROR(SEARCH("N/A",B75)))</formula>
    </cfRule>
  </conditionalFormatting>
  <conditionalFormatting sqref="N75">
    <cfRule type="containsText" dxfId="249" priority="22" operator="containsText" text="F3 exigé">
      <formula>NOT(ISERROR(SEARCH("F3 exigé",N75)))</formula>
    </cfRule>
  </conditionalFormatting>
  <conditionalFormatting sqref="M75:W75">
    <cfRule type="containsText" dxfId="248" priority="21" operator="containsText" text="N/A">
      <formula>NOT(ISERROR(SEARCH("N/A",M75)))</formula>
    </cfRule>
  </conditionalFormatting>
  <conditionalFormatting sqref="M42">
    <cfRule type="containsText" dxfId="247" priority="13" operator="containsText" text="N/A">
      <formula>NOT(ISERROR(SEARCH("N/A",M42)))</formula>
    </cfRule>
  </conditionalFormatting>
  <conditionalFormatting sqref="M27">
    <cfRule type="containsText" dxfId="246" priority="6" operator="containsText" text="F3 exigé">
      <formula>NOT(ISERROR(SEARCH("F3 exigé",M27)))</formula>
    </cfRule>
  </conditionalFormatting>
  <conditionalFormatting sqref="M27">
    <cfRule type="containsText" dxfId="245" priority="5" operator="containsText" text="N/A">
      <formula>NOT(ISERROR(SEARCH("N/A",M27)))</formula>
    </cfRule>
  </conditionalFormatting>
  <conditionalFormatting sqref="M61">
    <cfRule type="containsText" dxfId="244" priority="4" operator="containsText" text="F3 exigé">
      <formula>NOT(ISERROR(SEARCH("F3 exigé",M61)))</formula>
    </cfRule>
  </conditionalFormatting>
  <conditionalFormatting sqref="M61">
    <cfRule type="containsText" dxfId="243" priority="3" operator="containsText" text="N/A">
      <formula>NOT(ISERROR(SEARCH("N/A",M61)))</formula>
    </cfRule>
  </conditionalFormatting>
  <conditionalFormatting sqref="M77">
    <cfRule type="containsText" dxfId="242" priority="2" operator="containsText" text="F3 exigé">
      <formula>NOT(ISERROR(SEARCH("F3 exigé",M77)))</formula>
    </cfRule>
  </conditionalFormatting>
  <conditionalFormatting sqref="M77">
    <cfRule type="containsText" dxfId="241" priority="1" operator="containsText" text="N/A">
      <formula>NOT(ISERROR(SEARCH("N/A",M77)))</formula>
    </cfRule>
  </conditionalFormatting>
  <pageMargins left="0.7" right="0.7" top="0.75" bottom="0.75" header="0.3" footer="0.3"/>
  <pageSetup paperSize="9" scale="58"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" operator="containsText" id="{DAB386E8-F579-45C3-A4D1-646E061D2C31}">
            <xm:f>NOT(ISERROR(SEARCH("-M",C27)))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" operator="containsText" id="{398E6672-7840-4BCE-A933-DE9C4B2ACFFE}">
            <xm:f>NOT(ISERROR(SEARCH("-L",C27)))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" operator="containsText" id="{A15FE677-7121-4442-9FC5-E40DEBC1B16E}">
            <xm:f>NOT(ISERROR(SEARCH("+L",C27)))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" operator="containsText" id="{D83DE18C-FDAD-4E71-BB7D-040DB87CAABE}">
            <xm:f>NOT(ISERROR(SEARCH("+M",C27)))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" operator="containsText" id="{F557BB7D-C985-4A65-B76E-B9E8A2EC7373}">
            <xm:f>NOT(ISERROR(SEARCH("-F",C27)))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14:cfRule type="containsText" priority="7" operator="containsText" id="{2096BDB7-ACF8-4A20-A011-C6195069BE8B}">
            <xm:f>NOT(ISERROR(SEARCH("+F",C27)))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m:sqref>C27 N27:W27 C42:L42 N42:W42 C61:L61 N61:W61 C77:L77 N77:W77 E27:L27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48"/>
  <sheetViews>
    <sheetView tabSelected="1" zoomScale="80" zoomScaleNormal="80" workbookViewId="0">
      <selection activeCell="O20" sqref="O20"/>
    </sheetView>
  </sheetViews>
  <sheetFormatPr defaultColWidth="8.7109375" defaultRowHeight="15" x14ac:dyDescent="0.25"/>
  <cols>
    <col min="1" max="1" width="15.5703125" customWidth="1"/>
    <col min="2" max="2" width="16" customWidth="1"/>
    <col min="3" max="3" width="12.42578125" customWidth="1"/>
    <col min="4" max="4" width="15.85546875" customWidth="1"/>
    <col min="5" max="5" width="12.85546875" customWidth="1"/>
    <col min="6" max="6" width="13.140625" customWidth="1"/>
    <col min="7" max="7" width="11.140625" customWidth="1"/>
    <col min="8" max="8" width="11.5703125" customWidth="1"/>
    <col min="9" max="14" width="3.85546875" style="161" customWidth="1"/>
    <col min="15" max="38" width="3.85546875" customWidth="1"/>
    <col min="39" max="39" width="14.140625" customWidth="1"/>
  </cols>
  <sheetData>
    <row r="1" spans="1:39" x14ac:dyDescent="0.25">
      <c r="D1" s="224" t="s">
        <v>198</v>
      </c>
    </row>
    <row r="2" spans="1:39" s="26" customFormat="1" ht="23.25" x14ac:dyDescent="0.25">
      <c r="A2" s="679" t="s">
        <v>132</v>
      </c>
      <c r="B2" s="679"/>
      <c r="C2" s="679"/>
      <c r="D2" s="679"/>
      <c r="E2" s="679"/>
      <c r="F2" s="679"/>
      <c r="G2" s="679"/>
      <c r="H2" s="679"/>
      <c r="I2" s="679"/>
      <c r="J2" s="679"/>
      <c r="K2" s="679"/>
      <c r="L2" s="679"/>
      <c r="M2" s="679"/>
      <c r="N2" s="679"/>
      <c r="O2" s="679"/>
      <c r="P2" s="142"/>
      <c r="Q2" s="142"/>
      <c r="R2" s="142"/>
      <c r="S2" s="142"/>
      <c r="T2" s="142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</row>
    <row r="3" spans="1:39" s="26" customFormat="1" x14ac:dyDescent="0.25">
      <c r="A3" s="78"/>
      <c r="B3" s="78"/>
      <c r="C3" s="78"/>
      <c r="D3" s="78"/>
      <c r="E3" s="78"/>
      <c r="F3" s="78"/>
      <c r="G3" s="78"/>
      <c r="H3" s="78"/>
      <c r="I3" s="246"/>
      <c r="J3" s="246"/>
      <c r="K3" s="246"/>
      <c r="L3" s="246"/>
      <c r="M3" s="246"/>
      <c r="N3" s="246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</row>
    <row r="4" spans="1:39" s="26" customFormat="1" x14ac:dyDescent="0.25">
      <c r="A4" s="79" t="s">
        <v>0</v>
      </c>
      <c r="B4" s="80"/>
      <c r="C4" s="250" t="str">
        <f>'Tableau 1-B Analyse du Contexte'!$C$5</f>
        <v>TCHAD</v>
      </c>
      <c r="D4" s="78"/>
      <c r="E4" s="82"/>
      <c r="F4" s="82"/>
      <c r="G4" s="82"/>
      <c r="H4" s="82"/>
      <c r="I4" s="247"/>
      <c r="J4" s="247"/>
      <c r="K4" s="247"/>
      <c r="L4" s="247"/>
      <c r="M4" s="247"/>
      <c r="N4" s="247"/>
      <c r="O4" s="82"/>
      <c r="P4" s="82"/>
      <c r="Q4" s="82"/>
      <c r="R4" s="82"/>
      <c r="S4" s="82"/>
      <c r="T4" s="82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</row>
    <row r="5" spans="1:39" s="26" customFormat="1" x14ac:dyDescent="0.25">
      <c r="A5" s="79" t="s">
        <v>1</v>
      </c>
      <c r="B5" s="80"/>
      <c r="C5" s="204">
        <f>'Tableau 1-B Analyse du Contexte'!$C$6</f>
        <v>0</v>
      </c>
      <c r="D5" s="78"/>
      <c r="E5" s="82"/>
      <c r="F5" s="82"/>
      <c r="G5" s="82"/>
      <c r="H5" s="82"/>
      <c r="I5" s="247"/>
      <c r="J5" s="247"/>
      <c r="K5" s="247"/>
      <c r="L5" s="247"/>
      <c r="M5" s="247"/>
      <c r="N5" s="247"/>
      <c r="O5" s="82"/>
      <c r="P5" s="82"/>
      <c r="Q5" s="82"/>
      <c r="R5" s="82"/>
      <c r="S5" s="82"/>
      <c r="T5" s="82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</row>
    <row r="6" spans="1:39" s="26" customFormat="1" x14ac:dyDescent="0.25">
      <c r="A6" s="79" t="s">
        <v>2</v>
      </c>
      <c r="B6" s="80"/>
      <c r="C6" s="204">
        <f>'Tableau 1-B Analyse du Contexte'!$C$7</f>
        <v>0</v>
      </c>
      <c r="D6" s="78"/>
      <c r="E6" s="82"/>
      <c r="F6" s="82"/>
      <c r="G6" s="82"/>
      <c r="H6" s="82"/>
      <c r="I6" s="247"/>
      <c r="J6" s="247"/>
      <c r="K6" s="247"/>
      <c r="L6" s="247"/>
      <c r="M6" s="247"/>
      <c r="N6" s="247"/>
      <c r="O6" s="82"/>
      <c r="P6" s="82"/>
      <c r="Q6" s="82"/>
      <c r="R6" s="82"/>
      <c r="S6" s="82"/>
      <c r="T6" s="82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</row>
    <row r="7" spans="1:39" s="26" customFormat="1" x14ac:dyDescent="0.25">
      <c r="A7" s="79" t="s">
        <v>3</v>
      </c>
      <c r="B7" s="80"/>
      <c r="C7" s="964" t="str">
        <f>'Tableau 1-B Analyse du Contexte'!$C$9</f>
        <v>Fevrier 2020</v>
      </c>
      <c r="D7" s="958"/>
      <c r="E7" s="82"/>
      <c r="F7" s="82"/>
      <c r="G7" s="82"/>
      <c r="H7" s="82"/>
      <c r="I7" s="247"/>
      <c r="J7" s="247"/>
      <c r="K7" s="247"/>
      <c r="L7" s="247"/>
      <c r="M7" s="247"/>
      <c r="N7" s="247"/>
      <c r="O7" s="82"/>
      <c r="P7" s="82"/>
      <c r="Q7" s="82"/>
      <c r="R7" s="82"/>
      <c r="S7" s="82"/>
      <c r="T7" s="82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</row>
    <row r="8" spans="1:39" s="26" customFormat="1" ht="23.85" customHeight="1" x14ac:dyDescent="0.25">
      <c r="A8" s="78" t="s">
        <v>223</v>
      </c>
      <c r="B8" s="78"/>
      <c r="C8" s="957">
        <f>'Tableau 1-B Analyse du Contexte'!$K$2</f>
        <v>0</v>
      </c>
      <c r="D8" s="958"/>
      <c r="E8" s="78"/>
      <c r="F8" s="78"/>
      <c r="G8" s="78"/>
      <c r="H8" s="78"/>
      <c r="I8" s="246"/>
      <c r="J8" s="246"/>
      <c r="K8" s="246"/>
      <c r="L8" s="246"/>
      <c r="M8" s="246"/>
      <c r="N8" s="246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</row>
    <row r="9" spans="1:39" s="26" customFormat="1" ht="23.85" customHeight="1" x14ac:dyDescent="0.25">
      <c r="A9" s="78"/>
      <c r="B9" s="78"/>
      <c r="C9" s="78"/>
      <c r="D9" s="78"/>
      <c r="E9" s="78"/>
      <c r="F9" s="78"/>
      <c r="G9" s="78"/>
      <c r="H9" s="78"/>
      <c r="I9" s="246"/>
      <c r="J9" s="246"/>
      <c r="K9" s="246"/>
      <c r="L9" s="246"/>
      <c r="M9" s="246"/>
      <c r="N9" s="246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</row>
    <row r="10" spans="1:39" ht="23.25" customHeight="1" thickBot="1" x14ac:dyDescent="0.3">
      <c r="A10" s="807" t="s">
        <v>201</v>
      </c>
      <c r="B10" s="808"/>
      <c r="C10" s="808"/>
      <c r="D10" s="808"/>
      <c r="E10" s="808"/>
      <c r="F10" s="808"/>
      <c r="G10" s="808"/>
      <c r="H10" s="808"/>
      <c r="I10" s="808"/>
      <c r="J10" s="808"/>
      <c r="K10" s="808"/>
      <c r="L10" s="808"/>
      <c r="M10" s="808"/>
      <c r="N10" s="808"/>
      <c r="O10" s="808"/>
      <c r="P10" s="808"/>
      <c r="Q10" s="808"/>
      <c r="R10" s="808"/>
      <c r="S10" s="808"/>
      <c r="T10" s="808"/>
      <c r="U10" s="808"/>
      <c r="V10" s="808"/>
      <c r="W10" s="808"/>
      <c r="X10" s="808"/>
      <c r="Y10" s="808"/>
      <c r="Z10" s="808"/>
      <c r="AA10" s="808"/>
      <c r="AB10" s="808"/>
      <c r="AC10" s="808"/>
      <c r="AD10" s="808"/>
      <c r="AE10" s="808"/>
      <c r="AF10" s="808"/>
      <c r="AG10" s="808"/>
      <c r="AH10" s="249"/>
      <c r="AI10" s="249"/>
      <c r="AJ10" s="249"/>
      <c r="AK10" s="249"/>
      <c r="AL10" s="249"/>
      <c r="AM10" s="397"/>
    </row>
    <row r="11" spans="1:39" ht="17.25" customHeight="1" thickTop="1" thickBot="1" x14ac:dyDescent="0.3">
      <c r="A11" s="965" t="s">
        <v>101</v>
      </c>
      <c r="B11" s="967" t="s">
        <v>102</v>
      </c>
      <c r="C11" s="967" t="s">
        <v>103</v>
      </c>
      <c r="D11" s="969" t="s">
        <v>104</v>
      </c>
      <c r="E11" s="970"/>
      <c r="F11" s="970"/>
      <c r="G11" s="971"/>
      <c r="H11" s="972" t="s">
        <v>114</v>
      </c>
      <c r="I11" s="973"/>
      <c r="J11" s="973"/>
      <c r="K11" s="973"/>
      <c r="L11" s="973"/>
      <c r="M11" s="973"/>
      <c r="N11" s="973"/>
      <c r="O11" s="973"/>
      <c r="P11" s="973"/>
      <c r="Q11" s="973"/>
      <c r="R11" s="973"/>
      <c r="S11" s="973"/>
      <c r="T11" s="973"/>
      <c r="U11" s="973"/>
      <c r="V11" s="973"/>
      <c r="W11" s="973"/>
      <c r="X11" s="973"/>
      <c r="Y11" s="973"/>
      <c r="Z11" s="973"/>
      <c r="AA11" s="973"/>
      <c r="AB11" s="973"/>
      <c r="AC11" s="973"/>
      <c r="AD11" s="973"/>
      <c r="AE11" s="973"/>
      <c r="AF11" s="974"/>
      <c r="AM11" s="991" t="s">
        <v>226</v>
      </c>
    </row>
    <row r="12" spans="1:39" ht="38.25" customHeight="1" x14ac:dyDescent="0.25">
      <c r="A12" s="966"/>
      <c r="B12" s="968"/>
      <c r="C12" s="968"/>
      <c r="D12" s="40" t="s">
        <v>105</v>
      </c>
      <c r="E12" s="959" t="s">
        <v>107</v>
      </c>
      <c r="F12" s="959" t="s">
        <v>108</v>
      </c>
      <c r="G12" s="962" t="s">
        <v>109</v>
      </c>
      <c r="H12" s="981" t="s">
        <v>200</v>
      </c>
      <c r="I12" s="975" t="s">
        <v>110</v>
      </c>
      <c r="J12" s="976"/>
      <c r="K12" s="976"/>
      <c r="L12" s="976"/>
      <c r="M12" s="976"/>
      <c r="N12" s="977"/>
      <c r="O12" s="988" t="s">
        <v>111</v>
      </c>
      <c r="P12" s="976"/>
      <c r="Q12" s="976"/>
      <c r="R12" s="976"/>
      <c r="S12" s="976"/>
      <c r="T12" s="976"/>
      <c r="U12" s="975" t="s">
        <v>112</v>
      </c>
      <c r="V12" s="976"/>
      <c r="W12" s="976"/>
      <c r="X12" s="976"/>
      <c r="Y12" s="976"/>
      <c r="Z12" s="977"/>
      <c r="AA12" s="975" t="s">
        <v>113</v>
      </c>
      <c r="AB12" s="976"/>
      <c r="AC12" s="976"/>
      <c r="AD12" s="976"/>
      <c r="AE12" s="976"/>
      <c r="AF12" s="977"/>
      <c r="AG12" s="975" t="s">
        <v>14</v>
      </c>
      <c r="AH12" s="976"/>
      <c r="AI12" s="976"/>
      <c r="AJ12" s="976"/>
      <c r="AK12" s="976"/>
      <c r="AL12" s="977"/>
      <c r="AM12" s="992"/>
    </row>
    <row r="13" spans="1:39" ht="53.25" customHeight="1" thickBot="1" x14ac:dyDescent="0.3">
      <c r="A13" s="966"/>
      <c r="B13" s="968"/>
      <c r="C13" s="968"/>
      <c r="D13" s="40" t="s">
        <v>106</v>
      </c>
      <c r="E13" s="960"/>
      <c r="F13" s="961"/>
      <c r="G13" s="963"/>
      <c r="H13" s="982"/>
      <c r="I13" s="978"/>
      <c r="J13" s="979"/>
      <c r="K13" s="979"/>
      <c r="L13" s="979"/>
      <c r="M13" s="979"/>
      <c r="N13" s="980"/>
      <c r="O13" s="989"/>
      <c r="P13" s="984"/>
      <c r="Q13" s="984"/>
      <c r="R13" s="984"/>
      <c r="S13" s="984"/>
      <c r="T13" s="984"/>
      <c r="U13" s="983"/>
      <c r="V13" s="984"/>
      <c r="W13" s="984"/>
      <c r="X13" s="984"/>
      <c r="Y13" s="984"/>
      <c r="Z13" s="985"/>
      <c r="AA13" s="983"/>
      <c r="AB13" s="984"/>
      <c r="AC13" s="984"/>
      <c r="AD13" s="984"/>
      <c r="AE13" s="984"/>
      <c r="AF13" s="985"/>
      <c r="AG13" s="983"/>
      <c r="AH13" s="984"/>
      <c r="AI13" s="984"/>
      <c r="AJ13" s="984"/>
      <c r="AK13" s="984"/>
      <c r="AL13" s="985"/>
      <c r="AM13" s="992"/>
    </row>
    <row r="14" spans="1:39" ht="32.25" customHeight="1" thickTop="1" thickBot="1" x14ac:dyDescent="0.3">
      <c r="A14" s="987">
        <f>'Tableau 1-B Analyse du Contexte'!C6</f>
        <v>0</v>
      </c>
      <c r="B14" s="986">
        <f>'Tableau 1-B Analyse du Contexte'!C7</f>
        <v>0</v>
      </c>
      <c r="C14" s="990" t="str">
        <f>'Tableau 1-B Analyse du Contexte'!B17&amp;$D$1&amp;'Tableau 1-B Analyse du Contexte'!B18&amp;'Tableau 3 - Synthèse &amp; Classif'!$D$1&amp;'Tableau 1-B Analyse du Contexte'!B19</f>
        <v xml:space="preserve"> /  / </v>
      </c>
      <c r="D14" s="993">
        <f>'Tableau 2 -B - Analy résult'!G34+'Tableau 2 -B - Analy résult'!H34+'Tableau 2 -B - Analy résult'!I34+'Tableau 2 -B - Analy résult'!J34+'Tableau 2 -B - Analy résult'!K34</f>
        <v>0</v>
      </c>
      <c r="E14" s="993">
        <f>'Tableau 2 -B - Analy résult'!G49+'Tableau 2 -B - Analy résult'!H49+'Tableau 2 -B - Analy résult'!I49+'Tableau 2 -B - Analy résult'!J49+'Tableau 2 -B - Analy résult'!K49</f>
        <v>0</v>
      </c>
      <c r="F14" s="993">
        <f>'Tableau 2 -B - Analy résult'!G68+'Tableau 2 -B - Analy résult'!H68+'Tableau 2 -B - Analy résult'!I68+'Tableau 2 -B - Analy résult'!J68+'Tableau 2 -B - Analy résult'!K68</f>
        <v>0</v>
      </c>
      <c r="G14" s="993">
        <f>'Tableau 2 -B - Analy résult'!G84+'Tableau 2 -B - Analy résult'!H84+'Tableau 2 -B - Analy résult'!I84+'Tableau 2 -B - Analy résult'!J84+'Tableau 2 -B - Analy résult'!K84</f>
        <v>0</v>
      </c>
      <c r="H14" s="248"/>
      <c r="I14" s="370" t="s">
        <v>240</v>
      </c>
      <c r="J14" s="371" t="s">
        <v>241</v>
      </c>
      <c r="K14" s="372" t="s">
        <v>242</v>
      </c>
      <c r="L14" s="373" t="s">
        <v>243</v>
      </c>
      <c r="M14" s="373" t="s">
        <v>244</v>
      </c>
      <c r="N14" s="373" t="s">
        <v>245</v>
      </c>
      <c r="O14" s="370" t="s">
        <v>240</v>
      </c>
      <c r="P14" s="371" t="s">
        <v>241</v>
      </c>
      <c r="Q14" s="372" t="s">
        <v>242</v>
      </c>
      <c r="R14" s="373" t="s">
        <v>243</v>
      </c>
      <c r="S14" s="373" t="s">
        <v>244</v>
      </c>
      <c r="T14" s="373" t="s">
        <v>245</v>
      </c>
      <c r="U14" s="370" t="s">
        <v>240</v>
      </c>
      <c r="V14" s="371" t="s">
        <v>241</v>
      </c>
      <c r="W14" s="372" t="s">
        <v>242</v>
      </c>
      <c r="X14" s="373" t="s">
        <v>243</v>
      </c>
      <c r="Y14" s="373" t="s">
        <v>244</v>
      </c>
      <c r="Z14" s="373" t="s">
        <v>245</v>
      </c>
      <c r="AA14" s="370" t="s">
        <v>240</v>
      </c>
      <c r="AB14" s="371" t="s">
        <v>241</v>
      </c>
      <c r="AC14" s="372" t="s">
        <v>242</v>
      </c>
      <c r="AD14" s="373" t="s">
        <v>243</v>
      </c>
      <c r="AE14" s="373" t="s">
        <v>244</v>
      </c>
      <c r="AF14" s="373" t="s">
        <v>245</v>
      </c>
      <c r="AG14" s="370" t="s">
        <v>240</v>
      </c>
      <c r="AH14" s="371" t="s">
        <v>241</v>
      </c>
      <c r="AI14" s="372" t="s">
        <v>242</v>
      </c>
      <c r="AJ14" s="373" t="s">
        <v>243</v>
      </c>
      <c r="AK14" s="373" t="s">
        <v>244</v>
      </c>
      <c r="AL14" s="436" t="s">
        <v>245</v>
      </c>
      <c r="AM14" s="437"/>
    </row>
    <row r="15" spans="1:39" ht="16.5" thickBot="1" x14ac:dyDescent="0.3">
      <c r="A15" s="987"/>
      <c r="B15" s="986"/>
      <c r="C15" s="990"/>
      <c r="D15" s="994"/>
      <c r="E15" s="994"/>
      <c r="F15" s="994"/>
      <c r="G15" s="994"/>
      <c r="H15" s="140" t="s">
        <v>58</v>
      </c>
      <c r="I15" s="252">
        <f>IF($D$14&gt;0,"",'Tableau 2-A-Analyse FC'!D35)</f>
        <v>0</v>
      </c>
      <c r="J15" s="252">
        <f>IF($D$14&gt;0,"",'Tableau 2-A-Analyse FC'!E35)</f>
        <v>0</v>
      </c>
      <c r="K15" s="252">
        <f>IF($D$14&gt;0,"",'Tableau 2-A-Analyse FC'!F35)</f>
        <v>0</v>
      </c>
      <c r="L15" s="252">
        <f>IF($D$14&gt;0,"",'Tableau 2-A-Analyse FC'!G35)</f>
        <v>0</v>
      </c>
      <c r="M15" s="252">
        <f>IF($D$14&gt;0,"",'Tableau 2-A-Analyse FC'!H35)</f>
        <v>0</v>
      </c>
      <c r="N15" s="252">
        <f>IF($D$14&gt;0,"",'Tableau 2-A-Analyse FC'!I35)</f>
        <v>0</v>
      </c>
      <c r="O15" s="252">
        <f>IF($D$14&gt;0,"",'Tableau 2-A-Analyse FC'!D70)</f>
        <v>0</v>
      </c>
      <c r="P15" s="252">
        <f>IF($D$14&gt;0,"",'Tableau 2-A-Analyse FC'!E70)</f>
        <v>0</v>
      </c>
      <c r="Q15" s="252">
        <f>IF($D$14&gt;0,"",'Tableau 2-A-Analyse FC'!F70)</f>
        <v>0</v>
      </c>
      <c r="R15" s="252">
        <f>IF($D$14&gt;0,"",'Tableau 2-A-Analyse FC'!G70)</f>
        <v>0</v>
      </c>
      <c r="S15" s="252">
        <f>IF($D$14&gt;0,"",'Tableau 2-A-Analyse FC'!H70)</f>
        <v>0</v>
      </c>
      <c r="T15" s="252">
        <f>IF($D$14&gt;0,"",'Tableau 2-A-Analyse FC'!I70)</f>
        <v>0</v>
      </c>
      <c r="U15" s="252">
        <f>IF($D$14&gt;0,"",'Tableau 2-A-Analyse FC'!D102)</f>
        <v>0</v>
      </c>
      <c r="V15" s="252">
        <f>IF($D$14&gt;0,"",'Tableau 2-A-Analyse FC'!E102)</f>
        <v>0</v>
      </c>
      <c r="W15" s="252">
        <f>IF($D$14&gt;0,"",'Tableau 2-A-Analyse FC'!F102)</f>
        <v>0</v>
      </c>
      <c r="X15" s="252">
        <f>IF($D$14&gt;0,"",'Tableau 2-A-Analyse FC'!G102)</f>
        <v>0</v>
      </c>
      <c r="Y15" s="252">
        <f>IF($D$14&gt;0,"",'Tableau 2-A-Analyse FC'!H102)</f>
        <v>0</v>
      </c>
      <c r="Z15" s="252">
        <f>IF($D$14&gt;0,"",'Tableau 2-A-Analyse FC'!I102)</f>
        <v>0</v>
      </c>
      <c r="AA15" s="252">
        <f>IF($D$14&gt;0,"",'Tableau 2-A-Analyse FC'!D134)</f>
        <v>0</v>
      </c>
      <c r="AB15" s="252">
        <f>IF($D$14&gt;0,"",'Tableau 2-A-Analyse FC'!E134)</f>
        <v>0</v>
      </c>
      <c r="AC15" s="252">
        <f>IF($D$14&gt;0,"",'Tableau 2-A-Analyse FC'!F134)</f>
        <v>0</v>
      </c>
      <c r="AD15" s="252">
        <f>IF($D$14&gt;0,"",'Tableau 2-A-Analyse FC'!G134)</f>
        <v>0</v>
      </c>
      <c r="AE15" s="252">
        <f>IF($D$14&gt;0,"",'Tableau 2-A-Analyse FC'!H134)</f>
        <v>0</v>
      </c>
      <c r="AF15" s="252">
        <f>IF($D$14&gt;0,"",'Tableau 2-A-Analyse FC'!I134)</f>
        <v>0</v>
      </c>
      <c r="AG15" s="252">
        <f>IF($D$14&gt;0,"",'Tableau 2-A-Analyse FC'!D166)</f>
        <v>0</v>
      </c>
      <c r="AH15" s="252">
        <f>IF($D$14&gt;0,"",'Tableau 2-A-Analyse FC'!E166)</f>
        <v>0</v>
      </c>
      <c r="AI15" s="252">
        <f>IF($D$14&gt;0,"",'Tableau 2-A-Analyse FC'!F166)</f>
        <v>0</v>
      </c>
      <c r="AJ15" s="252">
        <f>IF($D$14&gt;0,"",'Tableau 2-A-Analyse FC'!G166)</f>
        <v>0</v>
      </c>
      <c r="AK15" s="252">
        <f>IF($D$14&gt;0,"",'Tableau 2-A-Analyse FC'!H166)</f>
        <v>0</v>
      </c>
      <c r="AL15" s="252">
        <f>IF($D$14&gt;0,"",'Tableau 2-A-Analyse FC'!I166)</f>
        <v>0</v>
      </c>
      <c r="AM15" s="1011"/>
    </row>
    <row r="16" spans="1:39" ht="16.5" thickBot="1" x14ac:dyDescent="0.3">
      <c r="A16" s="987"/>
      <c r="B16" s="986"/>
      <c r="C16" s="990"/>
      <c r="D16" s="994"/>
      <c r="E16" s="994"/>
      <c r="F16" s="994"/>
      <c r="G16" s="994"/>
      <c r="H16" s="140" t="s">
        <v>59</v>
      </c>
      <c r="I16" s="252">
        <f>IF($E$14&gt;0,"",'Tableau 2-A-Analyse FC'!D36)</f>
        <v>0</v>
      </c>
      <c r="J16" s="252">
        <f>IF($E$14&gt;0,"",'Tableau 2-A-Analyse FC'!E36)</f>
        <v>0</v>
      </c>
      <c r="K16" s="252">
        <f>IF($E$14&gt;0,"",'Tableau 2-A-Analyse FC'!F36)</f>
        <v>0</v>
      </c>
      <c r="L16" s="252">
        <f>IF($E$14&gt;0,"",'Tableau 2-A-Analyse FC'!G36)</f>
        <v>0</v>
      </c>
      <c r="M16" s="252">
        <f>IF($E$14&gt;0,"",'Tableau 2-A-Analyse FC'!H36)</f>
        <v>0</v>
      </c>
      <c r="N16" s="252">
        <f>IF($E$14&gt;0,"",'Tableau 2-A-Analyse FC'!I36)</f>
        <v>0</v>
      </c>
      <c r="O16" s="252">
        <f>IF($E$14&gt;0,"",'Tableau 2-A-Analyse FC'!D71)</f>
        <v>0</v>
      </c>
      <c r="P16" s="252">
        <f>IF($E$14&gt;0,"",'Tableau 2-A-Analyse FC'!E71)</f>
        <v>0</v>
      </c>
      <c r="Q16" s="252">
        <f>IF($E$14&gt;0,"",'Tableau 2-A-Analyse FC'!F71)</f>
        <v>0</v>
      </c>
      <c r="R16" s="252">
        <f>IF($E$14&gt;0,"",'Tableau 2-A-Analyse FC'!G71)</f>
        <v>0</v>
      </c>
      <c r="S16" s="252">
        <f>IF($E$14&gt;0,"",'Tableau 2-A-Analyse FC'!H71)</f>
        <v>0</v>
      </c>
      <c r="T16" s="252">
        <f>IF($E$14&gt;0,"",'Tableau 2-A-Analyse FC'!I71)</f>
        <v>0</v>
      </c>
      <c r="U16" s="252">
        <f>IF($E$14&gt;0,"",'Tableau 2-A-Analyse FC'!D103)</f>
        <v>0</v>
      </c>
      <c r="V16" s="252">
        <f>IF($E$14&gt;0,"",'Tableau 2-A-Analyse FC'!E103)</f>
        <v>0</v>
      </c>
      <c r="W16" s="252">
        <f>IF($E$14&gt;0,"",'Tableau 2-A-Analyse FC'!F103)</f>
        <v>0</v>
      </c>
      <c r="X16" s="252">
        <f>IF($E$14&gt;0,"",'Tableau 2-A-Analyse FC'!G103)</f>
        <v>0</v>
      </c>
      <c r="Y16" s="252">
        <f>IF($E$14&gt;0,"",'Tableau 2-A-Analyse FC'!H103)</f>
        <v>0</v>
      </c>
      <c r="Z16" s="252">
        <f>IF($E$14&gt;0,"",'Tableau 2-A-Analyse FC'!I103)</f>
        <v>0</v>
      </c>
      <c r="AA16" s="252">
        <f>IF($E$14&gt;0,"",'Tableau 2-A-Analyse FC'!D135)</f>
        <v>0</v>
      </c>
      <c r="AB16" s="252">
        <f>IF($E$14&gt;0,"",'Tableau 2-A-Analyse FC'!E135)</f>
        <v>0</v>
      </c>
      <c r="AC16" s="252">
        <f>IF($E$14&gt;0,"",'Tableau 2-A-Analyse FC'!F135)</f>
        <v>0</v>
      </c>
      <c r="AD16" s="252">
        <f>IF($E$14&gt;0,"",'Tableau 2-A-Analyse FC'!G135)</f>
        <v>0</v>
      </c>
      <c r="AE16" s="252">
        <f>IF($E$14&gt;0,"",'Tableau 2-A-Analyse FC'!H135)</f>
        <v>0</v>
      </c>
      <c r="AF16" s="252">
        <f>IF($E$14&gt;0,"",'Tableau 2-A-Analyse FC'!I135)</f>
        <v>0</v>
      </c>
      <c r="AG16" s="252">
        <f>IF($E$14&gt;0,"",'Tableau 2-A-Analyse FC'!D167)</f>
        <v>0</v>
      </c>
      <c r="AH16" s="252">
        <f>IF($E$14&gt;0,"",'Tableau 2-A-Analyse FC'!E167)</f>
        <v>0</v>
      </c>
      <c r="AI16" s="252">
        <f>IF($E$14&gt;0,"",'Tableau 2-A-Analyse FC'!F167)</f>
        <v>0</v>
      </c>
      <c r="AJ16" s="252">
        <f>IF($E$14&gt;0,"",'Tableau 2-A-Analyse FC'!G167)</f>
        <v>0</v>
      </c>
      <c r="AK16" s="252">
        <f>IF($E$14&gt;0,"",'Tableau 2-A-Analyse FC'!H167)</f>
        <v>0</v>
      </c>
      <c r="AL16" s="252">
        <f>IF($E$14&gt;0,"",'Tableau 2-A-Analyse FC'!I167)</f>
        <v>0</v>
      </c>
      <c r="AM16" s="1011"/>
    </row>
    <row r="17" spans="1:39" ht="16.5" thickBot="1" x14ac:dyDescent="0.3">
      <c r="A17" s="987"/>
      <c r="B17" s="986"/>
      <c r="C17" s="990"/>
      <c r="D17" s="994"/>
      <c r="E17" s="994"/>
      <c r="F17" s="994"/>
      <c r="G17" s="994"/>
      <c r="H17" s="140" t="s">
        <v>60</v>
      </c>
      <c r="I17" s="252">
        <f>IF($F$14&gt;0,"",'Tableau 2-A-Analyse FC'!D37)</f>
        <v>0</v>
      </c>
      <c r="J17" s="252">
        <f>IF($F$14&gt;0,"",'Tableau 2-A-Analyse FC'!E37)</f>
        <v>0</v>
      </c>
      <c r="K17" s="252">
        <f>IF($F$14&gt;0,"",'Tableau 2-A-Analyse FC'!F37)</f>
        <v>0</v>
      </c>
      <c r="L17" s="252">
        <f>IF($F$14&gt;0,"",'Tableau 2-A-Analyse FC'!G37)</f>
        <v>0</v>
      </c>
      <c r="M17" s="252">
        <f>IF($F$14&gt;0,"",'Tableau 2-A-Analyse FC'!H37)</f>
        <v>0</v>
      </c>
      <c r="N17" s="252">
        <f>IF($F$14&gt;0,"",'Tableau 2-A-Analyse FC'!I37)</f>
        <v>0</v>
      </c>
      <c r="O17" s="252">
        <f>IF($F$14&gt;0,"",'Tableau 2-A-Analyse FC'!D72)</f>
        <v>0</v>
      </c>
      <c r="P17" s="252">
        <f>IF($F$14&gt;0,"",'Tableau 2-A-Analyse FC'!E72)</f>
        <v>0</v>
      </c>
      <c r="Q17" s="252">
        <f>IF($F$14&gt;0,"",'Tableau 2-A-Analyse FC'!F72)</f>
        <v>0</v>
      </c>
      <c r="R17" s="252">
        <f>IF($F$14&gt;0,"",'Tableau 2-A-Analyse FC'!G72)</f>
        <v>0</v>
      </c>
      <c r="S17" s="252">
        <f>IF($F$14&gt;0,"",'Tableau 2-A-Analyse FC'!H72)</f>
        <v>0</v>
      </c>
      <c r="T17" s="252">
        <f>IF($F$14&gt;0,"",'Tableau 2-A-Analyse FC'!I72)</f>
        <v>0</v>
      </c>
      <c r="U17" s="252">
        <f>IF($F$14&gt;0,"",'Tableau 2-A-Analyse FC'!D104)</f>
        <v>0</v>
      </c>
      <c r="V17" s="252">
        <f>IF($F$14&gt;0,"",'Tableau 2-A-Analyse FC'!E104)</f>
        <v>0</v>
      </c>
      <c r="W17" s="252">
        <f>IF($F$14&gt;0,"",'Tableau 2-A-Analyse FC'!F104)</f>
        <v>0</v>
      </c>
      <c r="X17" s="252">
        <f>IF($F$14&gt;0,"",'Tableau 2-A-Analyse FC'!G104)</f>
        <v>0</v>
      </c>
      <c r="Y17" s="252">
        <f>IF($F$14&gt;0,"",'Tableau 2-A-Analyse FC'!H104)</f>
        <v>0</v>
      </c>
      <c r="Z17" s="252">
        <f>IF($F$14&gt;0,"",'Tableau 2-A-Analyse FC'!I104)</f>
        <v>0</v>
      </c>
      <c r="AA17" s="252">
        <f>IF($F$14&gt;0,"",'Tableau 2-A-Analyse FC'!D136)</f>
        <v>0</v>
      </c>
      <c r="AB17" s="252">
        <f>IF($F$14&gt;0,"",'Tableau 2-A-Analyse FC'!E136)</f>
        <v>0</v>
      </c>
      <c r="AC17" s="252">
        <f>IF($F$14&gt;0,"",'Tableau 2-A-Analyse FC'!F136)</f>
        <v>0</v>
      </c>
      <c r="AD17" s="252">
        <f>IF($F$14&gt;0,"",'Tableau 2-A-Analyse FC'!G136)</f>
        <v>0</v>
      </c>
      <c r="AE17" s="252">
        <f>IF($F$14&gt;0,"",'Tableau 2-A-Analyse FC'!H136)</f>
        <v>0</v>
      </c>
      <c r="AF17" s="252">
        <f>IF($F$14&gt;0,"",'Tableau 2-A-Analyse FC'!I136)</f>
        <v>0</v>
      </c>
      <c r="AG17" s="252">
        <f>IF($F$14&gt;0,"",'Tableau 2-A-Analyse FC'!D168)</f>
        <v>0</v>
      </c>
      <c r="AH17" s="252">
        <f>IF($F$14&gt;0,"",'Tableau 2-A-Analyse FC'!E168)</f>
        <v>0</v>
      </c>
      <c r="AI17" s="252">
        <f>IF($F$14&gt;0,"",'Tableau 2-A-Analyse FC'!F168)</f>
        <v>0</v>
      </c>
      <c r="AJ17" s="252">
        <f>IF($F$14&gt;0,"",'Tableau 2-A-Analyse FC'!G168)</f>
        <v>0</v>
      </c>
      <c r="AK17" s="252">
        <f>IF($F$14&gt;0,"",'Tableau 2-A-Analyse FC'!H168)</f>
        <v>0</v>
      </c>
      <c r="AL17" s="252">
        <f>IF($F$14&gt;0,"",'Tableau 2-A-Analyse FC'!I168)</f>
        <v>0</v>
      </c>
      <c r="AM17" s="1011"/>
    </row>
    <row r="18" spans="1:39" ht="16.5" thickBot="1" x14ac:dyDescent="0.3">
      <c r="A18" s="987"/>
      <c r="B18" s="986"/>
      <c r="C18" s="990"/>
      <c r="D18" s="995"/>
      <c r="E18" s="995"/>
      <c r="F18" s="995"/>
      <c r="G18" s="995"/>
      <c r="H18" s="140" t="s">
        <v>61</v>
      </c>
      <c r="I18" s="253">
        <f>IF($G$14&gt;0,"",'Tableau 2-A-Analyse FC'!D38)</f>
        <v>0</v>
      </c>
      <c r="J18" s="253">
        <f>IF($G$14&gt;0,"",'Tableau 2-A-Analyse FC'!E38)</f>
        <v>0</v>
      </c>
      <c r="K18" s="253">
        <f>IF($G$14&gt;0,"",'Tableau 2-A-Analyse FC'!F38)</f>
        <v>0</v>
      </c>
      <c r="L18" s="253">
        <f>IF($G$14&gt;0,"",'Tableau 2-A-Analyse FC'!G38)</f>
        <v>0</v>
      </c>
      <c r="M18" s="253">
        <f>IF($G$14&gt;0,"",'Tableau 2-A-Analyse FC'!H38)</f>
        <v>0</v>
      </c>
      <c r="N18" s="253">
        <f>IF($G$14&gt;0,"",'Tableau 2-A-Analyse FC'!I38)</f>
        <v>0</v>
      </c>
      <c r="O18" s="253">
        <f>IF($G$14&gt;0,"",'Tableau 2-A-Analyse FC'!D73)</f>
        <v>0</v>
      </c>
      <c r="P18" s="253">
        <f>IF($G$14&gt;0,"",'Tableau 2-A-Analyse FC'!E73)</f>
        <v>0</v>
      </c>
      <c r="Q18" s="253">
        <f>IF($G$14&gt;0,"",'Tableau 2-A-Analyse FC'!F73)</f>
        <v>0</v>
      </c>
      <c r="R18" s="253">
        <f>IF($G$14&gt;0,"",'Tableau 2-A-Analyse FC'!G73)</f>
        <v>0</v>
      </c>
      <c r="S18" s="253">
        <f>IF($G$14&gt;0,"",'Tableau 2-A-Analyse FC'!H73)</f>
        <v>0</v>
      </c>
      <c r="T18" s="253">
        <f>IF($G$14&gt;0,"",'Tableau 2-A-Analyse FC'!I73)</f>
        <v>0</v>
      </c>
      <c r="U18" s="253">
        <f>IF($G$14&gt;0,"",'Tableau 2-A-Analyse FC'!D105)</f>
        <v>0</v>
      </c>
      <c r="V18" s="253">
        <f>IF($G$14&gt;0,"",'Tableau 2-A-Analyse FC'!E105)</f>
        <v>0</v>
      </c>
      <c r="W18" s="253">
        <f>IF($G$14&gt;0,"",'Tableau 2-A-Analyse FC'!F105)</f>
        <v>0</v>
      </c>
      <c r="X18" s="253">
        <f>IF($G$14&gt;0,"",'Tableau 2-A-Analyse FC'!G105)</f>
        <v>0</v>
      </c>
      <c r="Y18" s="253">
        <f>IF($G$14&gt;0,"",'Tableau 2-A-Analyse FC'!H105)</f>
        <v>0</v>
      </c>
      <c r="Z18" s="253">
        <f>IF($G$14&gt;0,"",'Tableau 2-A-Analyse FC'!I105)</f>
        <v>0</v>
      </c>
      <c r="AA18" s="253">
        <f>IF($G$14&gt;0,"",'Tableau 2-A-Analyse FC'!D137)</f>
        <v>0</v>
      </c>
      <c r="AB18" s="253">
        <f>IF($G$14&gt;0,"",'Tableau 2-A-Analyse FC'!E137)</f>
        <v>0</v>
      </c>
      <c r="AC18" s="253">
        <f>IF($G$14&gt;0,"",'Tableau 2-A-Analyse FC'!F137)</f>
        <v>0</v>
      </c>
      <c r="AD18" s="253">
        <f>IF($G$14&gt;0,"",'Tableau 2-A-Analyse FC'!G137)</f>
        <v>0</v>
      </c>
      <c r="AE18" s="253">
        <f>IF($G$14&gt;0,"",'Tableau 2-A-Analyse FC'!H137)</f>
        <v>0</v>
      </c>
      <c r="AF18" s="253">
        <f>IF($G$14&gt;0,"",'Tableau 2-A-Analyse FC'!I137)</f>
        <v>0</v>
      </c>
      <c r="AG18" s="253">
        <f>IF($G$14&gt;0,"",'Tableau 2-A-Analyse FC'!D169)</f>
        <v>0</v>
      </c>
      <c r="AH18" s="253">
        <f>IF($G$14&gt;0,"",'Tableau 2-A-Analyse FC'!E169)</f>
        <v>0</v>
      </c>
      <c r="AI18" s="253">
        <f>IF($G$14&gt;0,"",'Tableau 2-A-Analyse FC'!F169)</f>
        <v>0</v>
      </c>
      <c r="AJ18" s="253">
        <f>IF($G$14&gt;0,"",'Tableau 2-A-Analyse FC'!G169)</f>
        <v>0</v>
      </c>
      <c r="AK18" s="253">
        <f>IF($G$14&gt;0,"",'Tableau 2-A-Analyse FC'!H169)</f>
        <v>0</v>
      </c>
      <c r="AL18" s="253">
        <f>IF($G$14&gt;0,"",'Tableau 2-A-Analyse FC'!I169)</f>
        <v>0</v>
      </c>
      <c r="AM18" s="1012"/>
    </row>
    <row r="21" spans="1:39" ht="23.25" x14ac:dyDescent="0.25">
      <c r="A21" s="679" t="s">
        <v>202</v>
      </c>
      <c r="B21" s="679"/>
      <c r="C21" s="679"/>
      <c r="D21" s="679"/>
      <c r="E21" s="679"/>
      <c r="F21" s="679"/>
      <c r="G21" s="679"/>
      <c r="H21" s="679"/>
      <c r="I21" s="679"/>
      <c r="J21" s="679"/>
      <c r="K21" s="679"/>
      <c r="L21" s="679"/>
      <c r="M21" s="679"/>
      <c r="N21" s="679"/>
      <c r="O21" s="679"/>
      <c r="P21" s="679"/>
      <c r="Q21" s="679"/>
      <c r="R21" s="679"/>
      <c r="S21" s="679"/>
      <c r="T21" s="679"/>
      <c r="U21" s="679"/>
      <c r="V21" s="679"/>
      <c r="W21" s="679"/>
      <c r="X21" s="679"/>
      <c r="Y21" s="679"/>
      <c r="Z21" s="679"/>
      <c r="AA21" s="679"/>
      <c r="AB21" s="679"/>
      <c r="AC21" s="679"/>
      <c r="AD21" s="679"/>
      <c r="AE21" s="679"/>
      <c r="AF21" s="679"/>
      <c r="AG21" s="679"/>
      <c r="AH21" s="679"/>
      <c r="AI21" s="679"/>
      <c r="AJ21" s="679"/>
      <c r="AK21" s="679"/>
      <c r="AL21" s="679"/>
      <c r="AM21" s="679"/>
    </row>
    <row r="22" spans="1:39" x14ac:dyDescent="0.25">
      <c r="A22" s="1002"/>
      <c r="B22" s="1003"/>
      <c r="C22" s="1003"/>
      <c r="D22" s="1003"/>
      <c r="E22" s="1003"/>
      <c r="F22" s="1003"/>
      <c r="G22" s="1003"/>
      <c r="H22" s="1003"/>
      <c r="I22" s="1003"/>
      <c r="J22" s="1003"/>
      <c r="K22" s="1003"/>
      <c r="L22" s="1003"/>
      <c r="M22" s="1003"/>
      <c r="N22" s="1003"/>
      <c r="O22" s="1003"/>
      <c r="P22" s="1003"/>
      <c r="Q22" s="1003"/>
      <c r="R22" s="1003"/>
      <c r="S22" s="1003"/>
      <c r="T22" s="1003"/>
      <c r="U22" s="1003"/>
      <c r="V22" s="1003"/>
      <c r="W22" s="1003"/>
      <c r="X22" s="1003"/>
      <c r="Y22" s="1003"/>
      <c r="Z22" s="1003"/>
      <c r="AA22" s="1003"/>
      <c r="AB22" s="1003"/>
      <c r="AC22" s="1003"/>
      <c r="AD22" s="1003"/>
      <c r="AE22" s="1003"/>
      <c r="AF22" s="1003"/>
      <c r="AG22" s="1003"/>
      <c r="AH22" s="1003"/>
      <c r="AI22" s="1003"/>
      <c r="AJ22" s="1003"/>
      <c r="AK22" s="1003"/>
      <c r="AL22" s="1003"/>
      <c r="AM22" s="1004"/>
    </row>
    <row r="23" spans="1:39" ht="100.5" customHeight="1" x14ac:dyDescent="0.25">
      <c r="A23" s="1005"/>
      <c r="B23" s="1006"/>
      <c r="C23" s="1006"/>
      <c r="D23" s="1006"/>
      <c r="E23" s="1006"/>
      <c r="F23" s="1006"/>
      <c r="G23" s="1006"/>
      <c r="H23" s="1006"/>
      <c r="I23" s="1006"/>
      <c r="J23" s="1006"/>
      <c r="K23" s="1006"/>
      <c r="L23" s="1006"/>
      <c r="M23" s="1006"/>
      <c r="N23" s="1006"/>
      <c r="O23" s="1006"/>
      <c r="P23" s="1006"/>
      <c r="Q23" s="1006"/>
      <c r="R23" s="1006"/>
      <c r="S23" s="1006"/>
      <c r="T23" s="1006"/>
      <c r="U23" s="1006"/>
      <c r="V23" s="1006"/>
      <c r="W23" s="1006"/>
      <c r="X23" s="1006"/>
      <c r="Y23" s="1006"/>
      <c r="Z23" s="1006"/>
      <c r="AA23" s="1006"/>
      <c r="AB23" s="1006"/>
      <c r="AC23" s="1006"/>
      <c r="AD23" s="1006"/>
      <c r="AE23" s="1006"/>
      <c r="AF23" s="1006"/>
      <c r="AG23" s="1006"/>
      <c r="AH23" s="1006"/>
      <c r="AI23" s="1006"/>
      <c r="AJ23" s="1006"/>
      <c r="AK23" s="1006"/>
      <c r="AL23" s="1006"/>
      <c r="AM23" s="1007"/>
    </row>
    <row r="28" spans="1:39" s="26" customFormat="1" ht="23.25" x14ac:dyDescent="0.25">
      <c r="A28" s="679" t="s">
        <v>132</v>
      </c>
      <c r="B28" s="679"/>
      <c r="C28" s="679"/>
      <c r="D28" s="679"/>
      <c r="E28" s="679"/>
      <c r="F28" s="679"/>
      <c r="G28" s="679"/>
      <c r="H28" s="679"/>
      <c r="I28" s="679"/>
      <c r="J28" s="679"/>
      <c r="K28" s="679"/>
      <c r="L28" s="679"/>
      <c r="M28" s="679"/>
      <c r="N28" s="679"/>
      <c r="O28" s="679"/>
      <c r="P28" s="142"/>
      <c r="Q28" s="142"/>
      <c r="R28" s="142"/>
      <c r="S28" s="142"/>
      <c r="T28" s="142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</row>
    <row r="29" spans="1:39" s="26" customFormat="1" x14ac:dyDescent="0.25">
      <c r="A29" s="78"/>
      <c r="B29" s="78"/>
      <c r="C29" s="78"/>
      <c r="D29" s="78"/>
      <c r="E29" s="78"/>
      <c r="F29" s="78"/>
      <c r="G29" s="78"/>
      <c r="H29" s="78"/>
      <c r="I29" s="246"/>
      <c r="J29" s="246"/>
      <c r="K29" s="246"/>
      <c r="L29" s="246"/>
      <c r="M29" s="246"/>
      <c r="N29" s="246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</row>
    <row r="30" spans="1:39" s="26" customFormat="1" x14ac:dyDescent="0.25">
      <c r="A30" s="79" t="s">
        <v>0</v>
      </c>
      <c r="B30" s="80"/>
      <c r="C30" s="250" t="str">
        <f>'Tableau 1-B Analyse du Contexte'!$C$5</f>
        <v>TCHAD</v>
      </c>
      <c r="D30" s="78"/>
      <c r="E30" s="82"/>
      <c r="F30" s="82"/>
      <c r="G30" s="82"/>
      <c r="H30" s="82"/>
      <c r="I30" s="247"/>
      <c r="J30" s="247"/>
      <c r="K30" s="247"/>
      <c r="L30" s="247"/>
      <c r="M30" s="247"/>
      <c r="N30" s="247"/>
      <c r="O30" s="82"/>
      <c r="P30" s="82"/>
      <c r="Q30" s="82"/>
      <c r="R30" s="82"/>
      <c r="S30" s="82"/>
      <c r="T30" s="82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</row>
    <row r="31" spans="1:39" s="26" customFormat="1" x14ac:dyDescent="0.25">
      <c r="A31" s="79" t="s">
        <v>1</v>
      </c>
      <c r="B31" s="80"/>
      <c r="C31" s="204">
        <f>'Tableau 1-B Analyse du Contexte'!$C$6</f>
        <v>0</v>
      </c>
      <c r="D31" s="78"/>
      <c r="E31" s="82"/>
      <c r="F31" s="82"/>
      <c r="G31" s="82"/>
      <c r="H31" s="82"/>
      <c r="I31" s="247"/>
      <c r="J31" s="247"/>
      <c r="K31" s="247"/>
      <c r="L31" s="247"/>
      <c r="M31" s="247"/>
      <c r="N31" s="247"/>
      <c r="O31" s="82"/>
      <c r="P31" s="82"/>
      <c r="Q31" s="82"/>
      <c r="R31" s="82"/>
      <c r="S31" s="82"/>
      <c r="T31" s="82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</row>
    <row r="32" spans="1:39" s="26" customFormat="1" x14ac:dyDescent="0.25">
      <c r="A32" s="79" t="s">
        <v>2</v>
      </c>
      <c r="B32" s="80"/>
      <c r="C32" s="204">
        <f>'Tableau 1-B Analyse du Contexte'!$C$7</f>
        <v>0</v>
      </c>
      <c r="D32" s="78"/>
      <c r="E32" s="82"/>
      <c r="F32" s="82"/>
      <c r="G32" s="82"/>
      <c r="H32" s="82"/>
      <c r="I32" s="247"/>
      <c r="J32" s="247"/>
      <c r="K32" s="247"/>
      <c r="L32" s="247"/>
      <c r="M32" s="247"/>
      <c r="N32" s="247"/>
      <c r="O32" s="82"/>
      <c r="P32" s="82"/>
      <c r="Q32" s="82"/>
      <c r="R32" s="82"/>
      <c r="S32" s="82"/>
      <c r="T32" s="82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</row>
    <row r="33" spans="1:39" s="26" customFormat="1" x14ac:dyDescent="0.25">
      <c r="A33" s="79" t="s">
        <v>3</v>
      </c>
      <c r="B33" s="80"/>
      <c r="C33" s="964" t="str">
        <f>'Tableau 1-B Analyse du Contexte'!$C$9</f>
        <v>Fevrier 2020</v>
      </c>
      <c r="D33" s="958"/>
      <c r="E33" s="82"/>
      <c r="F33" s="82"/>
      <c r="G33" s="82"/>
      <c r="H33" s="82"/>
      <c r="I33" s="247"/>
      <c r="J33" s="247"/>
      <c r="K33" s="247"/>
      <c r="L33" s="247"/>
      <c r="M33" s="247"/>
      <c r="N33" s="247"/>
      <c r="O33" s="82"/>
      <c r="P33" s="82"/>
      <c r="Q33" s="82"/>
      <c r="R33" s="82"/>
      <c r="S33" s="82"/>
      <c r="T33" s="82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</row>
    <row r="34" spans="1:39" s="26" customFormat="1" ht="23.85" customHeight="1" x14ac:dyDescent="0.25">
      <c r="A34" s="78" t="s">
        <v>215</v>
      </c>
      <c r="B34" s="78"/>
      <c r="C34" s="957">
        <f>'Tableau 1-B Analyse du Contexte'!$N$2</f>
        <v>0</v>
      </c>
      <c r="D34" s="958"/>
      <c r="E34" s="78"/>
      <c r="F34" s="78"/>
      <c r="G34" s="78"/>
      <c r="H34" s="78"/>
      <c r="I34" s="246"/>
      <c r="J34" s="246"/>
      <c r="K34" s="246"/>
      <c r="L34" s="246"/>
      <c r="M34" s="246"/>
      <c r="N34" s="246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</row>
    <row r="35" spans="1:39" ht="23.25" customHeight="1" thickBot="1" x14ac:dyDescent="0.3">
      <c r="A35" s="807" t="s">
        <v>222</v>
      </c>
      <c r="B35" s="808"/>
      <c r="C35" s="808"/>
      <c r="D35" s="808"/>
      <c r="E35" s="808"/>
      <c r="F35" s="808"/>
      <c r="G35" s="808"/>
      <c r="H35" s="808"/>
      <c r="I35" s="808"/>
      <c r="J35" s="808"/>
      <c r="K35" s="808"/>
      <c r="L35" s="808"/>
      <c r="M35" s="808"/>
      <c r="N35" s="808"/>
      <c r="O35" s="808"/>
      <c r="P35" s="808"/>
      <c r="Q35" s="808"/>
      <c r="R35" s="808"/>
      <c r="S35" s="808"/>
      <c r="T35" s="808"/>
      <c r="U35" s="808"/>
      <c r="V35" s="808"/>
      <c r="W35" s="808"/>
      <c r="X35" s="808"/>
      <c r="Y35" s="808"/>
      <c r="Z35" s="808"/>
      <c r="AA35" s="808"/>
      <c r="AB35" s="808"/>
      <c r="AC35" s="808"/>
      <c r="AD35" s="808"/>
      <c r="AE35" s="808"/>
      <c r="AF35" s="808"/>
      <c r="AG35" s="808"/>
      <c r="AH35" s="249"/>
      <c r="AI35" s="249"/>
      <c r="AJ35" s="249"/>
      <c r="AK35" s="249"/>
      <c r="AL35" s="249"/>
      <c r="AM35" s="397"/>
    </row>
    <row r="36" spans="1:39" ht="17.25" customHeight="1" thickTop="1" thickBot="1" x14ac:dyDescent="0.3">
      <c r="A36" s="965" t="s">
        <v>101</v>
      </c>
      <c r="B36" s="967" t="s">
        <v>102</v>
      </c>
      <c r="C36" s="967" t="s">
        <v>103</v>
      </c>
      <c r="D36" s="969" t="s">
        <v>104</v>
      </c>
      <c r="E36" s="970"/>
      <c r="F36" s="970"/>
      <c r="G36" s="971"/>
      <c r="H36" s="972" t="s">
        <v>114</v>
      </c>
      <c r="I36" s="973"/>
      <c r="J36" s="973"/>
      <c r="K36" s="973"/>
      <c r="L36" s="973"/>
      <c r="M36" s="973"/>
      <c r="N36" s="973"/>
      <c r="O36" s="973"/>
      <c r="P36" s="973"/>
      <c r="Q36" s="973"/>
      <c r="R36" s="973"/>
      <c r="S36" s="973"/>
      <c r="T36" s="973"/>
      <c r="U36" s="973"/>
      <c r="V36" s="973"/>
      <c r="W36" s="973"/>
      <c r="X36" s="973"/>
      <c r="Y36" s="973"/>
      <c r="Z36" s="973"/>
      <c r="AA36" s="973"/>
      <c r="AB36" s="973"/>
      <c r="AC36" s="973"/>
      <c r="AD36" s="973"/>
      <c r="AE36" s="973"/>
      <c r="AF36" s="974"/>
      <c r="AM36" s="1008" t="s">
        <v>227</v>
      </c>
    </row>
    <row r="37" spans="1:39" ht="38.25" customHeight="1" x14ac:dyDescent="0.25">
      <c r="A37" s="966"/>
      <c r="B37" s="968"/>
      <c r="C37" s="968"/>
      <c r="D37" s="40" t="s">
        <v>105</v>
      </c>
      <c r="E37" s="959" t="s">
        <v>107</v>
      </c>
      <c r="F37" s="959" t="s">
        <v>108</v>
      </c>
      <c r="G37" s="962" t="s">
        <v>109</v>
      </c>
      <c r="H37" s="981" t="s">
        <v>200</v>
      </c>
      <c r="I37" s="975" t="s">
        <v>110</v>
      </c>
      <c r="J37" s="976"/>
      <c r="K37" s="976"/>
      <c r="L37" s="976"/>
      <c r="M37" s="976"/>
      <c r="N37" s="977"/>
      <c r="O37" s="988" t="s">
        <v>111</v>
      </c>
      <c r="P37" s="976"/>
      <c r="Q37" s="976"/>
      <c r="R37" s="976"/>
      <c r="S37" s="976"/>
      <c r="T37" s="976"/>
      <c r="U37" s="975" t="s">
        <v>112</v>
      </c>
      <c r="V37" s="976"/>
      <c r="W37" s="976"/>
      <c r="X37" s="976"/>
      <c r="Y37" s="976"/>
      <c r="Z37" s="977"/>
      <c r="AA37" s="975" t="s">
        <v>113</v>
      </c>
      <c r="AB37" s="976"/>
      <c r="AC37" s="976"/>
      <c r="AD37" s="976"/>
      <c r="AE37" s="976"/>
      <c r="AF37" s="977"/>
      <c r="AG37" s="975" t="s">
        <v>14</v>
      </c>
      <c r="AH37" s="976"/>
      <c r="AI37" s="976"/>
      <c r="AJ37" s="976"/>
      <c r="AK37" s="976"/>
      <c r="AL37" s="977"/>
      <c r="AM37" s="1009"/>
    </row>
    <row r="38" spans="1:39" ht="53.25" customHeight="1" thickBot="1" x14ac:dyDescent="0.3">
      <c r="A38" s="966"/>
      <c r="B38" s="968"/>
      <c r="C38" s="968"/>
      <c r="D38" s="40" t="s">
        <v>106</v>
      </c>
      <c r="E38" s="960"/>
      <c r="F38" s="960"/>
      <c r="G38" s="1013"/>
      <c r="H38" s="1014"/>
      <c r="I38" s="978"/>
      <c r="J38" s="979"/>
      <c r="K38" s="979"/>
      <c r="L38" s="979"/>
      <c r="M38" s="979"/>
      <c r="N38" s="980"/>
      <c r="O38" s="989"/>
      <c r="P38" s="984"/>
      <c r="Q38" s="984"/>
      <c r="R38" s="984"/>
      <c r="S38" s="984"/>
      <c r="T38" s="984"/>
      <c r="U38" s="983"/>
      <c r="V38" s="984"/>
      <c r="W38" s="984"/>
      <c r="X38" s="984"/>
      <c r="Y38" s="984"/>
      <c r="Z38" s="985"/>
      <c r="AA38" s="983"/>
      <c r="AB38" s="984"/>
      <c r="AC38" s="984"/>
      <c r="AD38" s="984"/>
      <c r="AE38" s="984"/>
      <c r="AF38" s="985"/>
      <c r="AG38" s="983"/>
      <c r="AH38" s="984"/>
      <c r="AI38" s="984"/>
      <c r="AJ38" s="984"/>
      <c r="AK38" s="984"/>
      <c r="AL38" s="985"/>
      <c r="AM38" s="1009"/>
    </row>
    <row r="39" spans="1:39" ht="32.25" customHeight="1" thickBot="1" x14ac:dyDescent="0.3">
      <c r="A39" s="987">
        <f>A14</f>
        <v>0</v>
      </c>
      <c r="B39" s="990">
        <f>B14</f>
        <v>0</v>
      </c>
      <c r="C39" s="990" t="str">
        <f>C14</f>
        <v xml:space="preserve"> /  / </v>
      </c>
      <c r="D39" s="993">
        <f>'Tableau 2 -B - Analy résult'!O34+'Tableau 2 -B - Analy résult'!S34+'Tableau 2 -B - Analy résult'!T34+'Tableau 2 -B - Analy résult'!U34+'Tableau 2 -B - Analy résult'!V34</f>
        <v>0</v>
      </c>
      <c r="E39" s="993">
        <f>'Tableau 2 -B - Analy résult'!O49+'Tableau 2 -B - Analy résult'!S49+'Tableau 2 -B - Analy résult'!T49+'Tableau 2 -B - Analy résult'!U49+'Tableau 2 -B - Analy résult'!V49</f>
        <v>0</v>
      </c>
      <c r="F39" s="993">
        <f>'Tableau 2 -B - Analy résult'!O68+'Tableau 2 -B - Analy résult'!S68+'Tableau 2 -B - Analy résult'!T68+'Tableau 2 -B - Analy résult'!U68+'Tableau 2 -B - Analy résult'!V68</f>
        <v>0</v>
      </c>
      <c r="G39" s="993">
        <f>'Tableau 2 -B - Analy résult'!O84+'Tableau 2 -B - Analy résult'!S84+'Tableau 2 -B - Analy résult'!T84+'Tableau 2 -B - Analy résult'!U84+'Tableau 2 -B - Analy résult'!V84</f>
        <v>0</v>
      </c>
      <c r="H39" s="254"/>
      <c r="I39" s="370" t="s">
        <v>240</v>
      </c>
      <c r="J39" s="371" t="s">
        <v>241</v>
      </c>
      <c r="K39" s="372" t="s">
        <v>242</v>
      </c>
      <c r="L39" s="373" t="s">
        <v>243</v>
      </c>
      <c r="M39" s="373" t="s">
        <v>244</v>
      </c>
      <c r="N39" s="373" t="s">
        <v>245</v>
      </c>
      <c r="O39" s="370" t="s">
        <v>240</v>
      </c>
      <c r="P39" s="371" t="s">
        <v>241</v>
      </c>
      <c r="Q39" s="372" t="s">
        <v>242</v>
      </c>
      <c r="R39" s="373" t="s">
        <v>243</v>
      </c>
      <c r="S39" s="373" t="s">
        <v>244</v>
      </c>
      <c r="T39" s="373" t="s">
        <v>245</v>
      </c>
      <c r="U39" s="432" t="s">
        <v>240</v>
      </c>
      <c r="V39" s="433" t="s">
        <v>241</v>
      </c>
      <c r="W39" s="434" t="s">
        <v>242</v>
      </c>
      <c r="X39" s="435" t="s">
        <v>243</v>
      </c>
      <c r="Y39" s="435" t="s">
        <v>244</v>
      </c>
      <c r="Z39" s="435" t="s">
        <v>245</v>
      </c>
      <c r="AA39" s="370" t="s">
        <v>240</v>
      </c>
      <c r="AB39" s="371" t="s">
        <v>241</v>
      </c>
      <c r="AC39" s="372" t="s">
        <v>242</v>
      </c>
      <c r="AD39" s="373" t="s">
        <v>243</v>
      </c>
      <c r="AE39" s="373" t="s">
        <v>244</v>
      </c>
      <c r="AF39" s="373" t="s">
        <v>245</v>
      </c>
      <c r="AG39" s="370" t="s">
        <v>240</v>
      </c>
      <c r="AH39" s="371" t="s">
        <v>241</v>
      </c>
      <c r="AI39" s="372" t="s">
        <v>242</v>
      </c>
      <c r="AJ39" s="373" t="s">
        <v>243</v>
      </c>
      <c r="AK39" s="373" t="s">
        <v>244</v>
      </c>
      <c r="AL39" s="436" t="s">
        <v>245</v>
      </c>
      <c r="AM39" s="437"/>
    </row>
    <row r="40" spans="1:39" ht="16.5" thickBot="1" x14ac:dyDescent="0.3">
      <c r="A40" s="987"/>
      <c r="B40" s="990"/>
      <c r="C40" s="990"/>
      <c r="D40" s="994"/>
      <c r="E40" s="994"/>
      <c r="F40" s="994"/>
      <c r="G40" s="994"/>
      <c r="H40" s="382" t="s">
        <v>58</v>
      </c>
      <c r="I40" s="252">
        <f>IF($D$39&gt;0,"",'Tableau 2-A-Analyse FC'!K35)</f>
        <v>0</v>
      </c>
      <c r="J40" s="252">
        <f>IF($D$39&gt;0,"",'Tableau 2-A-Analyse FC'!L35)</f>
        <v>0</v>
      </c>
      <c r="K40" s="252">
        <f>IF($D$39&gt;0,"",'Tableau 2-A-Analyse FC'!M35)</f>
        <v>0</v>
      </c>
      <c r="L40" s="252">
        <f>IF($D$39&gt;0,"",'Tableau 2-A-Analyse FC'!N35)</f>
        <v>0</v>
      </c>
      <c r="M40" s="252">
        <f>IF($D$39&gt;0,"",'Tableau 2-A-Analyse FC'!O35)</f>
        <v>0</v>
      </c>
      <c r="N40" s="252">
        <f>IF($D$39&gt;0,"",'Tableau 2-A-Analyse FC'!P35)</f>
        <v>0</v>
      </c>
      <c r="O40" s="252">
        <f>IF($D$39&gt;0,"",'Tableau 2-A-Analyse FC'!K70)</f>
        <v>0</v>
      </c>
      <c r="P40" s="252">
        <f>IF($D$39&gt;0,"",'Tableau 2-A-Analyse FC'!L70)</f>
        <v>0</v>
      </c>
      <c r="Q40" s="252">
        <f>IF($D$39&gt;0,"",'Tableau 2-A-Analyse FC'!M70)</f>
        <v>0</v>
      </c>
      <c r="R40" s="252">
        <f>IF($D$39&gt;0,"",'Tableau 2-A-Analyse FC'!N70)</f>
        <v>0</v>
      </c>
      <c r="S40" s="252">
        <f>IF($D$39&gt;0,"",'Tableau 2-A-Analyse FC'!O70)</f>
        <v>0</v>
      </c>
      <c r="T40" s="252">
        <f>IF($D$39&gt;0,"",'Tableau 2-A-Analyse FC'!P70)</f>
        <v>0</v>
      </c>
      <c r="U40" s="251">
        <f>IF($D$39&gt;0,"",'Tableau 2-A-Analyse FC'!K102)</f>
        <v>0</v>
      </c>
      <c r="V40" s="251">
        <f>IF($D$39&gt;0,"",'Tableau 2-A-Analyse FC'!L102)</f>
        <v>0</v>
      </c>
      <c r="W40" s="251">
        <f>IF($D$39&gt;0,"",'Tableau 2-A-Analyse FC'!M102)</f>
        <v>0</v>
      </c>
      <c r="X40" s="251">
        <f>IF($D$39&gt;0,"",'Tableau 2-A-Analyse FC'!N102)</f>
        <v>0</v>
      </c>
      <c r="Y40" s="251">
        <f>IF($D$39&gt;0,"",'Tableau 2-A-Analyse FC'!O102)</f>
        <v>0</v>
      </c>
      <c r="Z40" s="251">
        <f>IF($D$39&gt;0,"",'Tableau 2-A-Analyse FC'!P102)</f>
        <v>0</v>
      </c>
      <c r="AA40" s="430">
        <f>IF($D$39&gt;0,"",'Tableau 2-A-Analyse FC'!K134)</f>
        <v>0</v>
      </c>
      <c r="AB40" s="430">
        <f>IF($D$39&gt;0,"",'Tableau 2-A-Analyse FC'!L134)</f>
        <v>0</v>
      </c>
      <c r="AC40" s="430">
        <f>IF($D$39&gt;0,"",'Tableau 2-A-Analyse FC'!M134)</f>
        <v>0</v>
      </c>
      <c r="AD40" s="430">
        <f>IF($D$39&gt;0,"",'Tableau 2-A-Analyse FC'!N134)</f>
        <v>0</v>
      </c>
      <c r="AE40" s="430">
        <f>IF($D$39&gt;0,"",'Tableau 2-A-Analyse FC'!O134)</f>
        <v>0</v>
      </c>
      <c r="AF40" s="430">
        <f>IF($D$39&gt;0,"",'Tableau 2-A-Analyse FC'!P134)</f>
        <v>0</v>
      </c>
      <c r="AG40" s="252">
        <f>IF($D$39&gt;0,"",'Tableau 2-A-Analyse FC'!K166)</f>
        <v>0</v>
      </c>
      <c r="AH40" s="252">
        <f>IF($D$39&gt;0,"",'Tableau 2-A-Analyse FC'!L166)</f>
        <v>0</v>
      </c>
      <c r="AI40" s="252">
        <f>IF($D$39&gt;0,"",'Tableau 2-A-Analyse FC'!M166)</f>
        <v>0</v>
      </c>
      <c r="AJ40" s="252">
        <f>IF($D$39&gt;0,"",'Tableau 2-A-Analyse FC'!N166)</f>
        <v>0</v>
      </c>
      <c r="AK40" s="252">
        <f>IF($D$39&gt;0,"",'Tableau 2-A-Analyse FC'!O166)</f>
        <v>0</v>
      </c>
      <c r="AL40" s="252">
        <f>IF($D$39&gt;0,"",'Tableau 2-A-Analyse FC'!P166)</f>
        <v>0</v>
      </c>
      <c r="AM40" s="1010"/>
    </row>
    <row r="41" spans="1:39" ht="16.5" thickBot="1" x14ac:dyDescent="0.3">
      <c r="A41" s="987"/>
      <c r="B41" s="990"/>
      <c r="C41" s="990"/>
      <c r="D41" s="994"/>
      <c r="E41" s="994"/>
      <c r="F41" s="994"/>
      <c r="G41" s="994"/>
      <c r="H41" s="382" t="s">
        <v>59</v>
      </c>
      <c r="I41" s="252">
        <f>IF($E$39&gt;0,"",'Tableau 2-A-Analyse FC'!K36)</f>
        <v>0</v>
      </c>
      <c r="J41" s="252">
        <f>IF($E$39&gt;0,"",'Tableau 2-A-Analyse FC'!L37)</f>
        <v>0</v>
      </c>
      <c r="K41" s="252">
        <f>IF($E$39&gt;0,"",'Tableau 2-A-Analyse FC'!M37)</f>
        <v>0</v>
      </c>
      <c r="L41" s="252">
        <f>IF($E$39&gt;0,"",'Tableau 2-A-Analyse FC'!N37)</f>
        <v>0</v>
      </c>
      <c r="M41" s="252">
        <f>IF($E$39&gt;0,"",'Tableau 2-A-Analyse FC'!O37)</f>
        <v>0</v>
      </c>
      <c r="N41" s="252">
        <f>IF($E$39&gt;0,"",'Tableau 2-A-Analyse FC'!P37)</f>
        <v>0</v>
      </c>
      <c r="O41" s="251">
        <f>IF($E$39&gt;0,"",'Tableau 2-A-Analyse FC'!K71)</f>
        <v>0</v>
      </c>
      <c r="P41" s="251">
        <f>IF($E$39&gt;0,"",'Tableau 2-A-Analyse FC'!L71)</f>
        <v>0</v>
      </c>
      <c r="Q41" s="251">
        <f>IF($E$39&gt;0,"",'Tableau 2-A-Analyse FC'!M71)</f>
        <v>0</v>
      </c>
      <c r="R41" s="251">
        <f>IF($E$39&gt;0,"",'Tableau 2-A-Analyse FC'!N71)</f>
        <v>0</v>
      </c>
      <c r="S41" s="251">
        <f>IF($E$39&gt;0,"",'Tableau 2-A-Analyse FC'!O71)</f>
        <v>0</v>
      </c>
      <c r="T41" s="251">
        <f>IF($E$39&gt;0,"",'Tableau 2-A-Analyse FC'!P71)</f>
        <v>0</v>
      </c>
      <c r="U41" s="251">
        <f>IF($E$39&gt;0,"",'Tableau 2-A-Analyse FC'!K103)</f>
        <v>0</v>
      </c>
      <c r="V41" s="251">
        <f>IF($E$39&gt;0,"",'Tableau 2-A-Analyse FC'!L103)</f>
        <v>0</v>
      </c>
      <c r="W41" s="251">
        <f>IF($E$39&gt;0,"",'Tableau 2-A-Analyse FC'!M103)</f>
        <v>0</v>
      </c>
      <c r="X41" s="251">
        <f>IF($E$39&gt;0,"",'Tableau 2-A-Analyse FC'!N103)</f>
        <v>0</v>
      </c>
      <c r="Y41" s="251">
        <f>IF($E$39&gt;0,"",'Tableau 2-A-Analyse FC'!O103)</f>
        <v>0</v>
      </c>
      <c r="Z41" s="251">
        <f>IF($E$39&gt;0,"",'Tableau 2-A-Analyse FC'!P103)</f>
        <v>0</v>
      </c>
      <c r="AA41" s="430">
        <f>IF($E$39&gt;0,"",'Tableau 2-A-Analyse FC'!K135)</f>
        <v>0</v>
      </c>
      <c r="AB41" s="430">
        <f>IF($E$39&gt;0,"",'Tableau 2-A-Analyse FC'!L135)</f>
        <v>0</v>
      </c>
      <c r="AC41" s="430">
        <f>IF($E$39&gt;0,"",'Tableau 2-A-Analyse FC'!M135)</f>
        <v>0</v>
      </c>
      <c r="AD41" s="430">
        <f>IF($E$39&gt;0,"",'Tableau 2-A-Analyse FC'!N135)</f>
        <v>0</v>
      </c>
      <c r="AE41" s="430">
        <f>IF($E$39&gt;0,"",'Tableau 2-A-Analyse FC'!O135)</f>
        <v>0</v>
      </c>
      <c r="AF41" s="430">
        <f>IF($E$39&gt;0,"",'Tableau 2-A-Analyse FC'!P135)</f>
        <v>0</v>
      </c>
      <c r="AG41" s="252">
        <f>IF($E$39&gt;0,"",'Tableau 2-A-Analyse FC'!K167)</f>
        <v>0</v>
      </c>
      <c r="AH41" s="252">
        <f>IF($E$39&gt;0,"",'Tableau 2-A-Analyse FC'!L167)</f>
        <v>0</v>
      </c>
      <c r="AI41" s="252">
        <f>IF($E$39&gt;0,"",'Tableau 2-A-Analyse FC'!M167)</f>
        <v>0</v>
      </c>
      <c r="AJ41" s="252">
        <f>IF($E$39&gt;0,"",'Tableau 2-A-Analyse FC'!N167)</f>
        <v>0</v>
      </c>
      <c r="AK41" s="252">
        <f>IF($E$39&gt;0,"",'Tableau 2-A-Analyse FC'!O167)</f>
        <v>0</v>
      </c>
      <c r="AL41" s="252">
        <f>IF($E$39&gt;0,"",'Tableau 2-A-Analyse FC'!P167)</f>
        <v>0</v>
      </c>
      <c r="AM41" s="1011"/>
    </row>
    <row r="42" spans="1:39" ht="16.5" thickBot="1" x14ac:dyDescent="0.3">
      <c r="A42" s="987"/>
      <c r="B42" s="990"/>
      <c r="C42" s="990"/>
      <c r="D42" s="994"/>
      <c r="E42" s="994"/>
      <c r="F42" s="994"/>
      <c r="G42" s="994"/>
      <c r="H42" s="382" t="s">
        <v>60</v>
      </c>
      <c r="I42" s="252">
        <f>IF($F$39&gt;0,"",'Tableau 2-A-Analyse FC'!K37)</f>
        <v>0</v>
      </c>
      <c r="J42" s="252">
        <f>IF($F$39&gt;0,"",'Tableau 2-A-Analyse FC'!L37)</f>
        <v>0</v>
      </c>
      <c r="K42" s="252">
        <f>IF($F$39&gt;0,"",'Tableau 2-A-Analyse FC'!M37)</f>
        <v>0</v>
      </c>
      <c r="L42" s="252">
        <f>IF($F$39&gt;0,"",'Tableau 2-A-Analyse FC'!N37)</f>
        <v>0</v>
      </c>
      <c r="M42" s="252">
        <f>IF($F$39&gt;0,"",'Tableau 2-A-Analyse FC'!O37)</f>
        <v>0</v>
      </c>
      <c r="N42" s="252">
        <f>IF($F$39&gt;0,"",'Tableau 2-A-Analyse FC'!P37)</f>
        <v>0</v>
      </c>
      <c r="O42" s="252">
        <f>IF($F$39&gt;0,"",'Tableau 2-A-Analyse FC'!K72)</f>
        <v>0</v>
      </c>
      <c r="P42" s="252">
        <f>IF($F$39&gt;0,"",'Tableau 2-A-Analyse FC'!L72)</f>
        <v>0</v>
      </c>
      <c r="Q42" s="252">
        <f>IF($F$39&gt;0,"",'Tableau 2-A-Analyse FC'!M72)</f>
        <v>0</v>
      </c>
      <c r="R42" s="252">
        <f>IF($F$39&gt;0,"",'Tableau 2-A-Analyse FC'!N72)</f>
        <v>0</v>
      </c>
      <c r="S42" s="252">
        <f>IF($F$39&gt;0,"",'Tableau 2-A-Analyse FC'!O72)</f>
        <v>0</v>
      </c>
      <c r="T42" s="252">
        <f>IF($F$39&gt;0,"",'Tableau 2-A-Analyse FC'!P72)</f>
        <v>0</v>
      </c>
      <c r="U42" s="251">
        <f>IF($F$39&gt;0,"",'Tableau 2-A-Analyse FC'!K104)</f>
        <v>0</v>
      </c>
      <c r="V42" s="251">
        <f>IF($F$39&gt;0,"",'Tableau 2-A-Analyse FC'!L104)</f>
        <v>0</v>
      </c>
      <c r="W42" s="251">
        <f>IF($F$39&gt;0,"",'Tableau 2-A-Analyse FC'!M104)</f>
        <v>0</v>
      </c>
      <c r="X42" s="251">
        <f>IF($F$39&gt;0,"",'Tableau 2-A-Analyse FC'!N104)</f>
        <v>0</v>
      </c>
      <c r="Y42" s="251">
        <f>IF($F$39&gt;0,"",'Tableau 2-A-Analyse FC'!O104)</f>
        <v>0</v>
      </c>
      <c r="Z42" s="251">
        <f>IF($F$39&gt;0,"",'Tableau 2-A-Analyse FC'!P104)</f>
        <v>0</v>
      </c>
      <c r="AA42" s="430">
        <f>IF($F$39&gt;0,"",'Tableau 2-A-Analyse FC'!K136)</f>
        <v>0</v>
      </c>
      <c r="AB42" s="430">
        <f>IF($F$39&gt;0,"",'Tableau 2-A-Analyse FC'!L136)</f>
        <v>0</v>
      </c>
      <c r="AC42" s="430">
        <f>IF($F$39&gt;0,"",'Tableau 2-A-Analyse FC'!M136)</f>
        <v>0</v>
      </c>
      <c r="AD42" s="430">
        <f>IF($F$39&gt;0,"",'Tableau 2-A-Analyse FC'!N136)</f>
        <v>0</v>
      </c>
      <c r="AE42" s="430">
        <f>IF($F$39&gt;0,"",'Tableau 2-A-Analyse FC'!O136)</f>
        <v>0</v>
      </c>
      <c r="AF42" s="430">
        <f>IF($F$39&gt;0,"",'Tableau 2-A-Analyse FC'!P136)</f>
        <v>0</v>
      </c>
      <c r="AG42" s="252">
        <f>IF($F$39&gt;0,"",'Tableau 2-A-Analyse FC'!K168)</f>
        <v>0</v>
      </c>
      <c r="AH42" s="252">
        <f>IF($F$39&gt;0,"",'Tableau 2-A-Analyse FC'!L168)</f>
        <v>0</v>
      </c>
      <c r="AI42" s="252">
        <f>IF($F$39&gt;0,"",'Tableau 2-A-Analyse FC'!M168)</f>
        <v>0</v>
      </c>
      <c r="AJ42" s="252">
        <f>IF($F$39&gt;0,"",'Tableau 2-A-Analyse FC'!N168)</f>
        <v>0</v>
      </c>
      <c r="AK42" s="252">
        <f>IF($F$39&gt;0,"",'Tableau 2-A-Analyse FC'!O168)</f>
        <v>0</v>
      </c>
      <c r="AL42" s="252">
        <f>IF($F$39&gt;0,"",'Tableau 2-A-Analyse FC'!P168)</f>
        <v>0</v>
      </c>
      <c r="AM42" s="1011"/>
    </row>
    <row r="43" spans="1:39" ht="16.5" thickBot="1" x14ac:dyDescent="0.3">
      <c r="A43" s="987"/>
      <c r="B43" s="990"/>
      <c r="C43" s="990"/>
      <c r="D43" s="995"/>
      <c r="E43" s="995"/>
      <c r="F43" s="995"/>
      <c r="G43" s="995"/>
      <c r="H43" s="382" t="s">
        <v>61</v>
      </c>
      <c r="I43" s="253">
        <f>IF($G$39&gt;0,"",'Tableau 2-A-Analyse FC'!K38)</f>
        <v>0</v>
      </c>
      <c r="J43" s="253">
        <f>IF($G$39&gt;0,"",'Tableau 2-A-Analyse FC'!L38)</f>
        <v>0</v>
      </c>
      <c r="K43" s="253">
        <f>IF($G$39&gt;0,"",'Tableau 2-A-Analyse FC'!M38)</f>
        <v>0</v>
      </c>
      <c r="L43" s="253">
        <f>IF($G$39&gt;0,"",'Tableau 2-A-Analyse FC'!N38)</f>
        <v>0</v>
      </c>
      <c r="M43" s="253">
        <f>IF($G$39&gt;0,"",'Tableau 2-A-Analyse FC'!O38)</f>
        <v>0</v>
      </c>
      <c r="N43" s="253">
        <f>IF($G$39&gt;0,"",'Tableau 2-A-Analyse FC'!P38)</f>
        <v>0</v>
      </c>
      <c r="O43" s="253">
        <f>IF($G$39&gt;0,"",'Tableau 2-A-Analyse FC'!K73)</f>
        <v>0</v>
      </c>
      <c r="P43" s="253">
        <f>IF($G$39&gt;0,"",'Tableau 2-A-Analyse FC'!L73)</f>
        <v>0</v>
      </c>
      <c r="Q43" s="253">
        <f>IF($G$39&gt;0,"",'Tableau 2-A-Analyse FC'!M73)</f>
        <v>0</v>
      </c>
      <c r="R43" s="253">
        <f>IF($G$39&gt;0,"",'Tableau 2-A-Analyse FC'!N73)</f>
        <v>0</v>
      </c>
      <c r="S43" s="253">
        <f>IF($G$39&gt;0,"",'Tableau 2-A-Analyse FC'!O73)</f>
        <v>0</v>
      </c>
      <c r="T43" s="253">
        <f>IF($G$39&gt;0,"",'Tableau 2-A-Analyse FC'!P73)</f>
        <v>0</v>
      </c>
      <c r="U43" s="251">
        <f>IF($G$39&gt;0,"",'Tableau 2-A-Analyse FC'!K105)</f>
        <v>0</v>
      </c>
      <c r="V43" s="251">
        <f>IF($G$39&gt;0,"",'Tableau 2-A-Analyse FC'!L105)</f>
        <v>0</v>
      </c>
      <c r="W43" s="251">
        <f>IF($G$39&gt;0,"",'Tableau 2-A-Analyse FC'!M105)</f>
        <v>0</v>
      </c>
      <c r="X43" s="251">
        <f>IF($G$39&gt;0,"",'Tableau 2-A-Analyse FC'!N105)</f>
        <v>0</v>
      </c>
      <c r="Y43" s="251">
        <f>IF($G$39&gt;0,"",'Tableau 2-A-Analyse FC'!O105)</f>
        <v>0</v>
      </c>
      <c r="Z43" s="251">
        <f>IF($G$39&gt;0,"",'Tableau 2-A-Analyse FC'!P105)</f>
        <v>0</v>
      </c>
      <c r="AA43" s="431">
        <f>IF($G$39&gt;0,"",'Tableau 2-A-Analyse FC'!K137)</f>
        <v>0</v>
      </c>
      <c r="AB43" s="431">
        <f>IF($G$39&gt;0,"",'Tableau 2-A-Analyse FC'!L137)</f>
        <v>0</v>
      </c>
      <c r="AC43" s="431">
        <f>IF($G$39&gt;0,"",'Tableau 2-A-Analyse FC'!M137)</f>
        <v>0</v>
      </c>
      <c r="AD43" s="431">
        <f>IF($G$39&gt;0,"",'Tableau 2-A-Analyse FC'!N137)</f>
        <v>0</v>
      </c>
      <c r="AE43" s="431">
        <f>IF($G$39&gt;0,"",'Tableau 2-A-Analyse FC'!O137)</f>
        <v>0</v>
      </c>
      <c r="AF43" s="431">
        <f>IF($G$39&gt;0,"",'Tableau 2-A-Analyse FC'!P137)</f>
        <v>0</v>
      </c>
      <c r="AG43" s="253">
        <f>IF($G$39&gt;0,"",'Tableau 2-A-Analyse FC'!K169)</f>
        <v>0</v>
      </c>
      <c r="AH43" s="253">
        <f>IF($G$39&gt;0,"",'Tableau 2-A-Analyse FC'!L169)</f>
        <v>0</v>
      </c>
      <c r="AI43" s="253">
        <f>IF($G$39&gt;0,"",'Tableau 2-A-Analyse FC'!M169)</f>
        <v>0</v>
      </c>
      <c r="AJ43" s="253">
        <f>IF($G$39&gt;0,"",'Tableau 2-A-Analyse FC'!N169)</f>
        <v>0</v>
      </c>
      <c r="AK43" s="253">
        <f>IF($G$39&gt;0,"",'Tableau 2-A-Analyse FC'!O169)</f>
        <v>0</v>
      </c>
      <c r="AL43" s="253">
        <f>IF($G$39&gt;0,"",'Tableau 2-A-Analyse FC'!P169)</f>
        <v>0</v>
      </c>
      <c r="AM43" s="1012"/>
    </row>
    <row r="46" spans="1:39" ht="23.25" x14ac:dyDescent="0.25">
      <c r="A46" s="679" t="s">
        <v>203</v>
      </c>
      <c r="B46" s="679"/>
      <c r="C46" s="679"/>
      <c r="D46" s="679"/>
      <c r="E46" s="679"/>
      <c r="F46" s="679"/>
      <c r="G46" s="679"/>
      <c r="H46" s="679"/>
      <c r="I46" s="679"/>
      <c r="J46" s="679"/>
      <c r="K46" s="679"/>
      <c r="L46" s="679"/>
      <c r="M46" s="679"/>
      <c r="N46" s="679"/>
      <c r="O46" s="679"/>
      <c r="P46" s="679"/>
      <c r="Q46" s="679"/>
      <c r="R46" s="679"/>
      <c r="S46" s="679"/>
      <c r="T46" s="679"/>
      <c r="U46" s="679"/>
      <c r="V46" s="679"/>
      <c r="W46" s="679"/>
      <c r="X46" s="679"/>
      <c r="Y46" s="679"/>
      <c r="Z46" s="679"/>
      <c r="AA46" s="679"/>
      <c r="AB46" s="679"/>
      <c r="AC46" s="679"/>
      <c r="AD46" s="679"/>
      <c r="AE46" s="679"/>
      <c r="AF46" s="679"/>
      <c r="AG46" s="679"/>
      <c r="AH46" s="679"/>
      <c r="AI46" s="679"/>
      <c r="AJ46" s="679"/>
      <c r="AK46" s="679"/>
      <c r="AL46" s="679"/>
      <c r="AM46" s="679"/>
    </row>
    <row r="47" spans="1:39" x14ac:dyDescent="0.25">
      <c r="A47" s="996"/>
      <c r="B47" s="997"/>
      <c r="C47" s="997"/>
      <c r="D47" s="997"/>
      <c r="E47" s="997"/>
      <c r="F47" s="997"/>
      <c r="G47" s="997"/>
      <c r="H47" s="997"/>
      <c r="I47" s="997"/>
      <c r="J47" s="997"/>
      <c r="K47" s="997"/>
      <c r="L47" s="997"/>
      <c r="M47" s="997"/>
      <c r="N47" s="997"/>
      <c r="O47" s="997"/>
      <c r="P47" s="997"/>
      <c r="Q47" s="997"/>
      <c r="R47" s="997"/>
      <c r="S47" s="997"/>
      <c r="T47" s="997"/>
      <c r="U47" s="997"/>
      <c r="V47" s="997"/>
      <c r="W47" s="997"/>
      <c r="X47" s="997"/>
      <c r="Y47" s="997"/>
      <c r="Z47" s="997"/>
      <c r="AA47" s="997"/>
      <c r="AB47" s="997"/>
      <c r="AC47" s="997"/>
      <c r="AD47" s="997"/>
      <c r="AE47" s="997"/>
      <c r="AF47" s="997"/>
      <c r="AG47" s="997"/>
      <c r="AH47" s="997"/>
      <c r="AI47" s="997"/>
      <c r="AJ47" s="997"/>
      <c r="AK47" s="997"/>
      <c r="AL47" s="997"/>
      <c r="AM47" s="998"/>
    </row>
    <row r="48" spans="1:39" ht="100.5" customHeight="1" x14ac:dyDescent="0.25">
      <c r="A48" s="999"/>
      <c r="B48" s="1000"/>
      <c r="C48" s="1000"/>
      <c r="D48" s="1000"/>
      <c r="E48" s="1000"/>
      <c r="F48" s="1000"/>
      <c r="G48" s="1000"/>
      <c r="H48" s="1000"/>
      <c r="I48" s="1000"/>
      <c r="J48" s="1000"/>
      <c r="K48" s="1000"/>
      <c r="L48" s="1000"/>
      <c r="M48" s="1000"/>
      <c r="N48" s="1000"/>
      <c r="O48" s="1000"/>
      <c r="P48" s="1000"/>
      <c r="Q48" s="1000"/>
      <c r="R48" s="1000"/>
      <c r="S48" s="1000"/>
      <c r="T48" s="1000"/>
      <c r="U48" s="1000"/>
      <c r="V48" s="1000"/>
      <c r="W48" s="1000"/>
      <c r="X48" s="1000"/>
      <c r="Y48" s="1000"/>
      <c r="Z48" s="1000"/>
      <c r="AA48" s="1000"/>
      <c r="AB48" s="1000"/>
      <c r="AC48" s="1000"/>
      <c r="AD48" s="1000"/>
      <c r="AE48" s="1000"/>
      <c r="AF48" s="1000"/>
      <c r="AG48" s="1000"/>
      <c r="AH48" s="1000"/>
      <c r="AI48" s="1000"/>
      <c r="AJ48" s="1000"/>
      <c r="AK48" s="1000"/>
      <c r="AL48" s="1000"/>
      <c r="AM48" s="1001"/>
    </row>
  </sheetData>
  <sheetProtection formatCells="0" formatColumns="0" formatRows="0" insertRows="0"/>
  <protectedRanges>
    <protectedRange sqref="AM14 AM40 A47" name="Range1"/>
    <protectedRange sqref="A22" name="Range1_1"/>
  </protectedRanges>
  <mergeCells count="62">
    <mergeCell ref="AM40:AM43"/>
    <mergeCell ref="AM15:AM18"/>
    <mergeCell ref="A46:O46"/>
    <mergeCell ref="P46:AD46"/>
    <mergeCell ref="AE46:AM46"/>
    <mergeCell ref="G37:G38"/>
    <mergeCell ref="H37:H38"/>
    <mergeCell ref="H36:AF36"/>
    <mergeCell ref="G39:G43"/>
    <mergeCell ref="A39:A43"/>
    <mergeCell ref="B39:B43"/>
    <mergeCell ref="C39:C43"/>
    <mergeCell ref="D39:D43"/>
    <mergeCell ref="E39:E43"/>
    <mergeCell ref="F39:F43"/>
    <mergeCell ref="P21:AD21"/>
    <mergeCell ref="A47:AM48"/>
    <mergeCell ref="A22:AM23"/>
    <mergeCell ref="I37:N38"/>
    <mergeCell ref="O37:T38"/>
    <mergeCell ref="U37:Z38"/>
    <mergeCell ref="AA37:AF38"/>
    <mergeCell ref="AG37:AL38"/>
    <mergeCell ref="C33:D33"/>
    <mergeCell ref="A35:AG35"/>
    <mergeCell ref="A36:A38"/>
    <mergeCell ref="B36:B38"/>
    <mergeCell ref="C36:C38"/>
    <mergeCell ref="D36:G36"/>
    <mergeCell ref="AM36:AM38"/>
    <mergeCell ref="E37:E38"/>
    <mergeCell ref="F37:F38"/>
    <mergeCell ref="AE21:AM21"/>
    <mergeCell ref="AG12:AL13"/>
    <mergeCell ref="A28:O28"/>
    <mergeCell ref="B14:B18"/>
    <mergeCell ref="A14:A18"/>
    <mergeCell ref="O12:T13"/>
    <mergeCell ref="U12:Z13"/>
    <mergeCell ref="AA12:AF13"/>
    <mergeCell ref="C14:C18"/>
    <mergeCell ref="AM11:AM13"/>
    <mergeCell ref="F14:F18"/>
    <mergeCell ref="E14:E18"/>
    <mergeCell ref="D14:D18"/>
    <mergeCell ref="G14:G18"/>
    <mergeCell ref="A2:O2"/>
    <mergeCell ref="C7:D7"/>
    <mergeCell ref="A10:AG10"/>
    <mergeCell ref="A11:A13"/>
    <mergeCell ref="B11:B13"/>
    <mergeCell ref="C11:C13"/>
    <mergeCell ref="D11:G11"/>
    <mergeCell ref="H11:AF11"/>
    <mergeCell ref="I12:N13"/>
    <mergeCell ref="H12:H13"/>
    <mergeCell ref="C8:D8"/>
    <mergeCell ref="C34:D34"/>
    <mergeCell ref="E12:E13"/>
    <mergeCell ref="F12:F13"/>
    <mergeCell ref="G12:G13"/>
    <mergeCell ref="A21:O21"/>
  </mergeCells>
  <conditionalFormatting sqref="H15">
    <cfRule type="cellIs" dxfId="234" priority="351" operator="equal">
      <formula>5</formula>
    </cfRule>
    <cfRule type="cellIs" dxfId="233" priority="352" operator="equal">
      <formula>4</formula>
    </cfRule>
    <cfRule type="cellIs" dxfId="232" priority="353" operator="equal">
      <formula>2</formula>
    </cfRule>
    <cfRule type="cellIs" dxfId="231" priority="355" operator="equal">
      <formula>3</formula>
    </cfRule>
    <cfRule type="cellIs" dxfId="230" priority="356" operator="equal">
      <formula>2</formula>
    </cfRule>
  </conditionalFormatting>
  <conditionalFormatting sqref="H15">
    <cfRule type="cellIs" dxfId="229" priority="350" operator="equal">
      <formula>1</formula>
    </cfRule>
  </conditionalFormatting>
  <conditionalFormatting sqref="H40">
    <cfRule type="cellIs" dxfId="228" priority="329" operator="equal">
      <formula>5</formula>
    </cfRule>
    <cfRule type="cellIs" dxfId="227" priority="330" operator="equal">
      <formula>4</formula>
    </cfRule>
    <cfRule type="cellIs" dxfId="226" priority="331" operator="equal">
      <formula>2</formula>
    </cfRule>
    <cfRule type="cellIs" dxfId="225" priority="332" operator="equal">
      <formula>3</formula>
    </cfRule>
    <cfRule type="cellIs" dxfId="224" priority="333" operator="equal">
      <formula>2</formula>
    </cfRule>
  </conditionalFormatting>
  <conditionalFormatting sqref="H40">
    <cfRule type="cellIs" dxfId="223" priority="328" operator="equal">
      <formula>1</formula>
    </cfRule>
  </conditionalFormatting>
  <conditionalFormatting sqref="I15:N18">
    <cfRule type="containsText" dxfId="222" priority="319" operator="containsText" text="x">
      <formula>NOT(ISERROR(SEARCH("x",I15)))</formula>
    </cfRule>
  </conditionalFormatting>
  <conditionalFormatting sqref="O15:T16 O17:Z17 O18:T18">
    <cfRule type="containsText" dxfId="221" priority="318" operator="containsText" text="x">
      <formula>NOT(ISERROR(SEARCH("x",O15)))</formula>
    </cfRule>
  </conditionalFormatting>
  <conditionalFormatting sqref="U15:Z16 U18:Z18">
    <cfRule type="containsText" dxfId="220" priority="317" operator="containsText" text="x">
      <formula>NOT(ISERROR(SEARCH("x",U15)))</formula>
    </cfRule>
  </conditionalFormatting>
  <conditionalFormatting sqref="AA15:AF18">
    <cfRule type="containsText" dxfId="219" priority="316" operator="containsText" text="x">
      <formula>NOT(ISERROR(SEARCH("x",AA15)))</formula>
    </cfRule>
  </conditionalFormatting>
  <conditionalFormatting sqref="AG15:AL18">
    <cfRule type="containsText" dxfId="218" priority="315" operator="containsText" text="x">
      <formula>NOT(ISERROR(SEARCH("x",AG15)))</formula>
    </cfRule>
  </conditionalFormatting>
  <conditionalFormatting sqref="I40:N43">
    <cfRule type="containsText" dxfId="217" priority="309" operator="containsText" text="x">
      <formula>NOT(ISERROR(SEARCH("x",I40)))</formula>
    </cfRule>
  </conditionalFormatting>
  <conditionalFormatting sqref="O40:T43">
    <cfRule type="containsText" dxfId="216" priority="308" operator="containsText" text="x">
      <formula>NOT(ISERROR(SEARCH("x",O40)))</formula>
    </cfRule>
  </conditionalFormatting>
  <conditionalFormatting sqref="U40:Z43">
    <cfRule type="containsText" dxfId="215" priority="307" operator="containsText" text="x">
      <formula>NOT(ISERROR(SEARCH("x",U40)))</formula>
    </cfRule>
  </conditionalFormatting>
  <conditionalFormatting sqref="AA40:AF43">
    <cfRule type="containsText" dxfId="214" priority="306" operator="containsText" text="x">
      <formula>NOT(ISERROR(SEARCH("x",AA40)))</formula>
    </cfRule>
  </conditionalFormatting>
  <conditionalFormatting sqref="AG40:AL43">
    <cfRule type="containsText" dxfId="213" priority="305" operator="containsText" text="x">
      <formula>NOT(ISERROR(SEARCH("x",AG40)))</formula>
    </cfRule>
  </conditionalFormatting>
  <conditionalFormatting sqref="AM40">
    <cfRule type="cellIs" dxfId="212" priority="86" operator="equal">
      <formula>5</formula>
    </cfRule>
    <cfRule type="cellIs" dxfId="211" priority="87" operator="equal">
      <formula>4</formula>
    </cfRule>
    <cfRule type="cellIs" dxfId="210" priority="88" operator="equal">
      <formula>3</formula>
    </cfRule>
    <cfRule type="cellIs" dxfId="209" priority="89" operator="equal">
      <formula>2</formula>
    </cfRule>
    <cfRule type="cellIs" dxfId="208" priority="90" operator="equal">
      <formula>1</formula>
    </cfRule>
  </conditionalFormatting>
  <conditionalFormatting sqref="AM15">
    <cfRule type="cellIs" dxfId="207" priority="81" operator="equal">
      <formula>5</formula>
    </cfRule>
    <cfRule type="cellIs" dxfId="206" priority="82" operator="equal">
      <formula>4</formula>
    </cfRule>
    <cfRule type="cellIs" dxfId="205" priority="83" operator="equal">
      <formula>3</formula>
    </cfRule>
    <cfRule type="cellIs" dxfId="204" priority="84" operator="equal">
      <formula>2</formula>
    </cfRule>
    <cfRule type="cellIs" dxfId="203" priority="85" operator="equal">
      <formula>1</formula>
    </cfRule>
  </conditionalFormatting>
  <conditionalFormatting sqref="D39:G43">
    <cfRule type="cellIs" dxfId="202" priority="56" operator="equal">
      <formula>5</formula>
    </cfRule>
    <cfRule type="cellIs" dxfId="201" priority="57" operator="equal">
      <formula>4</formula>
    </cfRule>
    <cfRule type="cellIs" dxfId="200" priority="58" operator="equal">
      <formula>3</formula>
    </cfRule>
    <cfRule type="cellIs" dxfId="199" priority="59" operator="equal">
      <formula>2</formula>
    </cfRule>
    <cfRule type="cellIs" dxfId="198" priority="60" operator="equal">
      <formula>1</formula>
    </cfRule>
  </conditionalFormatting>
  <conditionalFormatting sqref="AM39">
    <cfRule type="containsText" dxfId="197" priority="39" operator="containsText" text="***">
      <formula>NOT(ISERROR(SEARCH("***",AM39)))</formula>
    </cfRule>
    <cfRule type="containsText" dxfId="196" priority="40" operator="containsText" text="**">
      <formula>NOT(ISERROR(SEARCH("**",AM39)))</formula>
    </cfRule>
    <cfRule type="containsText" dxfId="195" priority="41" operator="containsText" text="*">
      <formula>NOT(ISERROR(SEARCH("*",AM39)))</formula>
    </cfRule>
  </conditionalFormatting>
  <conditionalFormatting sqref="AM14">
    <cfRule type="containsText" dxfId="194" priority="36" operator="containsText" text="***">
      <formula>NOT(ISERROR(SEARCH("***",AM14)))</formula>
    </cfRule>
    <cfRule type="containsText" dxfId="193" priority="37" operator="containsText" text="**">
      <formula>NOT(ISERROR(SEARCH("**",AM14)))</formula>
    </cfRule>
    <cfRule type="containsText" dxfId="192" priority="38" operator="containsText" text="*">
      <formula>NOT(ISERROR(SEARCH("*",AM14)))</formula>
    </cfRule>
  </conditionalFormatting>
  <conditionalFormatting sqref="D14:G18">
    <cfRule type="cellIs" dxfId="191" priority="1" operator="equal">
      <formula>5</formula>
    </cfRule>
    <cfRule type="cellIs" dxfId="190" priority="2" operator="equal">
      <formula>4</formula>
    </cfRule>
    <cfRule type="cellIs" dxfId="189" priority="3" operator="equal">
      <formula>3</formula>
    </cfRule>
    <cfRule type="cellIs" dxfId="188" priority="4" operator="equal">
      <formula>2</formula>
    </cfRule>
    <cfRule type="cellIs" dxfId="187" priority="5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70"/>
  <sheetViews>
    <sheetView zoomScale="80" zoomScaleNormal="80" workbookViewId="0">
      <selection activeCell="D69" sqref="D69"/>
    </sheetView>
  </sheetViews>
  <sheetFormatPr defaultColWidth="11.42578125" defaultRowHeight="15" x14ac:dyDescent="0.25"/>
  <cols>
    <col min="1" max="1" width="13.7109375" customWidth="1"/>
    <col min="2" max="3" width="16" customWidth="1"/>
    <col min="4" max="4" width="16.7109375" customWidth="1"/>
    <col min="5" max="5" width="14.42578125" style="149" customWidth="1"/>
    <col min="6" max="9" width="11.42578125" style="149"/>
    <col min="11" max="11" width="12.85546875" customWidth="1"/>
    <col min="12" max="12" width="15.7109375" customWidth="1"/>
    <col min="13" max="13" width="12.85546875" customWidth="1"/>
    <col min="14" max="14" width="14.28515625" customWidth="1"/>
    <col min="16" max="16" width="14.140625" customWidth="1"/>
    <col min="17" max="17" width="14.28515625" customWidth="1"/>
    <col min="23" max="23" width="14.28515625" customWidth="1"/>
    <col min="24" max="24" width="15.28515625" customWidth="1"/>
    <col min="25" max="25" width="13.28515625" customWidth="1"/>
    <col min="28" max="28" width="15.5703125" customWidth="1"/>
  </cols>
  <sheetData>
    <row r="1" spans="1:28" ht="26.25" x14ac:dyDescent="0.4">
      <c r="A1" s="554" t="s">
        <v>199</v>
      </c>
      <c r="B1" s="555"/>
      <c r="C1" s="555"/>
      <c r="D1" s="555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28" ht="15.75" x14ac:dyDescent="0.25">
      <c r="A2" s="69"/>
      <c r="B2" s="133"/>
      <c r="C2" s="133"/>
      <c r="D2" s="133"/>
      <c r="E2" s="256"/>
      <c r="F2" s="256"/>
      <c r="G2" s="256"/>
      <c r="H2" s="256"/>
      <c r="I2" s="256"/>
      <c r="J2" s="134"/>
      <c r="K2" s="135"/>
      <c r="L2" s="135"/>
      <c r="M2" s="135"/>
      <c r="N2" s="135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28" s="26" customFormat="1" x14ac:dyDescent="0.25">
      <c r="A3" s="79" t="s">
        <v>0</v>
      </c>
      <c r="B3" s="80"/>
      <c r="C3" s="80"/>
      <c r="D3" s="204" t="str">
        <f>'Tableau 1-B Analyse du Contexte'!$C$5</f>
        <v>TCHAD</v>
      </c>
      <c r="E3" s="244"/>
      <c r="F3" s="245"/>
      <c r="G3" s="245"/>
      <c r="H3" s="245"/>
      <c r="I3" s="245"/>
      <c r="J3" s="82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28" s="26" customFormat="1" x14ac:dyDescent="0.25">
      <c r="A4" s="79" t="s">
        <v>1</v>
      </c>
      <c r="B4" s="80"/>
      <c r="C4" s="80"/>
      <c r="D4" s="204">
        <f>'Tableau 1-B Analyse du Contexte'!$C$6</f>
        <v>0</v>
      </c>
      <c r="E4" s="244"/>
      <c r="F4" s="245"/>
      <c r="G4" s="245"/>
      <c r="H4" s="245"/>
      <c r="I4" s="245"/>
      <c r="J4" s="82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28" s="26" customFormat="1" x14ac:dyDescent="0.25">
      <c r="A5" s="79" t="s">
        <v>2</v>
      </c>
      <c r="B5" s="80"/>
      <c r="C5" s="80"/>
      <c r="D5" s="204">
        <f>'Tableau 1-B Analyse du Contexte'!$C$7</f>
        <v>0</v>
      </c>
      <c r="E5" s="244"/>
      <c r="F5" s="245"/>
      <c r="G5" s="245"/>
      <c r="H5" s="245"/>
      <c r="I5" s="245"/>
      <c r="J5" s="82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28" s="26" customFormat="1" x14ac:dyDescent="0.25">
      <c r="A6" s="79" t="s">
        <v>3</v>
      </c>
      <c r="B6" s="80"/>
      <c r="C6" s="80"/>
      <c r="D6" s="1089" t="str">
        <f>'Tableau 1-B Analyse du Contexte'!$C$9</f>
        <v>Fevrier 2020</v>
      </c>
      <c r="E6" s="1090"/>
      <c r="F6" s="245"/>
      <c r="G6" s="245"/>
      <c r="H6" s="245"/>
      <c r="I6" s="245"/>
      <c r="J6" s="82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28" x14ac:dyDescent="0.25">
      <c r="A7" s="78"/>
      <c r="B7" s="78"/>
      <c r="C7" s="78"/>
      <c r="D7" s="78"/>
      <c r="E7" s="244"/>
      <c r="F7" s="244"/>
      <c r="G7" s="244"/>
      <c r="H7" s="244"/>
      <c r="I7" s="244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28" x14ac:dyDescent="0.25">
      <c r="A8" s="78"/>
      <c r="B8" s="78"/>
      <c r="C8" s="78"/>
      <c r="D8" s="78"/>
      <c r="E8" s="244"/>
      <c r="F8" s="244"/>
      <c r="G8" s="244"/>
      <c r="H8" s="244"/>
      <c r="I8" s="244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</row>
    <row r="9" spans="1:28" x14ac:dyDescent="0.25">
      <c r="A9" s="78"/>
      <c r="B9" s="78"/>
      <c r="C9" s="78"/>
      <c r="D9" s="78"/>
      <c r="E9" s="244"/>
      <c r="F9" s="244"/>
      <c r="G9" s="244"/>
      <c r="H9" s="244"/>
      <c r="I9" s="244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</row>
    <row r="10" spans="1:28" ht="19.5" thickBot="1" x14ac:dyDescent="0.35">
      <c r="B10" s="1095" t="s">
        <v>171</v>
      </c>
      <c r="C10" s="1095"/>
      <c r="D10" s="1095"/>
      <c r="E10" s="1095"/>
      <c r="F10" s="1095"/>
      <c r="G10" s="1095"/>
      <c r="H10" s="1095"/>
      <c r="I10" s="1095"/>
      <c r="J10" s="1095"/>
      <c r="K10" s="1095"/>
      <c r="L10" s="1095"/>
      <c r="M10" s="1095"/>
      <c r="N10" s="1095"/>
      <c r="O10" s="1095"/>
      <c r="P10" s="1095"/>
      <c r="Q10" s="1095"/>
    </row>
    <row r="11" spans="1:28" ht="21.75" thickBot="1" x14ac:dyDescent="0.3">
      <c r="B11" s="39" t="s">
        <v>75</v>
      </c>
      <c r="C11" s="39"/>
      <c r="D11" s="795" t="s">
        <v>73</v>
      </c>
      <c r="E11" s="796"/>
      <c r="F11" s="796"/>
      <c r="G11" s="796"/>
      <c r="H11" s="796"/>
      <c r="I11" s="1096"/>
      <c r="K11" s="39" t="s">
        <v>75</v>
      </c>
      <c r="L11" s="795" t="s">
        <v>172</v>
      </c>
      <c r="M11" s="796"/>
      <c r="N11" s="796"/>
      <c r="O11" s="796"/>
      <c r="P11" s="796"/>
      <c r="Q11" s="1096"/>
    </row>
    <row r="12" spans="1:28" ht="15.75" thickBot="1" x14ac:dyDescent="0.3">
      <c r="B12" s="1097" t="s">
        <v>76</v>
      </c>
      <c r="C12" s="456"/>
      <c r="D12" s="1100" t="s">
        <v>95</v>
      </c>
      <c r="E12" s="1079"/>
      <c r="F12" s="1079"/>
      <c r="G12" s="1079"/>
      <c r="H12" s="1079"/>
      <c r="I12" s="1101"/>
      <c r="K12" s="1097" t="s">
        <v>76</v>
      </c>
      <c r="L12" s="1100" t="s">
        <v>95</v>
      </c>
      <c r="M12" s="1079"/>
      <c r="N12" s="1079"/>
      <c r="O12" s="1079"/>
      <c r="P12" s="1079"/>
      <c r="Q12" s="1101"/>
    </row>
    <row r="13" spans="1:28" ht="15.75" thickBot="1" x14ac:dyDescent="0.3">
      <c r="B13" s="1074"/>
      <c r="C13" s="456"/>
      <c r="D13" s="831" t="s">
        <v>80</v>
      </c>
      <c r="E13" s="832"/>
      <c r="F13" s="832"/>
      <c r="G13" s="832"/>
      <c r="H13" s="832"/>
      <c r="I13" s="890"/>
      <c r="K13" s="1074"/>
      <c r="L13" s="831" t="s">
        <v>80</v>
      </c>
      <c r="M13" s="832"/>
      <c r="N13" s="832"/>
      <c r="O13" s="832"/>
      <c r="P13" s="832"/>
      <c r="Q13" s="832"/>
    </row>
    <row r="14" spans="1:28" ht="15.75" thickBot="1" x14ac:dyDescent="0.3">
      <c r="B14" s="1074"/>
      <c r="C14" s="455"/>
      <c r="D14" s="28" t="s">
        <v>77</v>
      </c>
      <c r="E14" s="348" t="s">
        <v>68</v>
      </c>
      <c r="F14" s="260" t="s">
        <v>69</v>
      </c>
      <c r="G14" s="199" t="s">
        <v>70</v>
      </c>
      <c r="H14" s="200" t="s">
        <v>71</v>
      </c>
      <c r="I14" s="201" t="s">
        <v>72</v>
      </c>
      <c r="K14" s="1074"/>
      <c r="L14" s="28" t="s">
        <v>77</v>
      </c>
      <c r="M14" s="340" t="s">
        <v>68</v>
      </c>
      <c r="N14" s="369" t="s">
        <v>69</v>
      </c>
      <c r="O14" s="110" t="s">
        <v>70</v>
      </c>
      <c r="P14" s="205" t="s">
        <v>71</v>
      </c>
      <c r="Q14" s="206" t="s">
        <v>72</v>
      </c>
    </row>
    <row r="15" spans="1:28" ht="15.75" thickBot="1" x14ac:dyDescent="0.3">
      <c r="B15" s="1074"/>
      <c r="C15" s="456"/>
      <c r="D15" s="263" t="s">
        <v>18</v>
      </c>
      <c r="E15" s="1094" t="b">
        <f>'Tableau 2 -B - Analy résult'!G14</f>
        <v>0</v>
      </c>
      <c r="F15" s="1094"/>
      <c r="G15" s="484" t="b">
        <f>'Tableau 2 -B - Analy résult'!I14</f>
        <v>0</v>
      </c>
      <c r="H15" s="1094" t="b">
        <f>'Tableau 2 -B - Analy résult'!J14</f>
        <v>0</v>
      </c>
      <c r="I15" s="1094"/>
      <c r="K15" s="1074"/>
      <c r="L15" s="113"/>
      <c r="M15" s="1102"/>
      <c r="N15" s="1103"/>
      <c r="O15" s="368"/>
      <c r="P15" s="115"/>
      <c r="Q15" s="116"/>
    </row>
    <row r="16" spans="1:28" ht="15.75" thickBot="1" x14ac:dyDescent="0.3">
      <c r="B16" s="1074"/>
      <c r="C16" s="456"/>
      <c r="D16" s="263" t="s">
        <v>22</v>
      </c>
      <c r="E16" s="484" t="b">
        <f>'Tableau 2 -B - Analy résult'!G15</f>
        <v>0</v>
      </c>
      <c r="F16" s="484" t="b">
        <f>'Tableau 2 -B - Analy résult'!H15</f>
        <v>0</v>
      </c>
      <c r="G16" s="484" t="b">
        <f>'Tableau 2 -B - Analy résult'!I15</f>
        <v>0</v>
      </c>
      <c r="H16" s="484" t="b">
        <f>'Tableau 2 -B - Analy résult'!J15</f>
        <v>0</v>
      </c>
      <c r="I16" s="484" t="b">
        <f>'Tableau 2 -B - Analy résult'!K15</f>
        <v>0</v>
      </c>
      <c r="K16" s="1074"/>
      <c r="L16" s="113"/>
      <c r="M16" s="114"/>
      <c r="N16" s="114"/>
      <c r="O16" s="114"/>
      <c r="P16" s="115"/>
      <c r="Q16" s="116"/>
    </row>
    <row r="17" spans="2:18" ht="15.75" thickBot="1" x14ac:dyDescent="0.3">
      <c r="B17" s="1074"/>
      <c r="C17" s="456"/>
      <c r="D17" s="263" t="s">
        <v>23</v>
      </c>
      <c r="E17" s="484" t="b">
        <f>'Tableau 2 -B - Analy résult'!G16</f>
        <v>0</v>
      </c>
      <c r="F17" s="484" t="b">
        <f>'Tableau 2 -B - Analy résult'!H16</f>
        <v>0</v>
      </c>
      <c r="G17" s="484" t="b">
        <f>'Tableau 2 -B - Analy résult'!I16</f>
        <v>0</v>
      </c>
      <c r="H17" s="484" t="b">
        <f>'Tableau 2 -B - Analy résult'!J16</f>
        <v>0</v>
      </c>
      <c r="I17" s="484" t="b">
        <f>'Tableau 2 -B - Analy résult'!K16</f>
        <v>0</v>
      </c>
      <c r="K17" s="1074"/>
      <c r="L17" s="113"/>
      <c r="M17" s="114"/>
      <c r="N17" s="114"/>
      <c r="O17" s="114"/>
      <c r="P17" s="114"/>
      <c r="Q17" s="116"/>
    </row>
    <row r="18" spans="2:18" ht="15.75" thickBot="1" x14ac:dyDescent="0.3">
      <c r="B18" s="1074"/>
      <c r="C18" s="456"/>
      <c r="D18" s="263" t="s">
        <v>24</v>
      </c>
      <c r="E18" s="484" t="b">
        <f>'Tableau 2 -B - Analy résult'!G17</f>
        <v>0</v>
      </c>
      <c r="F18" s="484" t="b">
        <f>'Tableau 2 -B - Analy résult'!H17</f>
        <v>0</v>
      </c>
      <c r="G18" s="1080" t="b">
        <f>'Tableau 2 -B - Analy résult'!I17</f>
        <v>0</v>
      </c>
      <c r="H18" s="1081"/>
      <c r="I18" s="1082"/>
      <c r="K18" s="1074"/>
      <c r="L18" s="113"/>
      <c r="M18" s="114"/>
      <c r="N18" s="114"/>
      <c r="O18" s="1076"/>
      <c r="P18" s="1077"/>
      <c r="Q18" s="1078"/>
    </row>
    <row r="19" spans="2:18" ht="7.5" customHeight="1" thickBot="1" x14ac:dyDescent="0.3">
      <c r="B19" s="1074"/>
      <c r="C19" s="456"/>
      <c r="D19" s="389"/>
      <c r="E19" s="390"/>
      <c r="F19" s="390"/>
      <c r="G19" s="390"/>
      <c r="H19" s="391"/>
      <c r="I19" s="392"/>
      <c r="K19" s="1074"/>
      <c r="L19" s="393"/>
      <c r="M19" s="394"/>
      <c r="N19" s="394"/>
      <c r="O19" s="394"/>
      <c r="P19" s="395"/>
      <c r="Q19" s="396"/>
    </row>
    <row r="20" spans="2:18" ht="15.75" thickBot="1" x14ac:dyDescent="0.3">
      <c r="B20" s="1074"/>
      <c r="C20" s="456"/>
      <c r="D20" s="263" t="s">
        <v>25</v>
      </c>
      <c r="E20" s="360" t="s">
        <v>27</v>
      </c>
      <c r="F20" s="360" t="s">
        <v>255</v>
      </c>
      <c r="G20" s="360" t="s">
        <v>26</v>
      </c>
      <c r="H20" s="360" t="s">
        <v>256</v>
      </c>
      <c r="I20" s="468"/>
      <c r="K20" s="1074"/>
      <c r="L20" s="113" t="s">
        <v>25</v>
      </c>
      <c r="M20" s="360" t="s">
        <v>27</v>
      </c>
      <c r="N20" s="360" t="s">
        <v>255</v>
      </c>
      <c r="O20" s="360" t="s">
        <v>26</v>
      </c>
      <c r="P20" s="360" t="s">
        <v>256</v>
      </c>
      <c r="Q20" s="471"/>
    </row>
    <row r="21" spans="2:18" ht="15.75" thickBot="1" x14ac:dyDescent="0.3">
      <c r="B21" s="1074"/>
      <c r="C21" s="455"/>
      <c r="D21" s="113" t="s">
        <v>135</v>
      </c>
      <c r="E21" s="422" t="b">
        <f>'Tableau 2 -B - Analy résult'!C19</f>
        <v>0</v>
      </c>
      <c r="F21" s="422" t="b">
        <f>'Tableau 2 -B - Analy résult'!D19</f>
        <v>0</v>
      </c>
      <c r="G21" s="422" t="b">
        <f>'Tableau 2 -B - Analy résult'!E19</f>
        <v>0</v>
      </c>
      <c r="H21" s="422" t="b">
        <f>'Tableau 2 -B - Analy résult'!F19</f>
        <v>0</v>
      </c>
      <c r="I21" s="469"/>
      <c r="K21" s="1074"/>
      <c r="L21" s="113" t="s">
        <v>135</v>
      </c>
      <c r="M21" s="423" t="b">
        <f>'Tableau 2 -B - Analy résult'!N19</f>
        <v>0</v>
      </c>
      <c r="N21" s="423" t="b">
        <f>'Tableau 2 -B - Analy résult'!O19</f>
        <v>0</v>
      </c>
      <c r="O21" s="423" t="b">
        <f>'Tableau 2 -B - Analy résult'!P19</f>
        <v>0</v>
      </c>
      <c r="P21" s="423" t="b">
        <f>'Tableau 2 -B - Analy résult'!Q19</f>
        <v>0</v>
      </c>
      <c r="Q21" s="472"/>
    </row>
    <row r="22" spans="2:18" ht="15.75" thickBot="1" x14ac:dyDescent="0.3">
      <c r="B22" s="1074"/>
      <c r="C22" s="455"/>
      <c r="D22" s="113" t="s">
        <v>136</v>
      </c>
      <c r="E22" s="422" t="b">
        <f>'Tableau 2 -B - Analy résult'!C20</f>
        <v>0</v>
      </c>
      <c r="F22" s="422" t="b">
        <f>'Tableau 2 -B - Analy résult'!D20</f>
        <v>0</v>
      </c>
      <c r="G22" s="422" t="b">
        <f>'Tableau 2 -B - Analy résult'!E20</f>
        <v>0</v>
      </c>
      <c r="H22" s="422" t="b">
        <f>'Tableau 2 -B - Analy résult'!F20</f>
        <v>0</v>
      </c>
      <c r="I22" s="469"/>
      <c r="K22" s="1074"/>
      <c r="L22" s="113" t="s">
        <v>136</v>
      </c>
      <c r="M22" s="423" t="b">
        <f>'Tableau 2 -B - Analy résult'!N20</f>
        <v>0</v>
      </c>
      <c r="N22" s="423" t="b">
        <f>'Tableau 2 -B - Analy résult'!O20</f>
        <v>0</v>
      </c>
      <c r="O22" s="423" t="b">
        <f>'Tableau 2 -B - Analy résult'!P20</f>
        <v>0</v>
      </c>
      <c r="P22" s="423" t="b">
        <f>'Tableau 2 -B - Analy résult'!Q20</f>
        <v>0</v>
      </c>
      <c r="Q22" s="472"/>
    </row>
    <row r="23" spans="2:18" ht="15.75" thickBot="1" x14ac:dyDescent="0.3">
      <c r="B23" s="1074"/>
      <c r="C23" s="455"/>
      <c r="D23" s="113" t="s">
        <v>137</v>
      </c>
      <c r="E23" s="422" t="b">
        <f>'Tableau 2 -B - Analy résult'!C21</f>
        <v>0</v>
      </c>
      <c r="F23" s="422" t="b">
        <f>'Tableau 2 -B - Analy résult'!D21</f>
        <v>0</v>
      </c>
      <c r="G23" s="422" t="b">
        <f>'Tableau 2 -B - Analy résult'!E21</f>
        <v>0</v>
      </c>
      <c r="H23" s="422" t="b">
        <f>'Tableau 2 -B - Analy résult'!F21</f>
        <v>0</v>
      </c>
      <c r="I23" s="469"/>
      <c r="K23" s="1074"/>
      <c r="L23" s="113" t="s">
        <v>137</v>
      </c>
      <c r="M23" s="423" t="b">
        <f>'Tableau 2 -B - Analy résult'!N21</f>
        <v>0</v>
      </c>
      <c r="N23" s="423" t="b">
        <f>'Tableau 2 -B - Analy résult'!O21</f>
        <v>0</v>
      </c>
      <c r="O23" s="423" t="b">
        <f>'Tableau 2 -B - Analy résult'!P21</f>
        <v>0</v>
      </c>
      <c r="P23" s="423" t="b">
        <f>'Tableau 2 -B - Analy résult'!Q21</f>
        <v>0</v>
      </c>
      <c r="Q23" s="472"/>
    </row>
    <row r="24" spans="2:18" ht="15.75" thickBot="1" x14ac:dyDescent="0.3">
      <c r="B24" s="1074"/>
      <c r="C24" s="455"/>
      <c r="D24" s="117" t="s">
        <v>138</v>
      </c>
      <c r="E24" s="422" t="b">
        <f>'Tableau 2 -B - Analy résult'!C22</f>
        <v>0</v>
      </c>
      <c r="F24" s="422" t="b">
        <f>'Tableau 2 -B - Analy résult'!D22</f>
        <v>0</v>
      </c>
      <c r="G24" s="422" t="b">
        <f>'Tableau 2 -B - Analy résult'!E22</f>
        <v>0</v>
      </c>
      <c r="H24" s="422" t="b">
        <f>'Tableau 2 -B - Analy résult'!F22</f>
        <v>0</v>
      </c>
      <c r="I24" s="470"/>
      <c r="K24" s="1074"/>
      <c r="L24" s="117" t="s">
        <v>138</v>
      </c>
      <c r="M24" s="423" t="b">
        <f>'Tableau 2 -B - Analy résult'!N22</f>
        <v>0</v>
      </c>
      <c r="N24" s="423" t="b">
        <f>'Tableau 2 -B - Analy résult'!O22</f>
        <v>0</v>
      </c>
      <c r="O24" s="423" t="b">
        <f>'Tableau 2 -B - Analy résult'!P22</f>
        <v>0</v>
      </c>
      <c r="P24" s="423" t="b">
        <f>'Tableau 2 -B - Analy résult'!Q22</f>
        <v>0</v>
      </c>
      <c r="Q24" s="473"/>
    </row>
    <row r="25" spans="2:18" ht="15.75" thickBot="1" x14ac:dyDescent="0.3">
      <c r="B25" s="1074"/>
      <c r="C25" s="456"/>
      <c r="D25" s="797" t="s">
        <v>81</v>
      </c>
      <c r="E25" s="1079"/>
      <c r="F25" s="1079"/>
      <c r="G25" s="1079"/>
      <c r="H25" s="1079"/>
      <c r="I25" s="1079"/>
      <c r="K25" s="1074"/>
      <c r="L25" s="797" t="s">
        <v>81</v>
      </c>
      <c r="M25" s="798"/>
      <c r="N25" s="798"/>
      <c r="O25" s="798"/>
      <c r="P25" s="798"/>
      <c r="Q25" s="798"/>
    </row>
    <row r="26" spans="2:18" ht="15.75" thickBot="1" x14ac:dyDescent="0.3">
      <c r="B26" s="1098"/>
      <c r="C26" s="456"/>
      <c r="D26" s="387" t="s">
        <v>79</v>
      </c>
      <c r="E26" s="348" t="s">
        <v>68</v>
      </c>
      <c r="F26" s="260" t="s">
        <v>69</v>
      </c>
      <c r="G26" s="199" t="s">
        <v>70</v>
      </c>
      <c r="H26" s="200" t="s">
        <v>71</v>
      </c>
      <c r="I26" s="201" t="s">
        <v>72</v>
      </c>
      <c r="K26" s="1074"/>
      <c r="L26" s="27"/>
      <c r="M26" s="340" t="s">
        <v>68</v>
      </c>
      <c r="N26" s="369" t="s">
        <v>69</v>
      </c>
      <c r="O26" s="110" t="s">
        <v>70</v>
      </c>
      <c r="P26" s="205" t="s">
        <v>71</v>
      </c>
      <c r="Q26" s="206" t="s">
        <v>72</v>
      </c>
    </row>
    <row r="27" spans="2:18" ht="42" customHeight="1" thickBot="1" x14ac:dyDescent="0.3">
      <c r="B27" s="1098"/>
      <c r="C27" s="456"/>
      <c r="D27" s="480" t="s">
        <v>184</v>
      </c>
      <c r="E27" s="429">
        <f>'Tableau 2 -B - Analy résult'!G34</f>
        <v>0</v>
      </c>
      <c r="F27" s="429">
        <f>'Tableau 2 -B - Analy résult'!H34</f>
        <v>0</v>
      </c>
      <c r="G27" s="429">
        <f>'Tableau 2 -B - Analy résult'!I34</f>
        <v>0</v>
      </c>
      <c r="H27" s="429">
        <f>'Tableau 2 -B - Analy résult'!J34</f>
        <v>0</v>
      </c>
      <c r="I27" s="429">
        <f>'Tableau 2 -B - Analy résult'!K34</f>
        <v>0</v>
      </c>
      <c r="K27" s="1074"/>
      <c r="L27" s="266" t="s">
        <v>184</v>
      </c>
      <c r="M27" s="429">
        <f>'Tableau 2 -B - Analy résult'!O34</f>
        <v>0</v>
      </c>
      <c r="N27" s="429">
        <f>'Tableau 2 -B - Analy résult'!S34</f>
        <v>0</v>
      </c>
      <c r="O27" s="429">
        <f>'Tableau 2 -B - Analy résult'!T34</f>
        <v>0</v>
      </c>
      <c r="P27" s="429">
        <f>'Tableau 2 -B - Analy résult'!U34</f>
        <v>0</v>
      </c>
      <c r="Q27" s="429">
        <f>'Tableau 2 -B - Analy résult'!V34</f>
        <v>0</v>
      </c>
    </row>
    <row r="28" spans="2:18" ht="15.75" thickBot="1" x14ac:dyDescent="0.3">
      <c r="B28" s="1099"/>
      <c r="C28" s="456"/>
      <c r="D28" s="477" t="s">
        <v>173</v>
      </c>
      <c r="E28" s="379">
        <f>1-SUM(F28:I28)</f>
        <v>1</v>
      </c>
      <c r="F28" s="478"/>
      <c r="G28" s="478"/>
      <c r="H28" s="478"/>
      <c r="I28" s="479"/>
      <c r="K28" s="1075"/>
      <c r="L28" s="139" t="s">
        <v>173</v>
      </c>
      <c r="M28" s="367">
        <f>1-SUM(N28:Q28)</f>
        <v>1</v>
      </c>
      <c r="N28" s="359"/>
      <c r="O28" s="359"/>
      <c r="P28" s="359"/>
      <c r="Q28" s="359"/>
      <c r="R28" t="str">
        <f>IF(SUM(M28:Q28)=1,"OK","Erreur")</f>
        <v>OK</v>
      </c>
    </row>
    <row r="29" spans="2:18" ht="15.75" thickBot="1" x14ac:dyDescent="0.3">
      <c r="B29" s="118"/>
      <c r="C29" s="118"/>
      <c r="D29" s="31"/>
      <c r="E29" s="374"/>
      <c r="F29" s="374"/>
      <c r="G29" s="374"/>
      <c r="H29" s="374"/>
      <c r="I29" s="375"/>
      <c r="K29" s="118"/>
      <c r="L29" s="31"/>
      <c r="M29" s="32"/>
      <c r="N29" s="32"/>
      <c r="O29" s="32"/>
      <c r="P29" s="32"/>
      <c r="Q29" s="267"/>
    </row>
    <row r="30" spans="2:18" ht="15.75" customHeight="1" thickBot="1" x14ac:dyDescent="0.3">
      <c r="B30" s="1083" t="s">
        <v>98</v>
      </c>
      <c r="C30" s="457"/>
      <c r="D30" s="797" t="s">
        <v>174</v>
      </c>
      <c r="E30" s="798"/>
      <c r="F30" s="798"/>
      <c r="G30" s="798"/>
      <c r="H30" s="798"/>
      <c r="I30" s="1073"/>
      <c r="K30" s="1085" t="s">
        <v>98</v>
      </c>
      <c r="L30" s="797" t="s">
        <v>174</v>
      </c>
      <c r="M30" s="798"/>
      <c r="N30" s="798"/>
      <c r="O30" s="798"/>
      <c r="P30" s="798"/>
      <c r="Q30" s="1073"/>
    </row>
    <row r="31" spans="2:18" ht="15.75" thickBot="1" x14ac:dyDescent="0.3">
      <c r="B31" s="1084"/>
      <c r="C31" s="458"/>
      <c r="D31" s="817" t="s">
        <v>80</v>
      </c>
      <c r="E31" s="818"/>
      <c r="F31" s="818"/>
      <c r="G31" s="818"/>
      <c r="H31" s="818"/>
      <c r="I31" s="818"/>
      <c r="K31" s="1086"/>
      <c r="L31" s="831" t="s">
        <v>80</v>
      </c>
      <c r="M31" s="832"/>
      <c r="N31" s="832"/>
      <c r="O31" s="832"/>
      <c r="P31" s="832"/>
      <c r="Q31" s="832"/>
    </row>
    <row r="32" spans="2:18" ht="15.75" thickBot="1" x14ac:dyDescent="0.3">
      <c r="B32" s="1084"/>
      <c r="C32" s="459"/>
      <c r="D32" s="376" t="s">
        <v>77</v>
      </c>
      <c r="E32" s="364" t="s">
        <v>68</v>
      </c>
      <c r="F32" s="365" t="s">
        <v>69</v>
      </c>
      <c r="G32" s="309" t="s">
        <v>70</v>
      </c>
      <c r="H32" s="310" t="s">
        <v>71</v>
      </c>
      <c r="I32" s="311" t="s">
        <v>72</v>
      </c>
      <c r="K32" s="1086"/>
      <c r="L32" s="28" t="s">
        <v>77</v>
      </c>
      <c r="M32" s="348" t="s">
        <v>68</v>
      </c>
      <c r="N32" s="260" t="s">
        <v>69</v>
      </c>
      <c r="O32" s="199" t="s">
        <v>70</v>
      </c>
      <c r="P32" s="200" t="s">
        <v>71</v>
      </c>
      <c r="Q32" s="38" t="s">
        <v>72</v>
      </c>
    </row>
    <row r="33" spans="2:17" ht="27" customHeight="1" thickBot="1" x14ac:dyDescent="0.3">
      <c r="B33" s="1084"/>
      <c r="C33" s="459"/>
      <c r="D33" s="83" t="s">
        <v>188</v>
      </c>
      <c r="E33" s="483" t="b">
        <f>'Tableau 2 -B - Analy résult'!G39</f>
        <v>0</v>
      </c>
      <c r="F33" s="482" t="b">
        <f>'Tableau 2 -B - Analy résult'!H39</f>
        <v>0</v>
      </c>
      <c r="G33" s="482" t="b">
        <f>'Tableau 2 -B - Analy résult'!I39</f>
        <v>0</v>
      </c>
      <c r="H33" s="482" t="b">
        <f>'Tableau 2 -B - Analy résult'!J39</f>
        <v>0</v>
      </c>
      <c r="I33" s="259"/>
      <c r="K33" s="1086"/>
      <c r="L33" s="119" t="s">
        <v>175</v>
      </c>
      <c r="M33" s="429">
        <f>'Tableau 2 -B - Analy résult'!O49</f>
        <v>0</v>
      </c>
      <c r="N33" s="429">
        <f>'Tableau 2 -B - Analy résult'!S49</f>
        <v>0</v>
      </c>
      <c r="O33" s="429">
        <f>'Tableau 2 -B - Analy résult'!T49</f>
        <v>0</v>
      </c>
      <c r="P33" s="429">
        <f>'Tableau 2 -B - Analy résult'!U49</f>
        <v>0</v>
      </c>
      <c r="Q33" s="425"/>
    </row>
    <row r="34" spans="2:17" ht="15.75" thickBot="1" x14ac:dyDescent="0.3">
      <c r="B34" s="335"/>
      <c r="C34" s="460"/>
      <c r="D34" s="31"/>
      <c r="E34" s="374"/>
      <c r="F34" s="374"/>
      <c r="G34" s="374"/>
      <c r="H34" s="374"/>
      <c r="I34" s="375"/>
      <c r="K34" s="335"/>
      <c r="L34" s="31"/>
      <c r="M34" s="33"/>
      <c r="N34" s="33"/>
      <c r="O34" s="33"/>
      <c r="P34" s="33"/>
      <c r="Q34" s="34"/>
    </row>
    <row r="35" spans="2:17" ht="15.75" thickBot="1" x14ac:dyDescent="0.3">
      <c r="B35" s="1074" t="s">
        <v>97</v>
      </c>
      <c r="C35" s="456"/>
      <c r="D35" s="797" t="s">
        <v>87</v>
      </c>
      <c r="E35" s="798"/>
      <c r="F35" s="798"/>
      <c r="G35" s="798"/>
      <c r="H35" s="798"/>
      <c r="I35" s="1073"/>
      <c r="K35" s="1074" t="s">
        <v>97</v>
      </c>
      <c r="L35" s="797" t="s">
        <v>87</v>
      </c>
      <c r="M35" s="798"/>
      <c r="N35" s="798"/>
      <c r="O35" s="798"/>
      <c r="P35" s="798"/>
      <c r="Q35" s="1073"/>
    </row>
    <row r="36" spans="2:17" ht="15.75" thickBot="1" x14ac:dyDescent="0.3">
      <c r="B36" s="1074"/>
      <c r="C36" s="456"/>
      <c r="D36" s="831" t="s">
        <v>80</v>
      </c>
      <c r="E36" s="832"/>
      <c r="F36" s="832"/>
      <c r="G36" s="832"/>
      <c r="H36" s="832"/>
      <c r="I36" s="832"/>
      <c r="K36" s="1074"/>
      <c r="L36" s="831" t="s">
        <v>80</v>
      </c>
      <c r="M36" s="832"/>
      <c r="N36" s="832"/>
      <c r="O36" s="832"/>
      <c r="P36" s="832"/>
      <c r="Q36" s="832"/>
    </row>
    <row r="37" spans="2:17" ht="15.75" thickBot="1" x14ac:dyDescent="0.3">
      <c r="B37" s="1074"/>
      <c r="C37" s="455"/>
      <c r="D37" s="120" t="s">
        <v>77</v>
      </c>
      <c r="E37" s="348" t="s">
        <v>68</v>
      </c>
      <c r="F37" s="260" t="s">
        <v>69</v>
      </c>
      <c r="G37" s="199" t="s">
        <v>70</v>
      </c>
      <c r="H37" s="200" t="s">
        <v>71</v>
      </c>
      <c r="I37" s="201" t="s">
        <v>72</v>
      </c>
      <c r="K37" s="1074"/>
      <c r="L37" s="120" t="s">
        <v>77</v>
      </c>
      <c r="M37" s="339" t="s">
        <v>68</v>
      </c>
      <c r="N37" s="260" t="s">
        <v>69</v>
      </c>
      <c r="O37" s="54" t="s">
        <v>70</v>
      </c>
      <c r="P37" s="55" t="s">
        <v>71</v>
      </c>
      <c r="Q37" s="56" t="s">
        <v>72</v>
      </c>
    </row>
    <row r="38" spans="2:17" x14ac:dyDescent="0.25">
      <c r="B38" s="1074"/>
      <c r="C38" s="456"/>
      <c r="D38" s="121" t="s">
        <v>176</v>
      </c>
      <c r="E38" s="482" t="str">
        <f>IF('Tableau 2 -B - Analy résult'!G54=1,'Tableau 2 -B - Analy résult'!$C$54,"")</f>
        <v/>
      </c>
      <c r="F38" s="482" t="str">
        <f>IF('Tableau 2 -B - Analy résult'!H54=2,'Tableau 2 -B - Analy résult'!$C$54,"")</f>
        <v/>
      </c>
      <c r="G38" s="482" t="str">
        <f>IF('Tableau 2 -B - Analy résult'!I54=3,'Tableau 2 -B - Analy résult'!$C$54,"")</f>
        <v/>
      </c>
      <c r="H38" s="482" t="str">
        <f>IF('Tableau 2 -B - Analy résult'!J54=4,'Tableau 2 -B - Analy résult'!$C$54,"")</f>
        <v/>
      </c>
      <c r="I38" s="482" t="str">
        <f>IF('Tableau 2 -B - Analy résult'!K54=5,'Tableau 2 -B - Analy résult'!$C$54,"")</f>
        <v/>
      </c>
      <c r="K38" s="1074"/>
      <c r="L38" s="122"/>
      <c r="M38" s="123"/>
      <c r="N38" s="123"/>
      <c r="O38" s="123"/>
      <c r="P38" s="123"/>
      <c r="Q38" s="123"/>
    </row>
    <row r="39" spans="2:17" x14ac:dyDescent="0.25">
      <c r="B39" s="1074"/>
      <c r="C39" s="455"/>
      <c r="D39" s="124" t="s">
        <v>177</v>
      </c>
      <c r="E39" s="482" t="str">
        <f>IF('Tableau 2 -B - Analy résult'!G55=1,'Tableau 2 -B - Analy résult'!$C$55,"")</f>
        <v/>
      </c>
      <c r="F39" s="482" t="str">
        <f>IF('Tableau 2 -B - Analy résult'!H55=2,'Tableau 2 -B - Analy résult'!$C$55,"")</f>
        <v/>
      </c>
      <c r="G39" s="482" t="str">
        <f>IF('Tableau 2 -B - Analy résult'!I55=3,'Tableau 2 -B - Analy résult'!$C$55,"")</f>
        <v/>
      </c>
      <c r="H39" s="482" t="str">
        <f>IF('Tableau 2 -B - Analy résult'!J55=4,'Tableau 2 -B - Analy résult'!$C$55,"")</f>
        <v/>
      </c>
      <c r="I39" s="482" t="str">
        <f>IF('Tableau 2 -B - Analy résult'!K55=5,'Tableau 2 -B - Analy résult'!$C$55,"")</f>
        <v/>
      </c>
      <c r="K39" s="1074"/>
      <c r="L39" s="124" t="s">
        <v>177</v>
      </c>
      <c r="M39" s="485" t="str">
        <f>IF('Tableau 2 -B - Analy résult'!O56=1,'Tableau 2 -B - Analy résult'!$N$56,"")</f>
        <v/>
      </c>
      <c r="N39" s="485" t="str">
        <f>IF('Tableau 2 -B - Analy résult'!S56=2,'Tableau 2 -B - Analy résult'!$N$56,"")</f>
        <v/>
      </c>
      <c r="O39" s="485" t="str">
        <f>IF('Tableau 2 -B - Analy résult'!T56=3,'Tableau 2 -B - Analy résult'!$N$56,"")</f>
        <v/>
      </c>
      <c r="P39" s="485" t="str">
        <f>IF('Tableau 2 -B - Analy résult'!U56=4,'Tableau 2 -B - Analy résult'!$N$56,"")</f>
        <v/>
      </c>
      <c r="Q39" s="485" t="str">
        <f>IF('Tableau 2 -B - Analy résult'!V56=5,'Tableau 2 -B - Analy résult'!$N$56,"")</f>
        <v/>
      </c>
    </row>
    <row r="40" spans="2:17" ht="15.75" thickBot="1" x14ac:dyDescent="0.3">
      <c r="B40" s="1074"/>
      <c r="C40" s="456"/>
      <c r="D40" s="125" t="s">
        <v>28</v>
      </c>
      <c r="E40" s="482" t="str">
        <f>IF('Tableau 2 -B - Analy résult'!G56=1,'Tableau 2 -B - Analy résult'!$C$56,"")</f>
        <v/>
      </c>
      <c r="F40" s="482" t="str">
        <f>IF('Tableau 2 -B - Analy résult'!H56=2,'Tableau 2 -B - Analy résult'!$C$56,"")</f>
        <v/>
      </c>
      <c r="G40" s="482" t="str">
        <f>IF('Tableau 2 -B - Analy résult'!I56=3,'Tableau 2 -B - Analy résult'!$C$56,"")</f>
        <v/>
      </c>
      <c r="H40" s="482" t="str">
        <f>IF('Tableau 2 -B - Analy résult'!J56=4,'Tableau 2 -B - Analy résult'!$C$56,"")</f>
        <v/>
      </c>
      <c r="I40" s="482" t="str">
        <f>IF('Tableau 2 -B - Analy résult'!K56=5,'Tableau 2 -B - Analy résult'!$C$56,"")</f>
        <v/>
      </c>
      <c r="K40" s="1074"/>
      <c r="L40" s="126"/>
      <c r="M40" s="123"/>
      <c r="N40" s="123"/>
      <c r="O40" s="123"/>
      <c r="P40" s="123"/>
      <c r="Q40" s="123"/>
    </row>
    <row r="41" spans="2:17" ht="15.75" thickBot="1" x14ac:dyDescent="0.3">
      <c r="B41" s="1074"/>
      <c r="C41" s="456"/>
      <c r="D41" s="797" t="s">
        <v>81</v>
      </c>
      <c r="E41" s="1087"/>
      <c r="F41" s="1087"/>
      <c r="G41" s="1087"/>
      <c r="H41" s="1087"/>
      <c r="I41" s="1088"/>
      <c r="K41" s="1074"/>
      <c r="L41" s="797"/>
      <c r="M41" s="1087"/>
      <c r="N41" s="1087"/>
      <c r="O41" s="1087"/>
      <c r="P41" s="1087"/>
      <c r="Q41" s="1088"/>
    </row>
    <row r="42" spans="2:17" ht="23.25" thickBot="1" x14ac:dyDescent="0.3">
      <c r="B42" s="1074"/>
      <c r="C42" s="456"/>
      <c r="D42" s="127" t="s">
        <v>29</v>
      </c>
      <c r="E42" s="243" t="str">
        <f>IF('Tableau 2 -B - Analy résult'!G58=1,'Tableau 2 -B - Analy résult'!$C$58,"")</f>
        <v/>
      </c>
      <c r="F42" s="243" t="str">
        <f>IF('Tableau 2 -B - Analy résult'!H58=2,'Tableau 2 -B - Analy résult'!$C$58,"")</f>
        <v/>
      </c>
      <c r="G42" s="243" t="str">
        <f>IF('Tableau 2 -B - Analy résult'!I58=3,'Tableau 2 -B - Analy résult'!$C$58,"")</f>
        <v/>
      </c>
      <c r="H42" s="243" t="str">
        <f>IF('Tableau 2 -B - Analy résult'!J58=4,'Tableau 2 -B - Analy résult'!$C$58,"")</f>
        <v/>
      </c>
      <c r="I42" s="243" t="str">
        <f>IF('Tableau 2 -B - Analy résult'!K58=5,'Tableau 2 -B - Analy résult'!$C$58,"")</f>
        <v/>
      </c>
      <c r="K42" s="1075"/>
      <c r="L42" s="119" t="s">
        <v>175</v>
      </c>
      <c r="M42" s="429">
        <f>'Tableau 2 -B - Analy résult'!O68</f>
        <v>0</v>
      </c>
      <c r="N42" s="429">
        <f>'Tableau 2 -B - Analy résult'!S68</f>
        <v>0</v>
      </c>
      <c r="O42" s="429">
        <f>'Tableau 2 -B - Analy résult'!T68</f>
        <v>0</v>
      </c>
      <c r="P42" s="429">
        <f>'Tableau 2 -B - Analy résult'!U68</f>
        <v>0</v>
      </c>
      <c r="Q42" s="429">
        <f>'Tableau 2 -B - Analy résult'!V68</f>
        <v>0</v>
      </c>
    </row>
    <row r="43" spans="2:17" ht="15.75" thickBot="1" x14ac:dyDescent="0.3">
      <c r="B43" s="335"/>
      <c r="C43" s="460"/>
      <c r="D43" s="31"/>
      <c r="E43" s="257"/>
      <c r="F43" s="257"/>
      <c r="G43" s="257"/>
      <c r="H43" s="257"/>
      <c r="I43" s="258"/>
      <c r="K43" s="30"/>
      <c r="L43" s="31"/>
      <c r="M43" s="33"/>
      <c r="N43" s="33"/>
      <c r="O43" s="33"/>
      <c r="P43" s="33"/>
      <c r="Q43" s="34"/>
    </row>
    <row r="44" spans="2:17" ht="15.75" customHeight="1" thickBot="1" x14ac:dyDescent="0.3">
      <c r="B44" s="1074" t="s">
        <v>109</v>
      </c>
      <c r="C44" s="456"/>
      <c r="D44" s="797" t="s">
        <v>90</v>
      </c>
      <c r="E44" s="798"/>
      <c r="F44" s="798"/>
      <c r="G44" s="798"/>
      <c r="H44" s="798"/>
      <c r="I44" s="1073"/>
      <c r="K44" s="1074" t="s">
        <v>109</v>
      </c>
      <c r="L44" s="797" t="s">
        <v>90</v>
      </c>
      <c r="M44" s="798"/>
      <c r="N44" s="798"/>
      <c r="O44" s="798"/>
      <c r="P44" s="798"/>
      <c r="Q44" s="1073"/>
    </row>
    <row r="45" spans="2:17" ht="15.75" thickBot="1" x14ac:dyDescent="0.3">
      <c r="B45" s="1074"/>
      <c r="C45" s="456"/>
      <c r="D45" s="831" t="s">
        <v>80</v>
      </c>
      <c r="E45" s="832"/>
      <c r="F45" s="832"/>
      <c r="G45" s="832"/>
      <c r="H45" s="832"/>
      <c r="I45" s="890"/>
      <c r="K45" s="1074"/>
      <c r="L45" s="831" t="s">
        <v>80</v>
      </c>
      <c r="M45" s="832"/>
      <c r="N45" s="832"/>
      <c r="O45" s="832"/>
      <c r="P45" s="832"/>
      <c r="Q45" s="890"/>
    </row>
    <row r="46" spans="2:17" ht="15.75" thickBot="1" x14ac:dyDescent="0.3">
      <c r="B46" s="1074"/>
      <c r="C46" s="455"/>
      <c r="D46" s="28" t="s">
        <v>77</v>
      </c>
      <c r="E46" s="348" t="s">
        <v>68</v>
      </c>
      <c r="F46" s="260" t="s">
        <v>69</v>
      </c>
      <c r="G46" s="199" t="s">
        <v>70</v>
      </c>
      <c r="H46" s="200" t="s">
        <v>71</v>
      </c>
      <c r="I46" s="201" t="s">
        <v>72</v>
      </c>
      <c r="K46" s="1074"/>
      <c r="L46" s="28" t="s">
        <v>77</v>
      </c>
      <c r="M46" s="339" t="s">
        <v>68</v>
      </c>
      <c r="N46" s="260" t="s">
        <v>69</v>
      </c>
      <c r="O46" s="54" t="s">
        <v>70</v>
      </c>
      <c r="P46" s="55" t="s">
        <v>71</v>
      </c>
      <c r="Q46" s="56" t="s">
        <v>72</v>
      </c>
    </row>
    <row r="47" spans="2:17" ht="23.25" thickBot="1" x14ac:dyDescent="0.3">
      <c r="B47" s="1074"/>
      <c r="C47" s="456"/>
      <c r="D47" s="128" t="s">
        <v>30</v>
      </c>
      <c r="E47" s="481" t="str">
        <f>IF('Tableau 2 -B - Analy résult'!G73=1,'Tableau 2 -B - Analy résult'!$C$73,"")</f>
        <v/>
      </c>
      <c r="F47" s="481" t="str">
        <f>IF('Tableau 2 -B - Analy résult'!H73=2,'Tableau 2 -B - Analy résult'!$C$73,"")</f>
        <v/>
      </c>
      <c r="G47" s="481" t="str">
        <f>IF('Tableau 2 -B - Analy résult'!I73=3,'Tableau 2 -B - Analy résult'!$C$73,"")</f>
        <v/>
      </c>
      <c r="H47" s="481" t="str">
        <f>IF('Tableau 2 -B - Analy résult'!J73=4,'Tableau 2 -B - Analy résult'!$C$73,"")</f>
        <v/>
      </c>
      <c r="I47" s="481" t="str">
        <f>IF('Tableau 2 -B - Analy résult'!K73=5,'Tableau 2 -B - Analy résult'!$C$73,"")</f>
        <v/>
      </c>
      <c r="K47" s="1074"/>
      <c r="L47" s="119" t="s">
        <v>175</v>
      </c>
      <c r="M47" s="429">
        <f>'Tableau 2 -B - Analy résult'!O84</f>
        <v>0</v>
      </c>
      <c r="N47" s="429">
        <f>'Tableau 2 -B - Analy résult'!S84</f>
        <v>0</v>
      </c>
      <c r="O47" s="429">
        <f>'Tableau 2 -B - Analy résult'!T84</f>
        <v>0</v>
      </c>
      <c r="P47" s="429">
        <f>'Tableau 2 -B - Analy résult'!U84</f>
        <v>0</v>
      </c>
      <c r="Q47" s="429">
        <f>'Tableau 2 -B - Analy résult'!V84</f>
        <v>0</v>
      </c>
    </row>
    <row r="48" spans="2:17" ht="15.75" thickBot="1" x14ac:dyDescent="0.3">
      <c r="B48" s="1075"/>
      <c r="C48" s="456"/>
      <c r="D48" s="128" t="s">
        <v>31</v>
      </c>
      <c r="E48" s="481" t="str">
        <f>IF('Tableau 2 -B - Analy résult'!G74=1,'Tableau 2 -B - Analy résult'!$C$74,"")</f>
        <v/>
      </c>
      <c r="F48" s="481" t="str">
        <f>IF('Tableau 2 -B - Analy résult'!H74=2,'Tableau 2 -B - Analy résult'!$C$74,"")</f>
        <v/>
      </c>
      <c r="G48" s="481" t="str">
        <f>IF('Tableau 2 -B - Analy résult'!I74=3,'Tableau 2 -B - Analy résult'!$C$74,"")</f>
        <v/>
      </c>
      <c r="H48" s="481" t="str">
        <f>IF('Tableau 2 -B - Analy résult'!J74=4,'Tableau 2 -B - Analy résult'!$C$74,"")</f>
        <v/>
      </c>
      <c r="I48" s="481" t="str">
        <f>IF('Tableau 2 -B - Analy résult'!K74=5,'Tableau 2 -B - Analy résult'!$C$74,"")</f>
        <v/>
      </c>
      <c r="K48" s="1075"/>
      <c r="L48" s="129"/>
      <c r="M48" s="130"/>
      <c r="N48" s="130"/>
      <c r="O48" s="130"/>
      <c r="P48" s="130"/>
      <c r="Q48" s="130"/>
    </row>
    <row r="49" spans="1:28" ht="15.75" thickBot="1" x14ac:dyDescent="0.3">
      <c r="B49" s="30"/>
      <c r="C49" s="30"/>
      <c r="D49" s="131"/>
      <c r="E49" s="261"/>
      <c r="F49" s="261"/>
      <c r="G49" s="261"/>
      <c r="H49" s="261"/>
      <c r="I49" s="261"/>
      <c r="K49" s="30"/>
      <c r="L49" s="131"/>
      <c r="M49" s="131"/>
      <c r="N49" s="131"/>
      <c r="O49" s="131"/>
      <c r="P49" s="131"/>
      <c r="Q49" s="131"/>
    </row>
    <row r="50" spans="1:28" ht="75.95" customHeight="1" thickTop="1" thickBot="1" x14ac:dyDescent="0.3">
      <c r="B50" s="1068" t="s">
        <v>178</v>
      </c>
      <c r="C50" s="1069"/>
      <c r="D50" s="1070"/>
      <c r="E50" s="1018" t="s">
        <v>179</v>
      </c>
      <c r="F50" s="1019"/>
      <c r="G50" s="1019"/>
      <c r="H50" s="1019"/>
      <c r="I50" s="1020"/>
      <c r="K50" s="1068" t="s">
        <v>178</v>
      </c>
      <c r="L50" s="1070"/>
      <c r="M50" s="1071" t="s">
        <v>180</v>
      </c>
      <c r="N50" s="1071"/>
      <c r="O50" s="1071"/>
      <c r="P50" s="1071"/>
      <c r="Q50" s="1072"/>
    </row>
    <row r="51" spans="1:28" ht="56.1" customHeight="1" thickTop="1" thickBot="1" x14ac:dyDescent="0.3">
      <c r="B51" s="1015" t="s">
        <v>225</v>
      </c>
      <c r="C51" s="1016"/>
      <c r="D51" s="1017"/>
      <c r="E51" s="1018" t="s">
        <v>179</v>
      </c>
      <c r="F51" s="1019"/>
      <c r="G51" s="1019"/>
      <c r="H51" s="1019"/>
      <c r="I51" s="1020"/>
      <c r="K51" s="1015" t="s">
        <v>225</v>
      </c>
      <c r="L51" s="1017"/>
      <c r="M51" s="1021" t="s">
        <v>180</v>
      </c>
      <c r="N51" s="1021"/>
      <c r="O51" s="1021"/>
      <c r="P51" s="1021"/>
      <c r="Q51" s="1022"/>
    </row>
    <row r="52" spans="1:28" ht="56.1" customHeight="1" thickTop="1" thickBot="1" x14ac:dyDescent="0.3">
      <c r="B52" s="1015" t="s">
        <v>12</v>
      </c>
      <c r="C52" s="1016"/>
      <c r="D52" s="1017"/>
      <c r="E52" s="1018" t="s">
        <v>179</v>
      </c>
      <c r="F52" s="1019"/>
      <c r="G52" s="1019"/>
      <c r="H52" s="1019"/>
      <c r="I52" s="1020"/>
      <c r="K52" s="1015" t="s">
        <v>12</v>
      </c>
      <c r="L52" s="1017"/>
      <c r="M52" s="1021" t="s">
        <v>180</v>
      </c>
      <c r="N52" s="1021"/>
      <c r="O52" s="1021"/>
      <c r="P52" s="1021"/>
      <c r="Q52" s="1022"/>
    </row>
    <row r="53" spans="1:28" ht="56.1" customHeight="1" thickTop="1" thickBot="1" x14ac:dyDescent="0.3">
      <c r="B53" s="1015" t="s">
        <v>181</v>
      </c>
      <c r="C53" s="1016"/>
      <c r="D53" s="1017"/>
      <c r="E53" s="1018" t="s">
        <v>179</v>
      </c>
      <c r="F53" s="1019"/>
      <c r="G53" s="1019"/>
      <c r="H53" s="1019"/>
      <c r="I53" s="1020"/>
      <c r="K53" s="1015" t="s">
        <v>181</v>
      </c>
      <c r="L53" s="1017"/>
      <c r="M53" s="1021" t="s">
        <v>180</v>
      </c>
      <c r="N53" s="1021"/>
      <c r="O53" s="1021"/>
      <c r="P53" s="1021"/>
      <c r="Q53" s="1022"/>
    </row>
    <row r="54" spans="1:28" ht="56.1" customHeight="1" thickTop="1" thickBot="1" x14ac:dyDescent="0.3">
      <c r="B54" s="1015" t="s">
        <v>14</v>
      </c>
      <c r="C54" s="1016"/>
      <c r="D54" s="1017"/>
      <c r="E54" s="1018" t="s">
        <v>179</v>
      </c>
      <c r="F54" s="1019"/>
      <c r="G54" s="1019"/>
      <c r="H54" s="1019"/>
      <c r="I54" s="1020"/>
      <c r="K54" s="1064" t="s">
        <v>14</v>
      </c>
      <c r="L54" s="1065"/>
      <c r="M54" s="1066" t="s">
        <v>251</v>
      </c>
      <c r="N54" s="1066"/>
      <c r="O54" s="1066"/>
      <c r="P54" s="1066"/>
      <c r="Q54" s="1067"/>
    </row>
    <row r="55" spans="1:28" ht="29.25" customHeight="1" thickBot="1" x14ac:dyDescent="0.3">
      <c r="B55" s="1059" t="s">
        <v>246</v>
      </c>
      <c r="C55" s="1063"/>
      <c r="D55" s="1060"/>
      <c r="E55" s="424" t="str">
        <f>IF('Tableau 3 - Synthèse &amp; Classif'!$AM$15=1,'Tableau 3 - Synthèse &amp; Classif'!$AM$15,"")</f>
        <v/>
      </c>
      <c r="F55" s="426" t="str">
        <f>IF('Tableau 3 - Synthèse &amp; Classif'!$AM$15=2,'Tableau 3 - Synthèse &amp; Classif'!$AM$15,"")</f>
        <v/>
      </c>
      <c r="G55" s="426" t="str">
        <f>IF('Tableau 3 - Synthèse &amp; Classif'!$AM$14=3,'Tableau 3 - Synthèse &amp; Classif'!$AM$14,"")</f>
        <v/>
      </c>
      <c r="H55" s="426" t="str">
        <f>IF('Tableau 3 - Synthèse &amp; Classif'!$AM$14=4,'Tableau 3 - Synthèse &amp; Classif'!$AM$14,"")</f>
        <v/>
      </c>
      <c r="I55" s="427" t="str">
        <f>IF('Tableau 3 - Synthèse &amp; Classif'!$AM$14=5,'Tableau 3 - Synthèse &amp; Classif'!$AM$14,"")</f>
        <v/>
      </c>
      <c r="J55" t="str">
        <f>IF(SUM(E56:I56)=1,"OK","Erreur")</f>
        <v>OK</v>
      </c>
      <c r="K55" s="1059" t="s">
        <v>247</v>
      </c>
      <c r="L55" s="1060"/>
      <c r="M55" s="426" t="str">
        <f>IF('Tableau 3 - Synthèse &amp; Classif'!$AM$40=1,'Tableau 3 - Synthèse &amp; Classif'!$AM$40,"")</f>
        <v/>
      </c>
      <c r="N55" s="426" t="str">
        <f>IF('Tableau 3 - Synthèse &amp; Classif'!$AM$40=2,'Tableau 3 - Synthèse &amp; Classif'!$AM$40,"")</f>
        <v/>
      </c>
      <c r="O55" s="426" t="str">
        <f>IF('Tableau 3 - Synthèse &amp; Classif'!$AM$40=3,'Tableau 3 - Synthèse &amp; Classif'!$AM$40,"")</f>
        <v/>
      </c>
      <c r="P55" s="426" t="str">
        <f>IF('Tableau 3 - Synthèse &amp; Classif'!$AM$40=4,'Tableau 3 - Synthèse &amp; Classif'!$AM$40,"")</f>
        <v/>
      </c>
      <c r="Q55" s="427" t="str">
        <f>IF('Tableau 3 - Synthèse &amp; Classif'!$AM$40=5,'Tableau 3 - Synthèse &amp; Classif'!$AM$40,"")</f>
        <v/>
      </c>
    </row>
    <row r="56" spans="1:28" ht="29.25" customHeight="1" thickBot="1" x14ac:dyDescent="0.3">
      <c r="B56" s="1056" t="s">
        <v>182</v>
      </c>
      <c r="C56" s="1057"/>
      <c r="D56" s="1058"/>
      <c r="E56" s="386">
        <f>1-SUM(F56:I56)</f>
        <v>1</v>
      </c>
      <c r="F56" s="380"/>
      <c r="G56" s="380"/>
      <c r="H56" s="380"/>
      <c r="I56" s="381"/>
      <c r="K56" s="1061" t="s">
        <v>182</v>
      </c>
      <c r="L56" s="1062"/>
      <c r="M56" s="383">
        <f>1-SUM(N56:Q56)</f>
        <v>1</v>
      </c>
      <c r="N56" s="384"/>
      <c r="O56" s="384"/>
      <c r="P56" s="384"/>
      <c r="Q56" s="385"/>
      <c r="R56" t="str">
        <f>IF(SUM(M56:Q56)=1,"OK","Erreur")</f>
        <v>OK</v>
      </c>
    </row>
    <row r="57" spans="1:28" ht="17.25" customHeight="1" x14ac:dyDescent="0.25">
      <c r="D57" s="132"/>
    </row>
    <row r="58" spans="1:28" ht="15.75" thickBot="1" x14ac:dyDescent="0.3"/>
    <row r="59" spans="1:28" ht="26.25" x14ac:dyDescent="0.4">
      <c r="A59" s="554" t="s">
        <v>183</v>
      </c>
      <c r="B59" s="555"/>
      <c r="C59" s="555"/>
      <c r="D59" s="555"/>
      <c r="E59" s="555"/>
      <c r="F59" s="555"/>
      <c r="G59" s="555"/>
      <c r="H59" s="555"/>
      <c r="I59" s="555"/>
      <c r="J59" s="555"/>
      <c r="K59" s="555"/>
      <c r="L59" s="555"/>
      <c r="M59" s="555"/>
      <c r="N59" s="555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</row>
    <row r="60" spans="1:28" ht="15.75" x14ac:dyDescent="0.25">
      <c r="A60" s="69"/>
      <c r="B60" s="133"/>
      <c r="C60" s="133"/>
      <c r="D60" s="133"/>
      <c r="E60" s="256"/>
      <c r="F60" s="256"/>
      <c r="G60" s="256"/>
      <c r="H60" s="256"/>
      <c r="I60" s="256"/>
      <c r="J60" s="134"/>
      <c r="K60" s="135"/>
      <c r="L60" s="135"/>
      <c r="M60" s="135"/>
      <c r="N60" s="135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</row>
    <row r="61" spans="1:28" ht="15.75" x14ac:dyDescent="0.25">
      <c r="A61" s="136" t="s">
        <v>0</v>
      </c>
      <c r="B61" s="137"/>
      <c r="C61" s="137"/>
      <c r="D61" s="241" t="str">
        <f>'Tableau 1-B Analyse du Contexte'!$C$5</f>
        <v>TCHAD</v>
      </c>
      <c r="E61" s="152"/>
      <c r="F61" s="152"/>
      <c r="G61" s="152"/>
      <c r="H61" s="152"/>
      <c r="I61" s="152"/>
      <c r="J61" s="135"/>
      <c r="K61" s="135"/>
      <c r="L61" s="135"/>
      <c r="M61" s="135"/>
      <c r="N61" s="135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</row>
    <row r="62" spans="1:28" ht="15.75" x14ac:dyDescent="0.25">
      <c r="A62" s="136" t="s">
        <v>3</v>
      </c>
      <c r="B62" s="137"/>
      <c r="C62" s="137"/>
      <c r="D62" s="242" t="str">
        <f>'Tableau 1-B Analyse du Contexte'!$C$9</f>
        <v>Fevrier 2020</v>
      </c>
      <c r="E62" s="152"/>
      <c r="F62" s="152"/>
      <c r="G62" s="152"/>
      <c r="H62" s="152"/>
      <c r="I62" s="152"/>
      <c r="J62" s="135"/>
      <c r="K62" s="135"/>
      <c r="L62" s="135"/>
      <c r="M62" s="135"/>
      <c r="N62" s="135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28" x14ac:dyDescent="0.25">
      <c r="A63" s="78"/>
      <c r="B63" s="78"/>
      <c r="C63" s="78"/>
      <c r="D63" s="78"/>
      <c r="E63" s="244"/>
      <c r="F63" s="244"/>
      <c r="G63" s="244"/>
      <c r="H63" s="244"/>
      <c r="I63" s="244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</row>
    <row r="64" spans="1:28" x14ac:dyDescent="0.25">
      <c r="A64" s="78"/>
      <c r="B64" s="78"/>
      <c r="C64" s="78"/>
      <c r="D64" s="78"/>
      <c r="E64" s="244"/>
      <c r="F64" s="244"/>
      <c r="G64" s="244"/>
      <c r="H64" s="244"/>
      <c r="I64" s="244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</row>
    <row r="65" spans="1:28" ht="16.5" customHeight="1" thickBot="1" x14ac:dyDescent="0.3">
      <c r="A65" s="1037" t="s">
        <v>115</v>
      </c>
      <c r="B65" s="1037" t="s">
        <v>116</v>
      </c>
      <c r="C65" s="1037" t="s">
        <v>259</v>
      </c>
      <c r="D65" s="1038" t="s">
        <v>39</v>
      </c>
      <c r="E65" s="1039" t="s">
        <v>117</v>
      </c>
      <c r="F65" s="1040"/>
      <c r="G65" s="1040"/>
      <c r="H65" s="1040"/>
      <c r="I65" s="1040"/>
      <c r="J65" s="1040"/>
      <c r="K65" s="1040"/>
      <c r="L65" s="1040"/>
      <c r="M65" s="1040"/>
      <c r="N65" s="1040"/>
      <c r="O65" s="1040"/>
      <c r="P65" s="1041"/>
      <c r="Q65" s="1029" t="s">
        <v>118</v>
      </c>
      <c r="R65" s="1030"/>
      <c r="S65" s="1030"/>
      <c r="T65" s="1030"/>
      <c r="U65" s="1030"/>
      <c r="V65" s="1030"/>
      <c r="W65" s="1030"/>
      <c r="X65" s="1030"/>
      <c r="Y65" s="1030"/>
      <c r="Z65" s="1030"/>
      <c r="AA65" s="1030"/>
      <c r="AB65" s="1030"/>
    </row>
    <row r="66" spans="1:28" ht="25.5" x14ac:dyDescent="0.25">
      <c r="A66" s="1037"/>
      <c r="B66" s="1037"/>
      <c r="C66" s="1037"/>
      <c r="D66" s="1038"/>
      <c r="E66" s="1045" t="s">
        <v>119</v>
      </c>
      <c r="F66" s="1048" t="s">
        <v>229</v>
      </c>
      <c r="G66" s="1049"/>
      <c r="H66" s="1049"/>
      <c r="I66" s="1049"/>
      <c r="J66" s="1050"/>
      <c r="K66" s="1051" t="s">
        <v>230</v>
      </c>
      <c r="L66" s="1051" t="s">
        <v>231</v>
      </c>
      <c r="M66" s="1051" t="s">
        <v>232</v>
      </c>
      <c r="N66" s="1051" t="s">
        <v>233</v>
      </c>
      <c r="O66" s="1051" t="s">
        <v>234</v>
      </c>
      <c r="P66" s="1054" t="s">
        <v>235</v>
      </c>
      <c r="Q66" s="90" t="s">
        <v>119</v>
      </c>
      <c r="R66" s="1031" t="s">
        <v>229</v>
      </c>
      <c r="S66" s="1032"/>
      <c r="T66" s="1032"/>
      <c r="U66" s="1032"/>
      <c r="V66" s="1033"/>
      <c r="W66" s="1091" t="s">
        <v>120</v>
      </c>
      <c r="X66" s="1023" t="s">
        <v>121</v>
      </c>
      <c r="Y66" s="1023" t="s">
        <v>122</v>
      </c>
      <c r="Z66" s="1023" t="s">
        <v>123</v>
      </c>
      <c r="AA66" s="1023" t="s">
        <v>124</v>
      </c>
      <c r="AB66" s="1026" t="s">
        <v>125</v>
      </c>
    </row>
    <row r="67" spans="1:28" x14ac:dyDescent="0.25">
      <c r="A67" s="1037"/>
      <c r="B67" s="1037"/>
      <c r="C67" s="1037"/>
      <c r="D67" s="1038"/>
      <c r="E67" s="1046"/>
      <c r="F67" s="1042" t="s">
        <v>126</v>
      </c>
      <c r="G67" s="1043"/>
      <c r="H67" s="1043"/>
      <c r="I67" s="1043"/>
      <c r="J67" s="1044"/>
      <c r="K67" s="1052"/>
      <c r="L67" s="1052"/>
      <c r="M67" s="1052"/>
      <c r="N67" s="1052"/>
      <c r="O67" s="1052"/>
      <c r="P67" s="1055"/>
      <c r="Q67" s="90" t="s">
        <v>127</v>
      </c>
      <c r="R67" s="1034" t="s">
        <v>128</v>
      </c>
      <c r="S67" s="1035"/>
      <c r="T67" s="1035"/>
      <c r="U67" s="1035"/>
      <c r="V67" s="1036"/>
      <c r="W67" s="1092"/>
      <c r="X67" s="1024"/>
      <c r="Y67" s="1024"/>
      <c r="Z67" s="1024"/>
      <c r="AA67" s="1024"/>
      <c r="AB67" s="1027"/>
    </row>
    <row r="68" spans="1:28" ht="15.75" thickBot="1" x14ac:dyDescent="0.3">
      <c r="A68" s="1037"/>
      <c r="B68" s="1037"/>
      <c r="C68" s="1037"/>
      <c r="D68" s="1038"/>
      <c r="E68" s="1047"/>
      <c r="F68" s="364" t="s">
        <v>228</v>
      </c>
      <c r="G68" s="365" t="s">
        <v>236</v>
      </c>
      <c r="H68" s="309" t="s">
        <v>237</v>
      </c>
      <c r="I68" s="310" t="s">
        <v>238</v>
      </c>
      <c r="J68" s="311" t="s">
        <v>239</v>
      </c>
      <c r="K68" s="1053"/>
      <c r="L68" s="1052"/>
      <c r="M68" s="1052"/>
      <c r="N68" s="1052"/>
      <c r="O68" s="1052"/>
      <c r="P68" s="1055"/>
      <c r="Q68" s="138"/>
      <c r="R68" s="364" t="s">
        <v>228</v>
      </c>
      <c r="S68" s="365" t="s">
        <v>236</v>
      </c>
      <c r="T68" s="309" t="s">
        <v>237</v>
      </c>
      <c r="U68" s="310" t="s">
        <v>238</v>
      </c>
      <c r="V68" s="311" t="s">
        <v>239</v>
      </c>
      <c r="W68" s="1093"/>
      <c r="X68" s="1025"/>
      <c r="Y68" s="1025"/>
      <c r="Z68" s="1025"/>
      <c r="AA68" s="1025"/>
      <c r="AB68" s="1028"/>
    </row>
    <row r="69" spans="1:28" ht="15.75" thickBot="1" x14ac:dyDescent="0.3">
      <c r="A69" s="336">
        <f>D4</f>
        <v>0</v>
      </c>
      <c r="B69" s="337">
        <f>D5</f>
        <v>0</v>
      </c>
      <c r="C69" s="337"/>
      <c r="D69" s="377">
        <f>'Tableau 1-B Analyse du Contexte'!$F$6</f>
        <v>0</v>
      </c>
      <c r="E69" s="486">
        <f>'Tableau 3 - Synthèse &amp; Classif'!AM15</f>
        <v>0</v>
      </c>
      <c r="F69" s="417">
        <f>E56</f>
        <v>1</v>
      </c>
      <c r="G69" s="418">
        <f>F56</f>
        <v>0</v>
      </c>
      <c r="H69" s="419">
        <f>G56</f>
        <v>0</v>
      </c>
      <c r="I69" s="420">
        <f>H56</f>
        <v>0</v>
      </c>
      <c r="J69" s="421">
        <f>I56</f>
        <v>0</v>
      </c>
      <c r="K69" s="43">
        <f>D69*F69</f>
        <v>0</v>
      </c>
      <c r="L69" s="44">
        <f>D69*G69</f>
        <v>0</v>
      </c>
      <c r="M69" s="44">
        <f>D69*H69</f>
        <v>0</v>
      </c>
      <c r="N69" s="44">
        <f t="shared" ref="N69" si="0">D69*I69</f>
        <v>0</v>
      </c>
      <c r="O69" s="44">
        <f t="shared" ref="O69" si="1">D69*J69</f>
        <v>0</v>
      </c>
      <c r="P69" s="47">
        <f t="shared" ref="P69" si="2">SUM(M69:O69)</f>
        <v>0</v>
      </c>
      <c r="Q69" s="149">
        <f>'Tableau 3 - Synthèse &amp; Classif'!AM40</f>
        <v>0</v>
      </c>
      <c r="R69" s="417">
        <f>M56</f>
        <v>1</v>
      </c>
      <c r="S69" s="418">
        <f>N56</f>
        <v>0</v>
      </c>
      <c r="T69" s="419">
        <f>O56</f>
        <v>0</v>
      </c>
      <c r="U69" s="420">
        <f>P56</f>
        <v>0</v>
      </c>
      <c r="V69" s="421">
        <f>Q56</f>
        <v>0</v>
      </c>
      <c r="W69" s="43">
        <f t="shared" ref="W69" si="3">D69*R69</f>
        <v>0</v>
      </c>
      <c r="X69" s="43">
        <f t="shared" ref="X69" si="4">D69*S69</f>
        <v>0</v>
      </c>
      <c r="Y69" s="43">
        <f t="shared" ref="Y69" si="5">D69*T69</f>
        <v>0</v>
      </c>
      <c r="Z69" s="43">
        <f t="shared" ref="Z69" si="6">D69*U69</f>
        <v>0</v>
      </c>
      <c r="AA69" s="43">
        <f t="shared" ref="AA69" si="7">D69*V69</f>
        <v>0</v>
      </c>
      <c r="AB69" s="48">
        <f t="shared" ref="AB69" si="8">SUM(Y69:AA69)</f>
        <v>0</v>
      </c>
    </row>
    <row r="70" spans="1:28" ht="15.75" thickBot="1" x14ac:dyDescent="0.3">
      <c r="A70" s="41" t="s">
        <v>129</v>
      </c>
      <c r="B70" s="42"/>
      <c r="C70" s="461"/>
      <c r="D70" s="378">
        <f>SUM(D69:D69)</f>
        <v>0</v>
      </c>
      <c r="E70" s="262"/>
      <c r="F70" s="366"/>
      <c r="G70" s="366"/>
      <c r="H70" s="366"/>
      <c r="I70" s="366"/>
      <c r="J70" s="363"/>
      <c r="K70" s="45">
        <f t="shared" ref="K70:P70" si="9">SUM(K69:K69)</f>
        <v>0</v>
      </c>
      <c r="L70" s="45">
        <f t="shared" si="9"/>
        <v>0</v>
      </c>
      <c r="M70" s="45">
        <f t="shared" si="9"/>
        <v>0</v>
      </c>
      <c r="N70" s="45">
        <f t="shared" si="9"/>
        <v>0</v>
      </c>
      <c r="O70" s="45">
        <f t="shared" si="9"/>
        <v>0</v>
      </c>
      <c r="P70" s="46">
        <f t="shared" si="9"/>
        <v>0</v>
      </c>
      <c r="Q70" s="42"/>
      <c r="R70" s="361"/>
      <c r="S70" s="362"/>
      <c r="T70" s="361"/>
      <c r="U70" s="361"/>
      <c r="V70" s="363"/>
      <c r="W70" s="45">
        <f t="shared" ref="W70:AB70" si="10">SUM(W69:W69)</f>
        <v>0</v>
      </c>
      <c r="X70" s="45">
        <f t="shared" si="10"/>
        <v>0</v>
      </c>
      <c r="Y70" s="45">
        <f t="shared" si="10"/>
        <v>0</v>
      </c>
      <c r="Z70" s="45">
        <f t="shared" si="10"/>
        <v>0</v>
      </c>
      <c r="AA70" s="45">
        <f t="shared" si="10"/>
        <v>0</v>
      </c>
      <c r="AB70" s="49">
        <f t="shared" si="10"/>
        <v>0</v>
      </c>
    </row>
  </sheetData>
  <sheetProtection formatCells="0" formatColumns="0" formatRows="0" insertRows="0"/>
  <protectedRanges>
    <protectedRange sqref="F28:I28 N28:Q28 E50:I54 M50:Q54 F56:I56 N56:Q56" name="Range1"/>
  </protectedRanges>
  <mergeCells count="86">
    <mergeCell ref="A1:N1"/>
    <mergeCell ref="D6:E6"/>
    <mergeCell ref="X66:X68"/>
    <mergeCell ref="W66:W68"/>
    <mergeCell ref="E15:F15"/>
    <mergeCell ref="H15:I15"/>
    <mergeCell ref="B10:Q10"/>
    <mergeCell ref="D11:I11"/>
    <mergeCell ref="L11:Q11"/>
    <mergeCell ref="B12:B28"/>
    <mergeCell ref="D12:I12"/>
    <mergeCell ref="K12:K28"/>
    <mergeCell ref="L12:Q12"/>
    <mergeCell ref="D13:I13"/>
    <mergeCell ref="L13:Q13"/>
    <mergeCell ref="M15:N15"/>
    <mergeCell ref="O18:Q18"/>
    <mergeCell ref="D25:I25"/>
    <mergeCell ref="L25:Q25"/>
    <mergeCell ref="G18:I18"/>
    <mergeCell ref="B35:B42"/>
    <mergeCell ref="D35:I35"/>
    <mergeCell ref="K35:K42"/>
    <mergeCell ref="D31:I31"/>
    <mergeCell ref="B30:B33"/>
    <mergeCell ref="K30:K33"/>
    <mergeCell ref="D36:I36"/>
    <mergeCell ref="D41:I41"/>
    <mergeCell ref="L41:Q41"/>
    <mergeCell ref="D30:I30"/>
    <mergeCell ref="L31:Q31"/>
    <mergeCell ref="L30:Q30"/>
    <mergeCell ref="B50:D50"/>
    <mergeCell ref="E50:I50"/>
    <mergeCell ref="K50:L50"/>
    <mergeCell ref="M50:Q50"/>
    <mergeCell ref="L35:Q35"/>
    <mergeCell ref="L36:Q36"/>
    <mergeCell ref="B44:B48"/>
    <mergeCell ref="D44:I44"/>
    <mergeCell ref="K44:K48"/>
    <mergeCell ref="L44:Q44"/>
    <mergeCell ref="D45:I45"/>
    <mergeCell ref="L45:Q45"/>
    <mergeCell ref="M54:Q54"/>
    <mergeCell ref="B53:D53"/>
    <mergeCell ref="E53:I53"/>
    <mergeCell ref="K53:L53"/>
    <mergeCell ref="M53:Q53"/>
    <mergeCell ref="B56:D56"/>
    <mergeCell ref="K55:L55"/>
    <mergeCell ref="K56:L56"/>
    <mergeCell ref="B55:D55"/>
    <mergeCell ref="B54:D54"/>
    <mergeCell ref="E54:I54"/>
    <mergeCell ref="K54:L54"/>
    <mergeCell ref="A59:N59"/>
    <mergeCell ref="A65:A68"/>
    <mergeCell ref="B65:B68"/>
    <mergeCell ref="D65:D68"/>
    <mergeCell ref="E65:P65"/>
    <mergeCell ref="F67:J67"/>
    <mergeCell ref="E66:E68"/>
    <mergeCell ref="F66:J66"/>
    <mergeCell ref="K66:K68"/>
    <mergeCell ref="L66:L68"/>
    <mergeCell ref="M66:M68"/>
    <mergeCell ref="N66:N68"/>
    <mergeCell ref="O66:O68"/>
    <mergeCell ref="P66:P68"/>
    <mergeCell ref="C65:C68"/>
    <mergeCell ref="AA66:AA68"/>
    <mergeCell ref="AB66:AB68"/>
    <mergeCell ref="Q65:AB65"/>
    <mergeCell ref="R66:V66"/>
    <mergeCell ref="R67:V67"/>
    <mergeCell ref="Y66:Y68"/>
    <mergeCell ref="Z66:Z68"/>
    <mergeCell ref="B51:D51"/>
    <mergeCell ref="E51:I51"/>
    <mergeCell ref="K51:L51"/>
    <mergeCell ref="M51:Q51"/>
    <mergeCell ref="M52:Q52"/>
    <mergeCell ref="B52:D52"/>
    <mergeCell ref="E52:I52"/>
    <mergeCell ref="K52:L52"/>
  </mergeCells>
  <conditionalFormatting sqref="F28:I28">
    <cfRule type="cellIs" dxfId="186" priority="367" operator="equal">
      <formula>5</formula>
    </cfRule>
    <cfRule type="cellIs" dxfId="185" priority="368" operator="equal">
      <formula>4</formula>
    </cfRule>
    <cfRule type="cellIs" dxfId="184" priority="369" operator="equal">
      <formula>2</formula>
    </cfRule>
    <cfRule type="cellIs" dxfId="183" priority="370" operator="equal">
      <formula>1</formula>
    </cfRule>
    <cfRule type="cellIs" dxfId="182" priority="371" operator="equal">
      <formula>3</formula>
    </cfRule>
    <cfRule type="cellIs" dxfId="181" priority="372" operator="equal">
      <formula>2</formula>
    </cfRule>
    <cfRule type="cellIs" dxfId="180" priority="373" operator="equal">
      <formula>1</formula>
    </cfRule>
  </conditionalFormatting>
  <conditionalFormatting sqref="F28:I28">
    <cfRule type="cellIs" dxfId="179" priority="366" operator="equal">
      <formula>1</formula>
    </cfRule>
  </conditionalFormatting>
  <conditionalFormatting sqref="E39:I40">
    <cfRule type="cellIs" dxfId="178" priority="359" operator="equal">
      <formula>5</formula>
    </cfRule>
    <cfRule type="cellIs" dxfId="177" priority="360" operator="equal">
      <formula>4</formula>
    </cfRule>
    <cfRule type="cellIs" dxfId="176" priority="361" operator="equal">
      <formula>2</formula>
    </cfRule>
    <cfRule type="cellIs" dxfId="175" priority="362" operator="equal">
      <formula>1</formula>
    </cfRule>
    <cfRule type="cellIs" dxfId="174" priority="363" operator="equal">
      <formula>3</formula>
    </cfRule>
    <cfRule type="cellIs" dxfId="173" priority="364" operator="equal">
      <formula>2</formula>
    </cfRule>
    <cfRule type="cellIs" dxfId="172" priority="365" operator="equal">
      <formula>1</formula>
    </cfRule>
  </conditionalFormatting>
  <conditionalFormatting sqref="H21:H24">
    <cfRule type="expression" dxfId="171" priority="391">
      <formula>AND(SUM(#REF!)&gt;=0.2,SUM(#REF!)&lt;0.2)</formula>
    </cfRule>
  </conditionalFormatting>
  <conditionalFormatting sqref="G21:H24">
    <cfRule type="expression" dxfId="170" priority="392">
      <formula>AND(SUM(#REF!)&gt;=0.2,SUM(#REF!)&lt;0.2)</formula>
    </cfRule>
  </conditionalFormatting>
  <conditionalFormatting sqref="E21:H24">
    <cfRule type="expression" dxfId="169" priority="393">
      <formula>SUM(#REF!)&gt;0.8</formula>
    </cfRule>
  </conditionalFormatting>
  <conditionalFormatting sqref="E21:H24">
    <cfRule type="expression" dxfId="168" priority="394">
      <formula>SUM(#REF!)&gt;1</formula>
    </cfRule>
  </conditionalFormatting>
  <conditionalFormatting sqref="F28:I28">
    <cfRule type="expression" dxfId="167" priority="395">
      <formula>SUM(#REF!)&gt;1</formula>
    </cfRule>
    <cfRule type="cellIs" dxfId="166" priority="396" operator="equal">
      <formula>5</formula>
    </cfRule>
    <cfRule type="cellIs" dxfId="165" priority="397" operator="equal">
      <formula>4</formula>
    </cfRule>
    <cfRule type="cellIs" dxfId="164" priority="398" operator="equal">
      <formula>2</formula>
    </cfRule>
    <cfRule type="cellIs" dxfId="163" priority="399" operator="equal">
      <formula>1</formula>
    </cfRule>
    <cfRule type="cellIs" dxfId="162" priority="400" operator="equal">
      <formula>3</formula>
    </cfRule>
    <cfRule type="cellIs" dxfId="161" priority="401" operator="equal">
      <formula>2</formula>
    </cfRule>
    <cfRule type="cellIs" dxfId="160" priority="402" operator="equal">
      <formula>1</formula>
    </cfRule>
  </conditionalFormatting>
  <conditionalFormatting sqref="I28 I33">
    <cfRule type="expression" dxfId="159" priority="403">
      <formula>#REF!&gt;=0.2</formula>
    </cfRule>
  </conditionalFormatting>
  <conditionalFormatting sqref="H28 H33">
    <cfRule type="expression" dxfId="158" priority="404">
      <formula>AND(SUM(#REF!)&gt;=0.2,#REF!&lt;0.2)</formula>
    </cfRule>
  </conditionalFormatting>
  <conditionalFormatting sqref="G28">
    <cfRule type="expression" dxfId="157" priority="405">
      <formula>AND(SUM(#REF!)&gt;=0.2,SUM(#REF!)&lt;0.2)</formula>
    </cfRule>
  </conditionalFormatting>
  <conditionalFormatting sqref="F28">
    <cfRule type="expression" dxfId="156" priority="406">
      <formula>AND(SUM(#REF!)&gt;=0.2,SUM(#REF!)&lt;0.2)</formula>
    </cfRule>
  </conditionalFormatting>
  <conditionalFormatting sqref="F33:H33">
    <cfRule type="expression" dxfId="155" priority="407">
      <formula>#REF!&gt;0.8</formula>
    </cfRule>
  </conditionalFormatting>
  <conditionalFormatting sqref="F33:I33">
    <cfRule type="expression" dxfId="154" priority="408">
      <formula>SUM(#REF!)&gt;1</formula>
    </cfRule>
  </conditionalFormatting>
  <conditionalFormatting sqref="F33">
    <cfRule type="expression" dxfId="153" priority="409">
      <formula>AND(SUM(#REF!)&gt;=0.2,SUM(#REF!)&lt;0.2)</formula>
    </cfRule>
  </conditionalFormatting>
  <conditionalFormatting sqref="G33">
    <cfRule type="expression" dxfId="152" priority="410">
      <formula>AND(SUM(#REF!)&gt;=0.2,SUM(#REF!)&lt;0.2)</formula>
    </cfRule>
  </conditionalFormatting>
  <conditionalFormatting sqref="E40:I40">
    <cfRule type="expression" dxfId="151" priority="411">
      <formula>#REF!&gt;=0.4</formula>
    </cfRule>
    <cfRule type="expression" dxfId="150" priority="412">
      <formula>AND(#REF!&gt;=0.2,#REF!&lt;0.4)</formula>
    </cfRule>
    <cfRule type="expression" dxfId="149" priority="413">
      <formula>AND(#REF!&gt;=0.1,#REF!&lt;0.2)</formula>
    </cfRule>
    <cfRule type="expression" dxfId="148" priority="414">
      <formula>AND(#REF!&lt;&gt;"",#REF!&lt;0.1)</formula>
    </cfRule>
  </conditionalFormatting>
  <conditionalFormatting sqref="M40">
    <cfRule type="cellIs" dxfId="147" priority="270" operator="equal">
      <formula>5</formula>
    </cfRule>
    <cfRule type="cellIs" dxfId="146" priority="271" operator="equal">
      <formula>4</formula>
    </cfRule>
    <cfRule type="cellIs" dxfId="145" priority="272" operator="equal">
      <formula>2</formula>
    </cfRule>
    <cfRule type="cellIs" dxfId="144" priority="273" operator="equal">
      <formula>1</formula>
    </cfRule>
    <cfRule type="cellIs" dxfId="143" priority="274" operator="equal">
      <formula>3</formula>
    </cfRule>
    <cfRule type="cellIs" dxfId="142" priority="275" operator="equal">
      <formula>2</formula>
    </cfRule>
    <cfRule type="cellIs" dxfId="141" priority="276" operator="equal">
      <formula>1</formula>
    </cfRule>
  </conditionalFormatting>
  <conditionalFormatting sqref="Q17">
    <cfRule type="expression" dxfId="140" priority="267">
      <formula>$H$25&gt;=0.2</formula>
    </cfRule>
  </conditionalFormatting>
  <conditionalFormatting sqref="P17">
    <cfRule type="expression" dxfId="139" priority="266">
      <formula>AND($H$25+$G$25&gt;=0.2,$H$25&lt;0.2)</formula>
    </cfRule>
  </conditionalFormatting>
  <conditionalFormatting sqref="O17">
    <cfRule type="expression" dxfId="138" priority="265">
      <formula>AND($H$25+$G$25+$F$25&gt;=0.2,$H$25+$G$25&lt;0.2)</formula>
    </cfRule>
  </conditionalFormatting>
  <conditionalFormatting sqref="N17">
    <cfRule type="expression" dxfId="137" priority="264">
      <formula>AND($H$25+$G$25+$F$25+$E$25&gt;=0.2,$H$25+$G$25+$F$25&lt;0.2)</formula>
    </cfRule>
  </conditionalFormatting>
  <conditionalFormatting sqref="O15">
    <cfRule type="expression" dxfId="136" priority="257">
      <formula>SUM($D$23:$H$23)&gt;1</formula>
    </cfRule>
  </conditionalFormatting>
  <conditionalFormatting sqref="N16:Q16 P15:Q15">
    <cfRule type="expression" dxfId="135" priority="252">
      <formula>SUM($D$24:$H$24)&gt;1</formula>
    </cfRule>
  </conditionalFormatting>
  <conditionalFormatting sqref="N17:Q17">
    <cfRule type="expression" dxfId="134" priority="251">
      <formula>SUM($D$25:$H$25)&gt;1</formula>
    </cfRule>
  </conditionalFormatting>
  <conditionalFormatting sqref="O21:P24">
    <cfRule type="expression" dxfId="133" priority="302">
      <formula>AND(SUM(#REF!)&gt;=0.2,SUM(#REF!)&lt;0.2)</formula>
    </cfRule>
  </conditionalFormatting>
  <conditionalFormatting sqref="N21:P24">
    <cfRule type="expression" dxfId="132" priority="303">
      <formula>AND(SUM(#REF!)&gt;=0.2,SUM(#REF!)&lt;0.2)</formula>
    </cfRule>
  </conditionalFormatting>
  <conditionalFormatting sqref="M21:P24">
    <cfRule type="expression" dxfId="131" priority="304">
      <formula>SUM(#REF!)&gt;0.8</formula>
    </cfRule>
  </conditionalFormatting>
  <conditionalFormatting sqref="M21:P24">
    <cfRule type="expression" dxfId="130" priority="305">
      <formula>SUM(#REF!)&gt;1</formula>
    </cfRule>
  </conditionalFormatting>
  <conditionalFormatting sqref="Q33">
    <cfRule type="expression" dxfId="129" priority="314">
      <formula>#REF!&gt;=0.2</formula>
    </cfRule>
  </conditionalFormatting>
  <conditionalFormatting sqref="Q33">
    <cfRule type="expression" dxfId="128" priority="319">
      <formula>SUM(#REF!)&gt;1</formula>
    </cfRule>
  </conditionalFormatting>
  <conditionalFormatting sqref="M40:Q40">
    <cfRule type="expression" dxfId="127" priority="322">
      <formula>#REF!&gt;=0.4</formula>
    </cfRule>
    <cfRule type="expression" dxfId="126" priority="323">
      <formula>AND(#REF!&gt;=0.2,#REF!&lt;0.4)</formula>
    </cfRule>
    <cfRule type="expression" dxfId="125" priority="324">
      <formula>AND(#REF!&gt;=0.1,#REF!&lt;0.2)</formula>
    </cfRule>
    <cfRule type="expression" dxfId="124" priority="325">
      <formula>AND(#REF!&lt;&gt;"",#REF!&lt;0.1)</formula>
    </cfRule>
  </conditionalFormatting>
  <conditionalFormatting sqref="M48:Q48">
    <cfRule type="expression" dxfId="123" priority="334">
      <formula>#REF!&gt;=4</formula>
    </cfRule>
    <cfRule type="expression" dxfId="122" priority="335">
      <formula>AND(#REF!&gt;=2,#REF!&lt;4)</formula>
    </cfRule>
    <cfRule type="expression" dxfId="121" priority="336">
      <formula>AND(#REF!&gt;=1,#REF!&lt;2)</formula>
    </cfRule>
    <cfRule type="expression" dxfId="120" priority="337">
      <formula>AND(#REF!&lt;&gt;"",#REF!&lt;1)</formula>
    </cfRule>
  </conditionalFormatting>
  <conditionalFormatting sqref="E38:I40">
    <cfRule type="cellIs" dxfId="119" priority="242" operator="equal">
      <formula>0</formula>
    </cfRule>
  </conditionalFormatting>
  <conditionalFormatting sqref="F28:I28">
    <cfRule type="expression" dxfId="118" priority="184">
      <formula>#REF!&gt;0.8</formula>
    </cfRule>
  </conditionalFormatting>
  <conditionalFormatting sqref="E33">
    <cfRule type="cellIs" dxfId="117" priority="173" operator="equal">
      <formula>1</formula>
    </cfRule>
  </conditionalFormatting>
  <conditionalFormatting sqref="E42:I42">
    <cfRule type="cellIs" dxfId="116" priority="154" operator="equal">
      <formula>5</formula>
    </cfRule>
    <cfRule type="cellIs" dxfId="115" priority="155" operator="equal">
      <formula>4</formula>
    </cfRule>
    <cfRule type="cellIs" dxfId="114" priority="156" operator="equal">
      <formula>2</formula>
    </cfRule>
    <cfRule type="cellIs" dxfId="113" priority="157" operator="equal">
      <formula>1</formula>
    </cfRule>
    <cfRule type="cellIs" dxfId="112" priority="158" operator="equal">
      <formula>3</formula>
    </cfRule>
    <cfRule type="cellIs" dxfId="111" priority="159" operator="equal">
      <formula>2</formula>
    </cfRule>
    <cfRule type="cellIs" dxfId="110" priority="160" operator="equal">
      <formula>1</formula>
    </cfRule>
  </conditionalFormatting>
  <conditionalFormatting sqref="E42:I42">
    <cfRule type="expression" dxfId="109" priority="161">
      <formula>#REF!&gt;=0.4</formula>
    </cfRule>
    <cfRule type="expression" dxfId="108" priority="162">
      <formula>AND(#REF!&gt;=0.2,#REF!&lt;0.4)</formula>
    </cfRule>
    <cfRule type="expression" dxfId="107" priority="163">
      <formula>AND(#REF!&gt;=0.1,#REF!&lt;0.2)</formula>
    </cfRule>
    <cfRule type="expression" dxfId="106" priority="164">
      <formula>AND(#REF!&lt;&gt;"",#REF!&lt;0.1)</formula>
    </cfRule>
  </conditionalFormatting>
  <conditionalFormatting sqref="E42:I42">
    <cfRule type="cellIs" dxfId="105" priority="153" operator="equal">
      <formula>0</formula>
    </cfRule>
  </conditionalFormatting>
  <conditionalFormatting sqref="E47:I47">
    <cfRule type="cellIs" dxfId="104" priority="140" operator="equal">
      <formula>0</formula>
    </cfRule>
  </conditionalFormatting>
  <conditionalFormatting sqref="E48:I48">
    <cfRule type="cellIs" dxfId="103" priority="139" operator="equal">
      <formula>0</formula>
    </cfRule>
  </conditionalFormatting>
  <conditionalFormatting sqref="E46:I46">
    <cfRule type="containsText" dxfId="102" priority="138" operator="containsText" text="N/A">
      <formula>NOT(ISERROR(SEARCH("N/A",E46)))</formula>
    </cfRule>
  </conditionalFormatting>
  <conditionalFormatting sqref="E37:I37">
    <cfRule type="containsText" dxfId="101" priority="137" operator="containsText" text="N/A">
      <formula>NOT(ISERROR(SEARCH("N/A",E37)))</formula>
    </cfRule>
  </conditionalFormatting>
  <conditionalFormatting sqref="E32:I32">
    <cfRule type="containsText" dxfId="100" priority="136" operator="containsText" text="N/A">
      <formula>NOT(ISERROR(SEARCH("N/A",E32)))</formula>
    </cfRule>
  </conditionalFormatting>
  <conditionalFormatting sqref="E26:I26">
    <cfRule type="containsText" dxfId="99" priority="134" operator="containsText" text="N/A">
      <formula>NOT(ISERROR(SEARCH("N/A",E26)))</formula>
    </cfRule>
  </conditionalFormatting>
  <conditionalFormatting sqref="E14:I14">
    <cfRule type="containsText" dxfId="98" priority="133" operator="containsText" text="N/A">
      <formula>NOT(ISERROR(SEARCH("N/A",E14)))</formula>
    </cfRule>
  </conditionalFormatting>
  <conditionalFormatting sqref="M14:Q14">
    <cfRule type="containsText" dxfId="97" priority="132" operator="containsText" text="N/A">
      <formula>NOT(ISERROR(SEARCH("N/A",M14)))</formula>
    </cfRule>
  </conditionalFormatting>
  <conditionalFormatting sqref="M26:Q26">
    <cfRule type="containsText" dxfId="96" priority="131" operator="containsText" text="N/A">
      <formula>NOT(ISERROR(SEARCH("N/A",M26)))</formula>
    </cfRule>
  </conditionalFormatting>
  <conditionalFormatting sqref="F68:J68">
    <cfRule type="containsText" dxfId="95" priority="130" operator="containsText" text="N/A">
      <formula>NOT(ISERROR(SEARCH("N/A",F68)))</formula>
    </cfRule>
  </conditionalFormatting>
  <conditionalFormatting sqref="R68:V68">
    <cfRule type="containsText" dxfId="94" priority="129" operator="containsText" text="N/A">
      <formula>NOT(ISERROR(SEARCH("N/A",R68)))</formula>
    </cfRule>
  </conditionalFormatting>
  <conditionalFormatting sqref="V69">
    <cfRule type="containsText" dxfId="93" priority="128" operator="containsText" text="N/A">
      <formula>NOT(ISERROR(SEARCH("N/A",V69)))</formula>
    </cfRule>
  </conditionalFormatting>
  <conditionalFormatting sqref="J69">
    <cfRule type="containsText" dxfId="92" priority="127" operator="containsText" text="N/A">
      <formula>NOT(ISERROR(SEARCH("N/A",J69)))</formula>
    </cfRule>
  </conditionalFormatting>
  <conditionalFormatting sqref="J55:J56">
    <cfRule type="containsText" dxfId="91" priority="123" operator="containsText" text="OK">
      <formula>NOT(ISERROR(SEARCH("OK",J55)))</formula>
    </cfRule>
    <cfRule type="containsText" dxfId="90" priority="126" operator="containsText" text="Erreur">
      <formula>NOT(ISERROR(SEARCH("Erreur",J55)))</formula>
    </cfRule>
  </conditionalFormatting>
  <conditionalFormatting sqref="R55:R56">
    <cfRule type="containsText" dxfId="89" priority="121" operator="containsText" text="OK">
      <formula>NOT(ISERROR(SEARCH("OK",R55)))</formula>
    </cfRule>
    <cfRule type="containsText" dxfId="88" priority="122" operator="containsText" text="Erreur">
      <formula>NOT(ISERROR(SEARCH("Erreur",R55)))</formula>
    </cfRule>
  </conditionalFormatting>
  <conditionalFormatting sqref="M47">
    <cfRule type="cellIs" dxfId="87" priority="109" operator="equal">
      <formula>0</formula>
    </cfRule>
    <cfRule type="cellIs" dxfId="86" priority="111" operator="equal">
      <formula>5</formula>
    </cfRule>
    <cfRule type="cellIs" dxfId="85" priority="112" operator="equal">
      <formula>4</formula>
    </cfRule>
    <cfRule type="cellIs" dxfId="84" priority="113" operator="equal">
      <formula>2</formula>
    </cfRule>
    <cfRule type="cellIs" dxfId="83" priority="114" operator="equal">
      <formula>3</formula>
    </cfRule>
  </conditionalFormatting>
  <conditionalFormatting sqref="M47">
    <cfRule type="cellIs" dxfId="82" priority="110" operator="equal">
      <formula>1</formula>
    </cfRule>
  </conditionalFormatting>
  <conditionalFormatting sqref="N47:Q47">
    <cfRule type="cellIs" dxfId="81" priority="103" operator="equal">
      <formula>0</formula>
    </cfRule>
    <cfRule type="cellIs" dxfId="80" priority="105" operator="equal">
      <formula>5</formula>
    </cfRule>
    <cfRule type="cellIs" dxfId="79" priority="106" operator="equal">
      <formula>4</formula>
    </cfRule>
    <cfRule type="cellIs" dxfId="78" priority="107" operator="equal">
      <formula>2</formula>
    </cfRule>
    <cfRule type="cellIs" dxfId="77" priority="108" operator="equal">
      <formula>3</formula>
    </cfRule>
  </conditionalFormatting>
  <conditionalFormatting sqref="N47:Q47">
    <cfRule type="cellIs" dxfId="76" priority="104" operator="equal">
      <formula>1</formula>
    </cfRule>
  </conditionalFormatting>
  <conditionalFormatting sqref="M42:Q42">
    <cfRule type="cellIs" dxfId="75" priority="97" operator="equal">
      <formula>0</formula>
    </cfRule>
    <cfRule type="cellIs" dxfId="74" priority="99" operator="equal">
      <formula>5</formula>
    </cfRule>
    <cfRule type="cellIs" dxfId="73" priority="100" operator="equal">
      <formula>4</formula>
    </cfRule>
    <cfRule type="cellIs" dxfId="72" priority="101" operator="equal">
      <formula>2</formula>
    </cfRule>
    <cfRule type="cellIs" dxfId="71" priority="102" operator="equal">
      <formula>3</formula>
    </cfRule>
  </conditionalFormatting>
  <conditionalFormatting sqref="M42:Q42">
    <cfRule type="cellIs" dxfId="70" priority="98" operator="equal">
      <formula>1</formula>
    </cfRule>
  </conditionalFormatting>
  <conditionalFormatting sqref="M39:Q39">
    <cfRule type="cellIs" dxfId="69" priority="90" operator="equal">
      <formula>5</formula>
    </cfRule>
    <cfRule type="cellIs" dxfId="68" priority="91" operator="equal">
      <formula>4</formula>
    </cfRule>
    <cfRule type="cellIs" dxfId="67" priority="92" operator="equal">
      <formula>2</formula>
    </cfRule>
    <cfRule type="cellIs" dxfId="66" priority="93" operator="equal">
      <formula>1</formula>
    </cfRule>
    <cfRule type="cellIs" dxfId="65" priority="94" operator="equal">
      <formula>3</formula>
    </cfRule>
    <cfRule type="cellIs" dxfId="64" priority="95" operator="equal">
      <formula>2</formula>
    </cfRule>
    <cfRule type="cellIs" dxfId="63" priority="96" operator="equal">
      <formula>1</formula>
    </cfRule>
  </conditionalFormatting>
  <conditionalFormatting sqref="M39:Q39">
    <cfRule type="cellIs" dxfId="62" priority="89" operator="equal">
      <formula>0</formula>
    </cfRule>
  </conditionalFormatting>
  <conditionalFormatting sqref="N28:Q28">
    <cfRule type="cellIs" dxfId="61" priority="52" operator="equal">
      <formula>5</formula>
    </cfRule>
    <cfRule type="cellIs" dxfId="60" priority="53" operator="equal">
      <formula>4</formula>
    </cfRule>
    <cfRule type="cellIs" dxfId="59" priority="54" operator="equal">
      <formula>2</formula>
    </cfRule>
    <cfRule type="cellIs" dxfId="58" priority="55" operator="equal">
      <formula>1</formula>
    </cfRule>
    <cfRule type="cellIs" dxfId="57" priority="56" operator="equal">
      <formula>3</formula>
    </cfRule>
    <cfRule type="cellIs" dxfId="56" priority="57" operator="equal">
      <formula>2</formula>
    </cfRule>
    <cfRule type="cellIs" dxfId="55" priority="58" operator="equal">
      <formula>1</formula>
    </cfRule>
  </conditionalFormatting>
  <conditionalFormatting sqref="N28:Q28">
    <cfRule type="cellIs" dxfId="54" priority="51" operator="equal">
      <formula>1</formula>
    </cfRule>
  </conditionalFormatting>
  <conditionalFormatting sqref="N28:Q28">
    <cfRule type="expression" dxfId="53" priority="59">
      <formula>SUM(#REF!)&gt;1</formula>
    </cfRule>
    <cfRule type="cellIs" dxfId="52" priority="60" operator="equal">
      <formula>5</formula>
    </cfRule>
    <cfRule type="cellIs" dxfId="51" priority="61" operator="equal">
      <formula>4</formula>
    </cfRule>
    <cfRule type="cellIs" dxfId="50" priority="62" operator="equal">
      <formula>2</formula>
    </cfRule>
    <cfRule type="cellIs" dxfId="49" priority="63" operator="equal">
      <formula>1</formula>
    </cfRule>
    <cfRule type="cellIs" dxfId="48" priority="64" operator="equal">
      <formula>3</formula>
    </cfRule>
    <cfRule type="cellIs" dxfId="47" priority="65" operator="equal">
      <formula>2</formula>
    </cfRule>
    <cfRule type="cellIs" dxfId="46" priority="66" operator="equal">
      <formula>1</formula>
    </cfRule>
  </conditionalFormatting>
  <conditionalFormatting sqref="Q28">
    <cfRule type="expression" dxfId="45" priority="67">
      <formula>#REF!&gt;=0.2</formula>
    </cfRule>
  </conditionalFormatting>
  <conditionalFormatting sqref="P28">
    <cfRule type="expression" dxfId="44" priority="68">
      <formula>AND(SUM(#REF!)&gt;=0.2,#REF!&lt;0.2)</formula>
    </cfRule>
  </conditionalFormatting>
  <conditionalFormatting sqref="O28">
    <cfRule type="expression" dxfId="43" priority="69">
      <formula>AND(SUM(#REF!)&gt;=0.2,SUM(#REF!)&lt;0.2)</formula>
    </cfRule>
  </conditionalFormatting>
  <conditionalFormatting sqref="N28">
    <cfRule type="expression" dxfId="42" priority="70">
      <formula>AND(SUM(#REF!)&gt;=0.2,SUM(#REF!)&lt;0.2)</formula>
    </cfRule>
  </conditionalFormatting>
  <conditionalFormatting sqref="N28:Q28">
    <cfRule type="expression" dxfId="41" priority="50">
      <formula>#REF!&gt;0.8</formula>
    </cfRule>
  </conditionalFormatting>
  <conditionalFormatting sqref="R28">
    <cfRule type="containsText" dxfId="40" priority="36" operator="containsText" text="OK">
      <formula>NOT(ISERROR(SEARCH("OK",R28)))</formula>
    </cfRule>
    <cfRule type="containsText" dxfId="39" priority="37" operator="containsText" text="Erreur">
      <formula>NOT(ISERROR(SEARCH("Erreur",R28)))</formula>
    </cfRule>
  </conditionalFormatting>
  <conditionalFormatting sqref="M55:Q55">
    <cfRule type="cellIs" dxfId="38" priority="30" operator="equal">
      <formula>0</formula>
    </cfRule>
    <cfRule type="cellIs" dxfId="37" priority="32" operator="equal">
      <formula>5</formula>
    </cfRule>
    <cfRule type="cellIs" dxfId="36" priority="33" operator="equal">
      <formula>4</formula>
    </cfRule>
    <cfRule type="cellIs" dxfId="35" priority="34" operator="equal">
      <formula>2</formula>
    </cfRule>
    <cfRule type="cellIs" dxfId="34" priority="35" operator="equal">
      <formula>3</formula>
    </cfRule>
  </conditionalFormatting>
  <conditionalFormatting sqref="M55:Q55">
    <cfRule type="cellIs" dxfId="33" priority="31" operator="equal">
      <formula>1</formula>
    </cfRule>
  </conditionalFormatting>
  <conditionalFormatting sqref="E55:I55">
    <cfRule type="cellIs" dxfId="32" priority="24" operator="equal">
      <formula>0</formula>
    </cfRule>
    <cfRule type="cellIs" dxfId="31" priority="26" operator="equal">
      <formula>5</formula>
    </cfRule>
    <cfRule type="cellIs" dxfId="30" priority="27" operator="equal">
      <formula>4</formula>
    </cfRule>
    <cfRule type="cellIs" dxfId="29" priority="28" operator="equal">
      <formula>2</formula>
    </cfRule>
    <cfRule type="cellIs" dxfId="28" priority="29" operator="equal">
      <formula>3</formula>
    </cfRule>
  </conditionalFormatting>
  <conditionalFormatting sqref="E55:I55">
    <cfRule type="cellIs" dxfId="27" priority="25" operator="equal">
      <formula>1</formula>
    </cfRule>
  </conditionalFormatting>
  <conditionalFormatting sqref="G23:H24">
    <cfRule type="containsText" dxfId="26" priority="23" operator="containsText" text="N/A">
      <formula>NOT(ISERROR(SEARCH("N/A",G23)))</formula>
    </cfRule>
  </conditionalFormatting>
  <conditionalFormatting sqref="N18:N19">
    <cfRule type="expression" dxfId="25" priority="962">
      <formula>AND(#REF!+#REF!&gt;=0.2,#REF!&lt;0.2)</formula>
    </cfRule>
  </conditionalFormatting>
  <conditionalFormatting sqref="O18:Q19">
    <cfRule type="expression" dxfId="24" priority="963">
      <formula>#REF!&gt;=0.2</formula>
    </cfRule>
  </conditionalFormatting>
  <conditionalFormatting sqref="N18:Q19">
    <cfRule type="expression" dxfId="23" priority="964">
      <formula>SUM($D$26:$D$26)&gt;1</formula>
    </cfRule>
  </conditionalFormatting>
  <conditionalFormatting sqref="O15">
    <cfRule type="expression" dxfId="22" priority="971">
      <formula>AND($G$23+$H$23&gt;=0.2,$H$23&lt;0.2)</formula>
    </cfRule>
  </conditionalFormatting>
  <conditionalFormatting sqref="Q15:Q16">
    <cfRule type="expression" dxfId="21" priority="973">
      <formula>#REF!&gt;=0.2</formula>
    </cfRule>
  </conditionalFormatting>
  <conditionalFormatting sqref="P15:P16">
    <cfRule type="expression" dxfId="20" priority="974">
      <formula>AND(SUM($H$24:$H$24)&gt;=0.2,#REF!&lt;0.2)</formula>
    </cfRule>
  </conditionalFormatting>
  <conditionalFormatting sqref="O16">
    <cfRule type="expression" dxfId="19" priority="975">
      <formula>AND(SUM($G$24:$H$24)&gt;=0.2,SUM($H$24:$H$24)&lt;0.2)</formula>
    </cfRule>
  </conditionalFormatting>
  <conditionalFormatting sqref="N16">
    <cfRule type="expression" dxfId="18" priority="976">
      <formula>AND(SUM($E$24:$H$24)&gt;=0.2,SUM($G$24:$H$24)&lt;0.2)</formula>
    </cfRule>
  </conditionalFormatting>
  <conditionalFormatting sqref="E27:I27">
    <cfRule type="cellIs" dxfId="17" priority="14" operator="equal">
      <formula>0</formula>
    </cfRule>
    <cfRule type="cellIs" dxfId="16" priority="16" operator="equal">
      <formula>5</formula>
    </cfRule>
    <cfRule type="cellIs" dxfId="15" priority="17" operator="equal">
      <formula>4</formula>
    </cfRule>
    <cfRule type="cellIs" dxfId="14" priority="18" operator="equal">
      <formula>2</formula>
    </cfRule>
    <cfRule type="cellIs" dxfId="13" priority="19" operator="equal">
      <formula>3</formula>
    </cfRule>
  </conditionalFormatting>
  <conditionalFormatting sqref="E27:I27">
    <cfRule type="cellIs" dxfId="12" priority="15" operator="equal">
      <formula>1</formula>
    </cfRule>
  </conditionalFormatting>
  <conditionalFormatting sqref="M27:Q27">
    <cfRule type="cellIs" dxfId="11" priority="7" operator="equal">
      <formula>0</formula>
    </cfRule>
    <cfRule type="cellIs" dxfId="10" priority="9" operator="equal">
      <formula>5</formula>
    </cfRule>
    <cfRule type="cellIs" dxfId="9" priority="10" operator="equal">
      <formula>4</formula>
    </cfRule>
    <cfRule type="cellIs" dxfId="8" priority="11" operator="equal">
      <formula>2</formula>
    </cfRule>
    <cfRule type="cellIs" dxfId="7" priority="12" operator="equal">
      <formula>3</formula>
    </cfRule>
  </conditionalFormatting>
  <conditionalFormatting sqref="M27:Q27">
    <cfRule type="cellIs" dxfId="6" priority="8" operator="equal">
      <formula>1</formula>
    </cfRule>
  </conditionalFormatting>
  <conditionalFormatting sqref="M33:P33">
    <cfRule type="cellIs" dxfId="5" priority="1" operator="equal">
      <formula>0</formula>
    </cfRule>
    <cfRule type="cellIs" dxfId="4" priority="3" operator="equal">
      <formula>5</formula>
    </cfRule>
    <cfRule type="cellIs" dxfId="3" priority="4" operator="equal">
      <formula>4</formula>
    </cfRule>
    <cfRule type="cellIs" dxfId="2" priority="5" operator="equal">
      <formula>2</formula>
    </cfRule>
    <cfRule type="cellIs" dxfId="1" priority="6" operator="equal">
      <formula>3</formula>
    </cfRule>
  </conditionalFormatting>
  <conditionalFormatting sqref="M33:P33">
    <cfRule type="cellIs" dxfId="0" priority="2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F1EB05-F2CF-4023-A1C1-4C3AAEA2E3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45A26E-C220-47C8-AC4C-E2756A9AB9B6}">
  <ds:schemaRefs>
    <ds:schemaRef ds:uri="c9127654-6309-479f-9003-d42118ec806e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6439104-D903-401C-BFBF-C8F431595F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 1-A Relevé des sources</vt:lpstr>
      <vt:lpstr>Tableau 1-B Analyse du Contexte</vt:lpstr>
      <vt:lpstr>Tableau 1-C fact Cont</vt:lpstr>
      <vt:lpstr>Tableau 1-D-Résultats</vt:lpstr>
      <vt:lpstr>Tableau 2-A-Analyse FC</vt:lpstr>
      <vt:lpstr>Tableau 2 -B - Analy résult</vt:lpstr>
      <vt:lpstr>Tableau 3 - Synthèse &amp; Classif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ISSOUFOU BAOUA;Atsuvi GAMLI</dc:creator>
  <cp:keywords>ch</cp:keywords>
  <cp:lastModifiedBy>Idrissa DABO</cp:lastModifiedBy>
  <dcterms:created xsi:type="dcterms:W3CDTF">2018-01-25T14:45:53Z</dcterms:created>
  <dcterms:modified xsi:type="dcterms:W3CDTF">2020-02-10T09:47:23Z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