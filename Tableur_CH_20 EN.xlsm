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william.olander\Desktop\newnew\"/>
    </mc:Choice>
  </mc:AlternateContent>
  <xr:revisionPtr revIDLastSave="0" documentId="13_ncr:1_{4142FE06-175E-461D-BE82-7BB612A2F31C}" xr6:coauthVersionLast="44" xr6:coauthVersionMax="44" xr10:uidLastSave="{00000000-0000-0000-0000-000000000000}"/>
  <bookViews>
    <workbookView xWindow="20370" yWindow="-120" windowWidth="25440" windowHeight="15390" tabRatio="930" xr2:uid="{00000000-000D-0000-FFFF-FFFF00000000}"/>
  </bookViews>
  <sheets>
    <sheet name="Table 1-A Sources of evidences" sheetId="11" r:id="rId1"/>
    <sheet name="Table 1-B  Context Analysis" sheetId="4" r:id="rId2"/>
    <sheet name="Table 1-C  Cont Factors" sheetId="1" r:id="rId3"/>
    <sheet name="Table 1-D-Outcomes" sheetId="13" r:id="rId4"/>
    <sheet name="Table 2-A- FC Analysis" sheetId="5" r:id="rId5"/>
    <sheet name="Table 2 -B -Outcome Analysis " sheetId="6" r:id="rId6"/>
    <sheet name="Table 3 - Synthesis &amp; Classif" sheetId="14" r:id="rId7"/>
    <sheet name="Tableau 4 - Estimation Pop" sheetId="12"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55" i="12" l="1"/>
  <c r="H55" i="12"/>
  <c r="G55" i="12"/>
  <c r="F55" i="12"/>
  <c r="C9" i="4"/>
  <c r="C5" i="4"/>
  <c r="O12" i="1" l="1"/>
  <c r="O13" i="1"/>
  <c r="O14" i="1"/>
  <c r="O15" i="1"/>
  <c r="O16" i="1"/>
  <c r="D17" i="5" s="1"/>
  <c r="D15" i="5"/>
  <c r="D16" i="5"/>
  <c r="G14" i="14" l="1"/>
  <c r="F14" i="14"/>
  <c r="E14" i="14"/>
  <c r="D14" i="14"/>
  <c r="D39" i="14"/>
  <c r="E39" i="14"/>
  <c r="C24" i="6"/>
  <c r="V43" i="13"/>
  <c r="C74" i="6" s="1"/>
  <c r="V42" i="13"/>
  <c r="C73" i="6" s="1"/>
  <c r="V37" i="13"/>
  <c r="V38" i="13"/>
  <c r="V39" i="13"/>
  <c r="V36" i="13"/>
  <c r="V35" i="13"/>
  <c r="V31" i="13"/>
  <c r="V29" i="13"/>
  <c r="V20" i="13"/>
  <c r="V19" i="13"/>
  <c r="V18" i="13"/>
  <c r="V17" i="13"/>
  <c r="V14" i="13"/>
  <c r="O86" i="1"/>
  <c r="B156" i="5" s="1"/>
  <c r="O73" i="1"/>
  <c r="B143" i="5" s="1"/>
  <c r="O74" i="1"/>
  <c r="B144" i="5" s="1"/>
  <c r="O75" i="1"/>
  <c r="B145" i="5" s="1"/>
  <c r="O76" i="1"/>
  <c r="B146" i="5" s="1"/>
  <c r="O77" i="1"/>
  <c r="B147" i="5" s="1"/>
  <c r="O78" i="1"/>
  <c r="B148" i="5" s="1"/>
  <c r="O79" i="1"/>
  <c r="B149" i="5" s="1"/>
  <c r="O80" i="1"/>
  <c r="B150" i="5" s="1"/>
  <c r="O81" i="1"/>
  <c r="B151" i="5" s="1"/>
  <c r="O82" i="1"/>
  <c r="B152" i="5" s="1"/>
  <c r="O83" i="1"/>
  <c r="B153" i="5" s="1"/>
  <c r="O84" i="1"/>
  <c r="B154" i="5" s="1"/>
  <c r="O85" i="1"/>
  <c r="B155" i="5" s="1"/>
  <c r="O72" i="1"/>
  <c r="B142" i="5" s="1"/>
  <c r="O57" i="1"/>
  <c r="B111" i="5" s="1"/>
  <c r="O58" i="1"/>
  <c r="B112" i="5" s="1"/>
  <c r="O59" i="1"/>
  <c r="B113" i="5" s="1"/>
  <c r="O60" i="1"/>
  <c r="B114" i="5" s="1"/>
  <c r="O61" i="1"/>
  <c r="B115" i="5" s="1"/>
  <c r="O62" i="1"/>
  <c r="B116" i="5" s="1"/>
  <c r="O63" i="1"/>
  <c r="B117" i="5" s="1"/>
  <c r="O64" i="1"/>
  <c r="B118" i="5" s="1"/>
  <c r="O65" i="1"/>
  <c r="B119" i="5" s="1"/>
  <c r="O66" i="1"/>
  <c r="B120" i="5" s="1"/>
  <c r="O67" i="1"/>
  <c r="B121" i="5" s="1"/>
  <c r="O68" i="1"/>
  <c r="B122" i="5" s="1"/>
  <c r="O69" i="1"/>
  <c r="B123" i="5" s="1"/>
  <c r="O70" i="1"/>
  <c r="B124" i="5" s="1"/>
  <c r="O56" i="1"/>
  <c r="B110" i="5" s="1"/>
  <c r="O41" i="1"/>
  <c r="B79" i="5" s="1"/>
  <c r="O42" i="1"/>
  <c r="B80" i="5" s="1"/>
  <c r="O43" i="1"/>
  <c r="B81" i="5" s="1"/>
  <c r="O44" i="1"/>
  <c r="B82" i="5" s="1"/>
  <c r="O45" i="1"/>
  <c r="B83" i="5" s="1"/>
  <c r="O46" i="1"/>
  <c r="B84" i="5" s="1"/>
  <c r="O47" i="1"/>
  <c r="B85" i="5" s="1"/>
  <c r="O48" i="1"/>
  <c r="B86" i="5" s="1"/>
  <c r="O49" i="1"/>
  <c r="B87" i="5" s="1"/>
  <c r="O50" i="1"/>
  <c r="B88" i="5" s="1"/>
  <c r="O51" i="1"/>
  <c r="B89" i="5" s="1"/>
  <c r="O52" i="1"/>
  <c r="B90" i="5" s="1"/>
  <c r="O53" i="1"/>
  <c r="B91" i="5" s="1"/>
  <c r="O54" i="1"/>
  <c r="B92" i="5" s="1"/>
  <c r="O40" i="1"/>
  <c r="B78" i="5" s="1"/>
  <c r="O25" i="1"/>
  <c r="B46" i="5" s="1"/>
  <c r="O26" i="1"/>
  <c r="B47" i="5" s="1"/>
  <c r="O27" i="1"/>
  <c r="B48" i="5" s="1"/>
  <c r="O28" i="1"/>
  <c r="B49" i="5" s="1"/>
  <c r="O29" i="1"/>
  <c r="B50" i="5" s="1"/>
  <c r="O30" i="1"/>
  <c r="B51" i="5" s="1"/>
  <c r="O31" i="1"/>
  <c r="B52" i="5" s="1"/>
  <c r="O32" i="1"/>
  <c r="B53" i="5" s="1"/>
  <c r="O33" i="1"/>
  <c r="B54" i="5" s="1"/>
  <c r="O34" i="1"/>
  <c r="B55" i="5" s="1"/>
  <c r="O35" i="1"/>
  <c r="B56" i="5" s="1"/>
  <c r="O36" i="1"/>
  <c r="B57" i="5" s="1"/>
  <c r="O37" i="1"/>
  <c r="B58" i="5" s="1"/>
  <c r="O38" i="1"/>
  <c r="B59" i="5" s="1"/>
  <c r="O24" i="1"/>
  <c r="B45" i="5" s="1"/>
  <c r="O19" i="1"/>
  <c r="D22" i="5" s="1"/>
  <c r="O20" i="1"/>
  <c r="D23" i="5" s="1"/>
  <c r="O21" i="1"/>
  <c r="D24" i="5" s="1"/>
  <c r="O22" i="1"/>
  <c r="D25" i="5" s="1"/>
  <c r="O18" i="1"/>
  <c r="D21" i="5" s="1"/>
  <c r="D14" i="5"/>
  <c r="D13" i="5"/>
  <c r="C58" i="6"/>
  <c r="C54" i="6" l="1"/>
  <c r="J39" i="6"/>
  <c r="I39" i="6"/>
  <c r="H39" i="6"/>
  <c r="G39" i="6"/>
  <c r="Q22" i="6"/>
  <c r="P22" i="6"/>
  <c r="O22" i="6"/>
  <c r="N22" i="6"/>
  <c r="Q21" i="6"/>
  <c r="P21" i="6"/>
  <c r="O21" i="6"/>
  <c r="N21" i="6"/>
  <c r="Q20" i="6"/>
  <c r="P20" i="6"/>
  <c r="O20" i="6"/>
  <c r="N20" i="6"/>
  <c r="Q19" i="6"/>
  <c r="P19" i="6"/>
  <c r="O19" i="6"/>
  <c r="N19" i="6"/>
  <c r="F22" i="6"/>
  <c r="E22" i="6"/>
  <c r="D22" i="6"/>
  <c r="C22" i="6"/>
  <c r="F21" i="6"/>
  <c r="E21" i="6"/>
  <c r="D21" i="6"/>
  <c r="C21" i="6"/>
  <c r="F20" i="6"/>
  <c r="E20" i="6"/>
  <c r="D20" i="6"/>
  <c r="C20" i="6"/>
  <c r="F19" i="6"/>
  <c r="E19" i="6"/>
  <c r="D19" i="6"/>
  <c r="C19" i="6"/>
  <c r="I17" i="6"/>
  <c r="H17" i="6"/>
  <c r="G17" i="6"/>
  <c r="K16" i="6"/>
  <c r="J16" i="6"/>
  <c r="I16" i="6"/>
  <c r="H16" i="6"/>
  <c r="G16" i="6"/>
  <c r="K15" i="6"/>
  <c r="J15" i="6"/>
  <c r="I15" i="6"/>
  <c r="H15" i="6"/>
  <c r="G15" i="6"/>
  <c r="J14" i="6"/>
  <c r="I14" i="6"/>
  <c r="G14" i="6"/>
  <c r="E27" i="12" l="1"/>
  <c r="F27" i="12"/>
  <c r="G27" i="12"/>
  <c r="H27" i="12"/>
  <c r="I27" i="12"/>
  <c r="AL43" i="14" l="1"/>
  <c r="AK43" i="14"/>
  <c r="AJ43" i="14"/>
  <c r="AI43" i="14"/>
  <c r="AH43" i="14"/>
  <c r="AG43" i="14"/>
  <c r="AF43" i="14"/>
  <c r="AE43" i="14"/>
  <c r="AD43" i="14"/>
  <c r="AC43" i="14"/>
  <c r="AB43" i="14"/>
  <c r="AA43" i="14"/>
  <c r="Z43" i="14"/>
  <c r="Y43" i="14"/>
  <c r="X43" i="14"/>
  <c r="W43" i="14"/>
  <c r="V43" i="14"/>
  <c r="U43" i="14"/>
  <c r="T43" i="14"/>
  <c r="S43" i="14"/>
  <c r="R43" i="14"/>
  <c r="Q43" i="14"/>
  <c r="P43" i="14"/>
  <c r="O43" i="14"/>
  <c r="N43" i="14"/>
  <c r="M43" i="14"/>
  <c r="L43" i="14"/>
  <c r="K43" i="14"/>
  <c r="J43" i="14"/>
  <c r="I43" i="14"/>
  <c r="AL42" i="14"/>
  <c r="AK42" i="14"/>
  <c r="AJ42" i="14"/>
  <c r="AI42" i="14"/>
  <c r="AH42" i="14"/>
  <c r="AG42" i="14"/>
  <c r="AF42" i="14"/>
  <c r="AE42" i="14"/>
  <c r="AD42" i="14"/>
  <c r="AC42" i="14"/>
  <c r="AB42" i="14"/>
  <c r="AA42" i="14"/>
  <c r="Z42" i="14"/>
  <c r="Y42" i="14"/>
  <c r="X42" i="14"/>
  <c r="W42" i="14"/>
  <c r="V42" i="14"/>
  <c r="U42" i="14"/>
  <c r="T42" i="14"/>
  <c r="S42" i="14"/>
  <c r="R42" i="14"/>
  <c r="Q42" i="14"/>
  <c r="P42" i="14"/>
  <c r="O42" i="14"/>
  <c r="N42" i="14"/>
  <c r="M42" i="14"/>
  <c r="L42" i="14"/>
  <c r="K42" i="14"/>
  <c r="J42" i="14"/>
  <c r="I42" i="14"/>
  <c r="V77" i="6" l="1"/>
  <c r="T77" i="6"/>
  <c r="R77" i="6"/>
  <c r="P77" i="6"/>
  <c r="N77" i="6"/>
  <c r="V61" i="6"/>
  <c r="T61" i="6"/>
  <c r="R61" i="6"/>
  <c r="P61" i="6"/>
  <c r="N61" i="6"/>
  <c r="V42" i="6"/>
  <c r="T42" i="6"/>
  <c r="R42" i="6"/>
  <c r="P42" i="6"/>
  <c r="N42" i="6"/>
  <c r="V27" i="6"/>
  <c r="T27" i="6"/>
  <c r="R27" i="6"/>
  <c r="P27" i="6"/>
  <c r="N27" i="6"/>
  <c r="K27" i="6"/>
  <c r="I27" i="6"/>
  <c r="G27" i="6"/>
  <c r="E27" i="6"/>
  <c r="C27" i="6"/>
  <c r="K42" i="6"/>
  <c r="I42" i="6"/>
  <c r="G42" i="6"/>
  <c r="E42" i="6"/>
  <c r="C42" i="6"/>
  <c r="K61" i="6"/>
  <c r="I61" i="6"/>
  <c r="G61" i="6"/>
  <c r="E61" i="6"/>
  <c r="C61" i="6"/>
  <c r="K77" i="6"/>
  <c r="I77" i="6"/>
  <c r="G77" i="6"/>
  <c r="E77" i="6"/>
  <c r="C77" i="6"/>
  <c r="D69" i="12" l="1"/>
  <c r="D5" i="12" l="1"/>
  <c r="D4" i="12"/>
  <c r="C34" i="14"/>
  <c r="C32" i="14"/>
  <c r="C31" i="14"/>
  <c r="C8" i="14"/>
  <c r="C6" i="14"/>
  <c r="C5" i="14"/>
  <c r="C6" i="6"/>
  <c r="C5" i="6"/>
  <c r="D6" i="5"/>
  <c r="D5" i="5"/>
  <c r="D6" i="13"/>
  <c r="D5" i="13"/>
  <c r="D5" i="1"/>
  <c r="D6" i="1"/>
  <c r="D3" i="12"/>
  <c r="D62" i="12" l="1"/>
  <c r="D8" i="1"/>
  <c r="D8" i="5"/>
  <c r="D8" i="13"/>
  <c r="C7" i="14"/>
  <c r="C33" i="14"/>
  <c r="D6" i="12"/>
  <c r="C7" i="6"/>
  <c r="D4" i="1"/>
  <c r="D4" i="13"/>
  <c r="D4" i="5"/>
  <c r="C4" i="6"/>
  <c r="C4" i="14"/>
  <c r="C30" i="14"/>
  <c r="D61" i="12"/>
  <c r="E69" i="12"/>
  <c r="O33" i="12"/>
  <c r="P33" i="12"/>
  <c r="N33" i="12"/>
  <c r="M33" i="12"/>
  <c r="O27" i="12"/>
  <c r="P27" i="12"/>
  <c r="Q27" i="12"/>
  <c r="P24" i="12"/>
  <c r="O24" i="12"/>
  <c r="G24" i="12"/>
  <c r="H24" i="12"/>
  <c r="P23" i="12"/>
  <c r="O23" i="12"/>
  <c r="H23" i="12"/>
  <c r="G23" i="12"/>
  <c r="P22" i="12"/>
  <c r="O22" i="12"/>
  <c r="H22" i="12"/>
  <c r="G22" i="12"/>
  <c r="P21" i="12"/>
  <c r="O21" i="12"/>
  <c r="N24" i="12"/>
  <c r="F24" i="12"/>
  <c r="N23" i="12"/>
  <c r="F23" i="12"/>
  <c r="N22" i="12"/>
  <c r="F22" i="12"/>
  <c r="N21" i="12"/>
  <c r="F21" i="12"/>
  <c r="N27" i="12" l="1"/>
  <c r="O55" i="12" l="1"/>
  <c r="E55" i="12"/>
  <c r="M27" i="12" l="1"/>
  <c r="N47" i="12" l="1"/>
  <c r="M42" i="12"/>
  <c r="Q42" i="12"/>
  <c r="F39" i="14"/>
  <c r="G39" i="14"/>
  <c r="F13" i="1"/>
  <c r="F14" i="1"/>
  <c r="F15" i="1"/>
  <c r="D14" i="1"/>
  <c r="O47" i="12"/>
  <c r="P47" i="12"/>
  <c r="Q47" i="12"/>
  <c r="M47" i="12"/>
  <c r="O42" i="12"/>
  <c r="P42" i="12"/>
  <c r="N42" i="12"/>
  <c r="Q55" i="12"/>
  <c r="P55" i="12"/>
  <c r="N55" i="12"/>
  <c r="M55" i="12"/>
  <c r="V69" i="12"/>
  <c r="U69" i="12"/>
  <c r="T69" i="12"/>
  <c r="Y69" i="12" s="1"/>
  <c r="Y70" i="12" s="1"/>
  <c r="S69" i="12"/>
  <c r="M56" i="12"/>
  <c r="R56" i="12" s="1"/>
  <c r="Q69" i="12"/>
  <c r="M28" i="12"/>
  <c r="R28" i="12" s="1"/>
  <c r="E28" i="12"/>
  <c r="Q39" i="12"/>
  <c r="M39" i="12"/>
  <c r="E56" i="12"/>
  <c r="J55" i="12" s="1"/>
  <c r="I48" i="12"/>
  <c r="H48" i="12"/>
  <c r="E48" i="12"/>
  <c r="I47" i="12"/>
  <c r="F47" i="12"/>
  <c r="I42" i="12"/>
  <c r="H42" i="12"/>
  <c r="G42" i="12"/>
  <c r="E42" i="12"/>
  <c r="I40" i="12"/>
  <c r="F40" i="12"/>
  <c r="E40" i="12"/>
  <c r="I39" i="12"/>
  <c r="G39" i="12"/>
  <c r="F39" i="12"/>
  <c r="E39" i="12"/>
  <c r="F38" i="12"/>
  <c r="E38" i="12"/>
  <c r="J82" i="1"/>
  <c r="I82" i="1"/>
  <c r="F82" i="1"/>
  <c r="D82" i="1"/>
  <c r="C82" i="1"/>
  <c r="J81" i="1"/>
  <c r="I81" i="1"/>
  <c r="F81" i="1"/>
  <c r="D81" i="1"/>
  <c r="C81" i="1"/>
  <c r="J80" i="1"/>
  <c r="I80" i="1"/>
  <c r="F80" i="1"/>
  <c r="D80" i="1"/>
  <c r="C80" i="1"/>
  <c r="J79" i="1"/>
  <c r="I79" i="1"/>
  <c r="F79" i="1"/>
  <c r="D79" i="1"/>
  <c r="C79" i="1"/>
  <c r="J78" i="1"/>
  <c r="I78" i="1"/>
  <c r="F78" i="1"/>
  <c r="D78" i="1"/>
  <c r="C78" i="1"/>
  <c r="J66" i="1"/>
  <c r="I66" i="1"/>
  <c r="F66" i="1"/>
  <c r="D66" i="1"/>
  <c r="C66" i="1"/>
  <c r="J65" i="1"/>
  <c r="I65" i="1"/>
  <c r="F65" i="1"/>
  <c r="D65" i="1"/>
  <c r="C65" i="1"/>
  <c r="J64" i="1"/>
  <c r="I64" i="1"/>
  <c r="F64" i="1"/>
  <c r="D64" i="1"/>
  <c r="C64" i="1"/>
  <c r="J63" i="1"/>
  <c r="I63" i="1"/>
  <c r="F63" i="1"/>
  <c r="D63" i="1"/>
  <c r="C63" i="1"/>
  <c r="J62" i="1"/>
  <c r="I62" i="1"/>
  <c r="F62" i="1"/>
  <c r="D62" i="1"/>
  <c r="C62" i="1"/>
  <c r="J50" i="1"/>
  <c r="I50" i="1"/>
  <c r="F50" i="1"/>
  <c r="D50" i="1"/>
  <c r="C50" i="1"/>
  <c r="J49" i="1"/>
  <c r="I49" i="1"/>
  <c r="F49" i="1"/>
  <c r="D49" i="1"/>
  <c r="C49" i="1"/>
  <c r="J48" i="1"/>
  <c r="I48" i="1"/>
  <c r="F48" i="1"/>
  <c r="D48" i="1"/>
  <c r="C48" i="1"/>
  <c r="J47" i="1"/>
  <c r="I47" i="1"/>
  <c r="F47" i="1"/>
  <c r="D47" i="1"/>
  <c r="C47" i="1"/>
  <c r="J46" i="1"/>
  <c r="I46" i="1"/>
  <c r="F46" i="1"/>
  <c r="D46" i="1"/>
  <c r="C46" i="1"/>
  <c r="J29" i="1"/>
  <c r="I29" i="1"/>
  <c r="F29" i="1"/>
  <c r="D29" i="1"/>
  <c r="C29" i="1"/>
  <c r="J28" i="1"/>
  <c r="I28" i="1"/>
  <c r="F28" i="1"/>
  <c r="D28" i="1"/>
  <c r="C28" i="1"/>
  <c r="J27" i="1"/>
  <c r="I27" i="1"/>
  <c r="F27" i="1"/>
  <c r="D27" i="1"/>
  <c r="C27" i="1"/>
  <c r="J26" i="1"/>
  <c r="I26" i="1"/>
  <c r="F26" i="1"/>
  <c r="D26" i="1"/>
  <c r="C26" i="1"/>
  <c r="J25" i="1"/>
  <c r="I25" i="1"/>
  <c r="F25" i="1"/>
  <c r="D25" i="1"/>
  <c r="C25" i="1"/>
  <c r="M15" i="13"/>
  <c r="M32" i="13"/>
  <c r="M18" i="13"/>
  <c r="M19" i="13"/>
  <c r="M17" i="13"/>
  <c r="K36" i="13"/>
  <c r="J36" i="13"/>
  <c r="G36" i="13"/>
  <c r="E36" i="13"/>
  <c r="C36" i="13"/>
  <c r="K43" i="13"/>
  <c r="K42" i="13"/>
  <c r="J43" i="13"/>
  <c r="J42" i="13"/>
  <c r="G43" i="13"/>
  <c r="G42" i="13"/>
  <c r="E43" i="13"/>
  <c r="E42" i="13"/>
  <c r="C43" i="13"/>
  <c r="C42" i="13"/>
  <c r="K37" i="13"/>
  <c r="K38" i="13"/>
  <c r="K39" i="13"/>
  <c r="J37" i="13"/>
  <c r="J38" i="13"/>
  <c r="J39" i="13"/>
  <c r="K35" i="13"/>
  <c r="J35" i="13"/>
  <c r="G37" i="13"/>
  <c r="G38" i="13"/>
  <c r="G39" i="13"/>
  <c r="E37" i="13"/>
  <c r="E38" i="13"/>
  <c r="E39" i="13"/>
  <c r="G35" i="13"/>
  <c r="E35" i="13"/>
  <c r="C37" i="13"/>
  <c r="C38" i="13"/>
  <c r="C39" i="13"/>
  <c r="C35" i="13"/>
  <c r="K31" i="13"/>
  <c r="J31" i="13"/>
  <c r="G31" i="13"/>
  <c r="E31" i="13"/>
  <c r="C31" i="13"/>
  <c r="K29" i="13"/>
  <c r="K20" i="13"/>
  <c r="K18" i="13"/>
  <c r="K19" i="13"/>
  <c r="K17" i="13"/>
  <c r="K14" i="13"/>
  <c r="J29" i="13"/>
  <c r="J20" i="13"/>
  <c r="J18" i="13"/>
  <c r="J19" i="13"/>
  <c r="J17" i="13"/>
  <c r="J14" i="13"/>
  <c r="G29" i="13"/>
  <c r="G20" i="13"/>
  <c r="G19" i="13"/>
  <c r="G18" i="13"/>
  <c r="G17" i="13"/>
  <c r="G14" i="13"/>
  <c r="E29" i="13"/>
  <c r="E20" i="13"/>
  <c r="E19" i="13"/>
  <c r="E18" i="13"/>
  <c r="E17" i="13"/>
  <c r="E14" i="13"/>
  <c r="C29" i="13"/>
  <c r="C20" i="13"/>
  <c r="C18" i="13"/>
  <c r="C19" i="13"/>
  <c r="C17" i="13"/>
  <c r="C14" i="13"/>
  <c r="J13" i="1"/>
  <c r="J14" i="1"/>
  <c r="J15" i="1"/>
  <c r="J16" i="1"/>
  <c r="J12" i="1"/>
  <c r="I13" i="1"/>
  <c r="I14" i="1"/>
  <c r="I15" i="1"/>
  <c r="I16" i="1"/>
  <c r="I12" i="1"/>
  <c r="F16" i="1"/>
  <c r="F12" i="1"/>
  <c r="D13" i="1"/>
  <c r="D15" i="1"/>
  <c r="D16" i="1"/>
  <c r="D12" i="1"/>
  <c r="J19" i="1"/>
  <c r="J20" i="1"/>
  <c r="J21" i="1"/>
  <c r="J22" i="1"/>
  <c r="J18" i="1"/>
  <c r="I19" i="1"/>
  <c r="I20" i="1"/>
  <c r="I21" i="1"/>
  <c r="I22" i="1"/>
  <c r="I18" i="1"/>
  <c r="F19" i="1"/>
  <c r="F20" i="1"/>
  <c r="F21" i="1"/>
  <c r="F22" i="1"/>
  <c r="F18" i="1"/>
  <c r="D19" i="1"/>
  <c r="D20" i="1"/>
  <c r="D21" i="1"/>
  <c r="D22" i="1"/>
  <c r="D18" i="1"/>
  <c r="C19" i="1"/>
  <c r="C20" i="1"/>
  <c r="C21" i="1"/>
  <c r="C22" i="1"/>
  <c r="C18" i="1"/>
  <c r="J30" i="1"/>
  <c r="J31" i="1"/>
  <c r="J32" i="1"/>
  <c r="J33" i="1"/>
  <c r="J34" i="1"/>
  <c r="J35" i="1"/>
  <c r="J36" i="1"/>
  <c r="J37" i="1"/>
  <c r="J38" i="1"/>
  <c r="J24" i="1"/>
  <c r="I30" i="1"/>
  <c r="I31" i="1"/>
  <c r="I32" i="1"/>
  <c r="I33" i="1"/>
  <c r="I34" i="1"/>
  <c r="I35" i="1"/>
  <c r="I36" i="1"/>
  <c r="I37" i="1"/>
  <c r="I38" i="1"/>
  <c r="I24" i="1"/>
  <c r="F30" i="1"/>
  <c r="F31" i="1"/>
  <c r="F32" i="1"/>
  <c r="F33" i="1"/>
  <c r="F34" i="1"/>
  <c r="F35" i="1"/>
  <c r="F36" i="1"/>
  <c r="F37" i="1"/>
  <c r="F38" i="1"/>
  <c r="F24" i="1"/>
  <c r="D30" i="1"/>
  <c r="D31" i="1"/>
  <c r="D32" i="1"/>
  <c r="D33" i="1"/>
  <c r="D34" i="1"/>
  <c r="D35" i="1"/>
  <c r="D36" i="1"/>
  <c r="D37" i="1"/>
  <c r="D38" i="1"/>
  <c r="D24" i="1"/>
  <c r="C30" i="1"/>
  <c r="C31" i="1"/>
  <c r="C32" i="1"/>
  <c r="C33" i="1"/>
  <c r="C34" i="1"/>
  <c r="C35" i="1"/>
  <c r="C36" i="1"/>
  <c r="C37" i="1"/>
  <c r="C38" i="1"/>
  <c r="C24" i="1"/>
  <c r="J41" i="1"/>
  <c r="J42" i="1"/>
  <c r="J43" i="1"/>
  <c r="J44" i="1"/>
  <c r="J45" i="1"/>
  <c r="J51" i="1"/>
  <c r="J52" i="1"/>
  <c r="J53" i="1"/>
  <c r="J54" i="1"/>
  <c r="J40" i="1"/>
  <c r="I41" i="1"/>
  <c r="I42" i="1"/>
  <c r="I43" i="1"/>
  <c r="I44" i="1"/>
  <c r="I45" i="1"/>
  <c r="I51" i="1"/>
  <c r="I52" i="1"/>
  <c r="I53" i="1"/>
  <c r="I54" i="1"/>
  <c r="I40" i="1"/>
  <c r="F41" i="1"/>
  <c r="F42" i="1"/>
  <c r="F43" i="1"/>
  <c r="F44" i="1"/>
  <c r="F45" i="1"/>
  <c r="F51" i="1"/>
  <c r="F52" i="1"/>
  <c r="F53" i="1"/>
  <c r="F54" i="1"/>
  <c r="F40" i="1"/>
  <c r="D41" i="1"/>
  <c r="D42" i="1"/>
  <c r="D43" i="1"/>
  <c r="D44" i="1"/>
  <c r="D45" i="1"/>
  <c r="D51" i="1"/>
  <c r="D52" i="1"/>
  <c r="D53" i="1"/>
  <c r="D54" i="1"/>
  <c r="D40" i="1"/>
  <c r="C41" i="1"/>
  <c r="C42" i="1"/>
  <c r="C43" i="1"/>
  <c r="C44" i="1"/>
  <c r="C45" i="1"/>
  <c r="C51" i="1"/>
  <c r="C52" i="1"/>
  <c r="C53" i="1"/>
  <c r="C54" i="1"/>
  <c r="C40" i="1"/>
  <c r="J57" i="1"/>
  <c r="J58" i="1"/>
  <c r="J59" i="1"/>
  <c r="J60" i="1"/>
  <c r="J61" i="1"/>
  <c r="J67" i="1"/>
  <c r="J68" i="1"/>
  <c r="J69" i="1"/>
  <c r="J70" i="1"/>
  <c r="J56" i="1"/>
  <c r="I57" i="1"/>
  <c r="I58" i="1"/>
  <c r="I59" i="1"/>
  <c r="I60" i="1"/>
  <c r="I61" i="1"/>
  <c r="I67" i="1"/>
  <c r="I68" i="1"/>
  <c r="I69" i="1"/>
  <c r="I70" i="1"/>
  <c r="I56" i="1"/>
  <c r="F57" i="1"/>
  <c r="F58" i="1"/>
  <c r="F59" i="1"/>
  <c r="F60" i="1"/>
  <c r="F61" i="1"/>
  <c r="F67" i="1"/>
  <c r="F68" i="1"/>
  <c r="F69" i="1"/>
  <c r="F70" i="1"/>
  <c r="F56" i="1"/>
  <c r="D57" i="1"/>
  <c r="D58" i="1"/>
  <c r="D59" i="1"/>
  <c r="D60" i="1"/>
  <c r="D61" i="1"/>
  <c r="D67" i="1"/>
  <c r="D68" i="1"/>
  <c r="D69" i="1"/>
  <c r="D70" i="1"/>
  <c r="D56" i="1"/>
  <c r="C57" i="1"/>
  <c r="C58" i="1"/>
  <c r="C59" i="1"/>
  <c r="C60" i="1"/>
  <c r="C61" i="1"/>
  <c r="C67" i="1"/>
  <c r="C68" i="1"/>
  <c r="C69" i="1"/>
  <c r="C70" i="1"/>
  <c r="C56" i="1"/>
  <c r="J73" i="1"/>
  <c r="J74" i="1"/>
  <c r="J75" i="1"/>
  <c r="J76" i="1"/>
  <c r="J77" i="1"/>
  <c r="J83" i="1"/>
  <c r="J84" i="1"/>
  <c r="J85" i="1"/>
  <c r="J86" i="1"/>
  <c r="J72" i="1"/>
  <c r="I73" i="1"/>
  <c r="I74" i="1"/>
  <c r="I75" i="1"/>
  <c r="I76" i="1"/>
  <c r="I77" i="1"/>
  <c r="I83" i="1"/>
  <c r="I84" i="1"/>
  <c r="I85" i="1"/>
  <c r="I86" i="1"/>
  <c r="I72" i="1"/>
  <c r="F73" i="1"/>
  <c r="F74" i="1"/>
  <c r="F75" i="1"/>
  <c r="F76" i="1"/>
  <c r="F77" i="1"/>
  <c r="F83" i="1"/>
  <c r="F84" i="1"/>
  <c r="F85" i="1"/>
  <c r="F86" i="1"/>
  <c r="F72" i="1"/>
  <c r="D73" i="1"/>
  <c r="D74" i="1"/>
  <c r="D75" i="1"/>
  <c r="D76" i="1"/>
  <c r="D77" i="1"/>
  <c r="D83" i="1"/>
  <c r="D84" i="1"/>
  <c r="D85" i="1"/>
  <c r="D86" i="1"/>
  <c r="D72" i="1"/>
  <c r="C73" i="1"/>
  <c r="C74" i="1"/>
  <c r="C75" i="1"/>
  <c r="C76" i="1"/>
  <c r="C77" i="1"/>
  <c r="C83" i="1"/>
  <c r="C84" i="1"/>
  <c r="C85" i="1"/>
  <c r="C72" i="1"/>
  <c r="C13" i="1"/>
  <c r="C14" i="1"/>
  <c r="C15" i="1"/>
  <c r="C16" i="1"/>
  <c r="C12" i="1"/>
  <c r="B14" i="14"/>
  <c r="B39" i="14" s="1"/>
  <c r="A14" i="14"/>
  <c r="A39" i="14" s="1"/>
  <c r="B69" i="12"/>
  <c r="A69" i="12"/>
  <c r="C14" i="14"/>
  <c r="C39" i="14" s="1"/>
  <c r="N39" i="12"/>
  <c r="G48" i="12"/>
  <c r="G47" i="12"/>
  <c r="H47" i="12"/>
  <c r="F42" i="12"/>
  <c r="H40" i="12"/>
  <c r="H38" i="12"/>
  <c r="G38" i="12"/>
  <c r="F16" i="12"/>
  <c r="E15" i="12"/>
  <c r="G33" i="12"/>
  <c r="O24" i="6"/>
  <c r="H17" i="12"/>
  <c r="G18" i="12"/>
  <c r="C86" i="1"/>
  <c r="H15" i="12"/>
  <c r="J69" i="12"/>
  <c r="I69" i="12"/>
  <c r="H69" i="12"/>
  <c r="G69" i="12"/>
  <c r="AK18" i="14" l="1"/>
  <c r="AI18" i="14"/>
  <c r="AD18" i="14"/>
  <c r="Y18" i="14"/>
  <c r="W18" i="14"/>
  <c r="R18" i="14"/>
  <c r="L18" i="14"/>
  <c r="J18" i="14"/>
  <c r="AE18" i="14"/>
  <c r="X18" i="14"/>
  <c r="T18" i="14"/>
  <c r="AF18" i="14"/>
  <c r="AA18" i="14"/>
  <c r="Q18" i="14"/>
  <c r="I18" i="14"/>
  <c r="AL18" i="14"/>
  <c r="AG18" i="14"/>
  <c r="AB18" i="14"/>
  <c r="Z18" i="14"/>
  <c r="U18" i="14"/>
  <c r="S18" i="14"/>
  <c r="M18" i="14"/>
  <c r="K18" i="14"/>
  <c r="AJ18" i="14"/>
  <c r="AC18" i="14"/>
  <c r="P18" i="14"/>
  <c r="N18" i="14"/>
  <c r="AH18" i="14"/>
  <c r="V18" i="14"/>
  <c r="O18" i="14"/>
  <c r="AK17" i="14"/>
  <c r="AE17" i="14"/>
  <c r="Y17" i="14"/>
  <c r="AD17" i="14"/>
  <c r="Z17" i="14"/>
  <c r="AH17" i="14"/>
  <c r="AB17" i="14"/>
  <c r="V17" i="14"/>
  <c r="AL17" i="14"/>
  <c r="AJ17" i="14"/>
  <c r="AF17" i="14"/>
  <c r="X17" i="14"/>
  <c r="AI17" i="14"/>
  <c r="AC17" i="14"/>
  <c r="AA17" i="14"/>
  <c r="W17" i="14"/>
  <c r="U17" i="14"/>
  <c r="AG17" i="14"/>
  <c r="G40" i="12"/>
  <c r="C56" i="6"/>
  <c r="P39" i="12"/>
  <c r="N56" i="6"/>
  <c r="H39" i="12"/>
  <c r="C55" i="6"/>
  <c r="AK15" i="14"/>
  <c r="AJ15" i="14"/>
  <c r="AC15" i="14"/>
  <c r="Y15" i="14"/>
  <c r="W15" i="14"/>
  <c r="P15" i="14"/>
  <c r="T15" i="14"/>
  <c r="AL15" i="14"/>
  <c r="AH15" i="14"/>
  <c r="AG15" i="14"/>
  <c r="Z15" i="14"/>
  <c r="Q15" i="14"/>
  <c r="O15" i="14"/>
  <c r="L15" i="14"/>
  <c r="AI15" i="14"/>
  <c r="AD15" i="14"/>
  <c r="M15" i="14"/>
  <c r="AF15" i="14"/>
  <c r="AA15" i="14"/>
  <c r="S15" i="14"/>
  <c r="U15" i="14"/>
  <c r="AE15" i="14"/>
  <c r="X15" i="14"/>
  <c r="R15" i="14"/>
  <c r="AB15" i="14"/>
  <c r="V15" i="14"/>
  <c r="N15" i="14"/>
  <c r="AL40" i="14"/>
  <c r="AH40" i="14"/>
  <c r="AD40" i="14"/>
  <c r="Z40" i="14"/>
  <c r="V40" i="14"/>
  <c r="R40" i="14"/>
  <c r="N40" i="14"/>
  <c r="J40" i="14"/>
  <c r="X40" i="14"/>
  <c r="L40" i="14"/>
  <c r="AE40" i="14"/>
  <c r="W40" i="14"/>
  <c r="S40" i="14"/>
  <c r="K40" i="14"/>
  <c r="AK40" i="14"/>
  <c r="AG40" i="14"/>
  <c r="AC40" i="14"/>
  <c r="Y40" i="14"/>
  <c r="U40" i="14"/>
  <c r="Q40" i="14"/>
  <c r="M40" i="14"/>
  <c r="I40" i="14"/>
  <c r="AJ40" i="14"/>
  <c r="AF40" i="14"/>
  <c r="AB40" i="14"/>
  <c r="T40" i="14"/>
  <c r="P40" i="14"/>
  <c r="AI40" i="14"/>
  <c r="AA40" i="14"/>
  <c r="O40" i="14"/>
  <c r="AL41" i="14"/>
  <c r="AH41" i="14"/>
  <c r="AD41" i="14"/>
  <c r="Z41" i="14"/>
  <c r="V41" i="14"/>
  <c r="R41" i="14"/>
  <c r="N41" i="14"/>
  <c r="J41" i="14"/>
  <c r="AJ41" i="14"/>
  <c r="X41" i="14"/>
  <c r="P41" i="14"/>
  <c r="AI41" i="14"/>
  <c r="W41" i="14"/>
  <c r="O41" i="14"/>
  <c r="AK41" i="14"/>
  <c r="AG41" i="14"/>
  <c r="AC41" i="14"/>
  <c r="Y41" i="14"/>
  <c r="U41" i="14"/>
  <c r="Q41" i="14"/>
  <c r="M41" i="14"/>
  <c r="I41" i="14"/>
  <c r="AF41" i="14"/>
  <c r="AB41" i="14"/>
  <c r="T41" i="14"/>
  <c r="L41" i="14"/>
  <c r="AE41" i="14"/>
  <c r="AA41" i="14"/>
  <c r="S41" i="14"/>
  <c r="K41" i="14"/>
  <c r="Z16" i="14"/>
  <c r="V16" i="14"/>
  <c r="U16" i="14"/>
  <c r="S16" i="14"/>
  <c r="L16" i="14"/>
  <c r="Q16" i="14"/>
  <c r="K16" i="14"/>
  <c r="Y16" i="14"/>
  <c r="R16" i="14"/>
  <c r="AK16" i="14"/>
  <c r="AJ16" i="14"/>
  <c r="AH16" i="14"/>
  <c r="AG16" i="14"/>
  <c r="AE16" i="14"/>
  <c r="AD16" i="14"/>
  <c r="AB16" i="14"/>
  <c r="AA16" i="14"/>
  <c r="W16" i="14"/>
  <c r="P16" i="14"/>
  <c r="T16" i="14"/>
  <c r="M16" i="14"/>
  <c r="J16" i="14"/>
  <c r="AL16" i="14"/>
  <c r="AI16" i="14"/>
  <c r="AF16" i="14"/>
  <c r="AC16" i="14"/>
  <c r="O16" i="14"/>
  <c r="N16" i="14"/>
  <c r="X16" i="14"/>
  <c r="I16" i="14"/>
  <c r="R17" i="14"/>
  <c r="M17" i="14"/>
  <c r="K17" i="14"/>
  <c r="T17" i="14"/>
  <c r="L17" i="14"/>
  <c r="J17" i="14"/>
  <c r="S17" i="14"/>
  <c r="N17" i="14"/>
  <c r="I17" i="14"/>
  <c r="Q17" i="14"/>
  <c r="P17" i="14"/>
  <c r="O17" i="14"/>
  <c r="K15" i="14"/>
  <c r="J15" i="14"/>
  <c r="I15" i="14"/>
  <c r="O39" i="12"/>
  <c r="I38" i="12"/>
  <c r="E47" i="12"/>
  <c r="F48" i="12"/>
  <c r="E17" i="12"/>
  <c r="G15" i="12"/>
  <c r="I16" i="12"/>
  <c r="G17" i="12"/>
  <c r="H16" i="12"/>
  <c r="F17" i="12"/>
  <c r="E18" i="12"/>
  <c r="F33" i="12"/>
  <c r="R69" i="12"/>
  <c r="W69" i="12" s="1"/>
  <c r="W70" i="12" s="1"/>
  <c r="F69" i="12"/>
  <c r="K69" i="12" s="1"/>
  <c r="K70" i="12" s="1"/>
  <c r="M69" i="12"/>
  <c r="M70" i="12" s="1"/>
  <c r="E21" i="12"/>
  <c r="M24" i="12"/>
  <c r="G16" i="12"/>
  <c r="I17" i="12"/>
  <c r="F18" i="12"/>
  <c r="G21" i="12"/>
  <c r="E23" i="12"/>
  <c r="M23" i="12"/>
  <c r="H33" i="12"/>
  <c r="M21" i="12"/>
  <c r="H21" i="12"/>
  <c r="E24" i="12"/>
  <c r="E33" i="12"/>
  <c r="Z69" i="12"/>
  <c r="Z70" i="12" s="1"/>
  <c r="E16" i="12"/>
  <c r="E22" i="12"/>
  <c r="M22" i="12"/>
  <c r="N69" i="12"/>
  <c r="N70" i="12" s="1"/>
  <c r="D70" i="12"/>
  <c r="AA69" i="12"/>
  <c r="AA70" i="12" s="1"/>
  <c r="X69" i="12"/>
  <c r="X70" i="12" s="1"/>
  <c r="L69" i="12"/>
  <c r="L70" i="12" s="1"/>
  <c r="O69" i="12"/>
  <c r="O70" i="12" s="1"/>
  <c r="AB69" i="12" l="1"/>
  <c r="AB70" i="12" s="1"/>
  <c r="P69" i="12"/>
  <c r="P70" i="12" s="1"/>
</calcChain>
</file>

<file path=xl/sharedStrings.xml><?xml version="1.0" encoding="utf-8"?>
<sst xmlns="http://schemas.openxmlformats.org/spreadsheetml/2006/main" count="895" uniqueCount="284">
  <si>
    <t>Danger et Vulnérabilité</t>
  </si>
  <si>
    <t>Source</t>
  </si>
  <si>
    <t>Acceptable</t>
  </si>
  <si>
    <t>HDDS</t>
  </si>
  <si>
    <t>HHS</t>
  </si>
  <si>
    <t>rCSI</t>
  </si>
  <si>
    <t>HEA</t>
  </si>
  <si>
    <t>DS</t>
  </si>
  <si>
    <t>DPME</t>
  </si>
  <si>
    <t>IMC</t>
  </si>
  <si>
    <t>MUAC</t>
  </si>
  <si>
    <t>TBM</t>
  </si>
  <si>
    <t>TMM5</t>
  </si>
  <si>
    <t>Accessible</t>
  </si>
  <si>
    <t>Conclusion</t>
  </si>
  <si>
    <t>Nut</t>
  </si>
  <si>
    <t>Mort</t>
  </si>
  <si>
    <t>Phase 1</t>
  </si>
  <si>
    <t>Phase 2</t>
  </si>
  <si>
    <t>Phase 3</t>
  </si>
  <si>
    <t>Phase 4</t>
  </si>
  <si>
    <t>Phase 5</t>
  </si>
  <si>
    <t>Consommation alimentaire</t>
  </si>
  <si>
    <t>Indicateur</t>
  </si>
  <si>
    <t>Valeur</t>
  </si>
  <si>
    <t>Preuve indirecte</t>
  </si>
  <si>
    <t>Statut Nutritionnel</t>
  </si>
  <si>
    <t>Evolution des moyens d'Existence</t>
  </si>
  <si>
    <t>Admin 1</t>
  </si>
  <si>
    <t>Admin 2</t>
  </si>
  <si>
    <t>Mortalité</t>
  </si>
  <si>
    <t>SITUATION PROJETEE</t>
  </si>
  <si>
    <t>Total</t>
  </si>
  <si>
    <t>Zone 1</t>
  </si>
  <si>
    <t>Zone 2</t>
  </si>
  <si>
    <t>Zone 3</t>
  </si>
  <si>
    <t>Zone 4</t>
  </si>
  <si>
    <t>Zone</t>
  </si>
  <si>
    <t>Rappel de la Classification</t>
  </si>
  <si>
    <t>Classe 1</t>
  </si>
  <si>
    <t>Classe 2</t>
  </si>
  <si>
    <t>Classe 3</t>
  </si>
  <si>
    <t>Classe 4</t>
  </si>
  <si>
    <t>Classe 5</t>
  </si>
  <si>
    <t>Classes</t>
  </si>
  <si>
    <t>ND</t>
  </si>
  <si>
    <t xml:space="preserve"> / </t>
  </si>
  <si>
    <t>Dimensions</t>
  </si>
  <si>
    <t>Ph 1</t>
  </si>
  <si>
    <t>Ph 2</t>
  </si>
  <si>
    <t>Ph 3</t>
  </si>
  <si>
    <t>Ph 4</t>
  </si>
  <si>
    <t>Ph 5</t>
  </si>
  <si>
    <t>-F</t>
  </si>
  <si>
    <t>-M</t>
  </si>
  <si>
    <t>-L</t>
  </si>
  <si>
    <t>+L</t>
  </si>
  <si>
    <t>+M</t>
  </si>
  <si>
    <t>+F</t>
  </si>
  <si>
    <t>Pop DPME</t>
  </si>
  <si>
    <t>Pop DS</t>
  </si>
  <si>
    <t>Geocode</t>
  </si>
  <si>
    <t>Impact des facteurs contributifs</t>
  </si>
  <si>
    <t xml:space="preserve"> </t>
  </si>
  <si>
    <t>STEP 1 TABLE 1-B - Zone Context Analysis</t>
  </si>
  <si>
    <t>STEP 1 TABLE 1-A Sources of evidence</t>
  </si>
  <si>
    <t>1st Administrative Level</t>
  </si>
  <si>
    <t xml:space="preserve">Analysis period: </t>
  </si>
  <si>
    <t>Document Code (give a sequential number for each source of evidence)</t>
  </si>
  <si>
    <t>Title</t>
  </si>
  <si>
    <t>Brief description of the methodology</t>
  </si>
  <si>
    <t>Date of data collection</t>
  </si>
  <si>
    <t>Country:</t>
  </si>
  <si>
    <t>Date of publication or sharing</t>
  </si>
  <si>
    <t>2nd  administrative level</t>
  </si>
  <si>
    <t>3rd administrative level</t>
  </si>
  <si>
    <t>Total population</t>
  </si>
  <si>
    <t xml:space="preserve"> Cycle Date</t>
  </si>
  <si>
    <t>Recalling previous classications of CH in the area</t>
  </si>
  <si>
    <t xml:space="preserve">Period of the Analysis: </t>
  </si>
  <si>
    <t>current</t>
  </si>
  <si>
    <t>projected</t>
  </si>
  <si>
    <t>Major shocks affecting the area</t>
  </si>
  <si>
    <t>General characteristics of the area</t>
  </si>
  <si>
    <t>Accessibility of the area</t>
  </si>
  <si>
    <t>Protocol inaccessible area</t>
  </si>
  <si>
    <t>Ongoing humanitarian Activities</t>
  </si>
  <si>
    <t>Last 3 cycles of the same period</t>
  </si>
  <si>
    <t>month year n-1</t>
  </si>
  <si>
    <t>month year n-2</t>
  </si>
  <si>
    <t>month year n-3</t>
  </si>
  <si>
    <t>Phase from zone</t>
  </si>
  <si>
    <t>factors</t>
  </si>
  <si>
    <t>Livelihood Zone</t>
  </si>
  <si>
    <t>General description of the baseline of the area - usual characteristic elements</t>
  </si>
  <si>
    <t>Brief description of the economic situation of the analysis period</t>
  </si>
  <si>
    <t>Distribution of households in the area by categories in%</t>
  </si>
  <si>
    <t>Very poor</t>
  </si>
  <si>
    <t>Poor</t>
  </si>
  <si>
    <t>Middle</t>
  </si>
  <si>
    <t>Rich</t>
  </si>
  <si>
    <t>observations</t>
  </si>
  <si>
    <t>Brief description of the livelihood   of the analysis unit</t>
  </si>
  <si>
    <t>%</t>
  </si>
  <si>
    <t>LH2</t>
  </si>
  <si>
    <t>Same</t>
  </si>
  <si>
    <t>LH3</t>
  </si>
  <si>
    <t>gggg</t>
  </si>
  <si>
    <t>LH4</t>
  </si>
  <si>
    <t>without LH</t>
  </si>
  <si>
    <t>Brief  description of the zone where there is no livelihood zone</t>
  </si>
  <si>
    <t>Characterization of the economic context of the zone</t>
  </si>
  <si>
    <t>Limited Access/partially</t>
  </si>
  <si>
    <t>Not accessible</t>
  </si>
  <si>
    <t>Yes</t>
  </si>
  <si>
    <t>No</t>
  </si>
  <si>
    <t>STEP 1-C TABLE 1 - INVENTORY OF EVIDENCE of Contributive Factors</t>
  </si>
  <si>
    <t>Date cycle</t>
  </si>
  <si>
    <t xml:space="preserve">Inventory of available evidence on the contributing factors </t>
  </si>
  <si>
    <t>Factors</t>
  </si>
  <si>
    <t>Report the document code</t>
  </si>
  <si>
    <t>Date of Publication or share</t>
  </si>
  <si>
    <t xml:space="preserve">Labels of the evidence </t>
  </si>
  <si>
    <t>Validity (V1, V2, V3)</t>
  </si>
  <si>
    <t>Temporality (T1, T2, T3)</t>
  </si>
  <si>
    <t>Reliability Score</t>
  </si>
  <si>
    <t>Availability</t>
  </si>
  <si>
    <t>Accessibility</t>
  </si>
  <si>
    <t>Utilization including access to clean water</t>
  </si>
  <si>
    <t>Stability</t>
  </si>
  <si>
    <t>Availibility</t>
  </si>
  <si>
    <t>STEP 1, TABLE 1-D– INVENTORY OF DIRECT EVIDENCE - Outcome Indicators</t>
  </si>
  <si>
    <t>Inventory of Available Evidence on Direct Evidence - Outcome Indicators</t>
  </si>
  <si>
    <t>Outcomes</t>
  </si>
  <si>
    <t>Document Code</t>
  </si>
  <si>
    <t xml:space="preserve">Date of Publication or sharing </t>
  </si>
  <si>
    <t>Labels and value of the evidence</t>
  </si>
  <si>
    <t>Checking Total</t>
  </si>
  <si>
    <t>Food Consumption</t>
  </si>
  <si>
    <t>Evolution of Livelihoods</t>
  </si>
  <si>
    <t>Nutritional status</t>
  </si>
  <si>
    <t>Mortality</t>
  </si>
  <si>
    <t>Value (N/10000/day)</t>
  </si>
  <si>
    <t>Value</t>
  </si>
  <si>
    <t>Phase</t>
  </si>
  <si>
    <t>Zone 1 (Current)</t>
  </si>
  <si>
    <t>Zone 1 (projected)</t>
  </si>
  <si>
    <t>Zone 2 (Current)</t>
  </si>
  <si>
    <t>Zone 2 (projected)</t>
  </si>
  <si>
    <t>Zone 3 (Current)</t>
  </si>
  <si>
    <t>Zone 3 (projected)</t>
  </si>
  <si>
    <t>Zone 4 (Current)</t>
  </si>
  <si>
    <t>Zone 4 (projected)</t>
  </si>
  <si>
    <t>FCS</t>
  </si>
  <si>
    <t>Borderline</t>
  </si>
  <si>
    <t>LH-CS (livelihoods coping strategy)</t>
  </si>
  <si>
    <t>Calorie proxy</t>
  </si>
  <si>
    <t>GAM-W / H</t>
  </si>
  <si>
    <t>GAM-Median</t>
  </si>
  <si>
    <t>GAM-median lean saison</t>
  </si>
  <si>
    <t>BMI</t>
  </si>
  <si>
    <t>MUAC GAM</t>
  </si>
  <si>
    <t>CMR</t>
  </si>
  <si>
    <t>U5MR</t>
  </si>
  <si>
    <t>LPD</t>
  </si>
  <si>
    <t>%Pop LPD</t>
  </si>
  <si>
    <t>SD</t>
  </si>
  <si>
    <t>%Pop SD</t>
  </si>
  <si>
    <t>STEP 2 TABLE 2 - A - ANALYSIS OF EVIDENCE Contributing Factors</t>
  </si>
  <si>
    <t xml:space="preserve">Conclusions on CONTRIBUTING factors of food and nutrition security </t>
  </si>
  <si>
    <t>Elements of analysis</t>
  </si>
  <si>
    <t>Assumptions about the likely evolution of evidence</t>
  </si>
  <si>
    <t xml:space="preserve">Current Situation: </t>
  </si>
  <si>
    <t xml:space="preserve">Projected situation: </t>
  </si>
  <si>
    <t>Hazards</t>
  </si>
  <si>
    <t>Vulnerability</t>
  </si>
  <si>
    <t>Assessment of Impacts</t>
  </si>
  <si>
    <t>FC</t>
  </si>
  <si>
    <t>ELH</t>
  </si>
  <si>
    <t>Negatives</t>
  </si>
  <si>
    <t>Positives</t>
  </si>
  <si>
    <t>Strong</t>
  </si>
  <si>
    <t>Medium</t>
  </si>
  <si>
    <t>Light</t>
  </si>
  <si>
    <t>Worse than usual</t>
  </si>
  <si>
    <t>Similar to  usual</t>
  </si>
  <si>
    <t>Better than  usual</t>
  </si>
  <si>
    <t>Similar to usual</t>
  </si>
  <si>
    <t>Considering the impacts of the elements of Hazards and Vulnerability, how could the food and nutritional situation of the area be assessed compared to the usual conditions for the period of analysis?</t>
  </si>
  <si>
    <t>Considering the impacts of the elements of Availibility, how could the food and nutritional situation of the area be assessed compared to the usual conditions for the period of analysis?</t>
  </si>
  <si>
    <t>Considering the impacts of the elements of Accessibility, how could the food and nutritional situation of the area be assessed compared to the usual conditions for the period of analysis?</t>
  </si>
  <si>
    <t>Considering the impacts of the elements of Utilization, how could the food and nutritional situation of the area be assessed compared to the usual conditions for the period of analysis?</t>
  </si>
  <si>
    <t>Considering the impacts of the elements of Stability, how could the food and nutritional situation of the area be assessed compared to the usual conditions for the period of analysis?</t>
  </si>
  <si>
    <t>Table 2-B - Analysis of the outcomes evidence</t>
  </si>
  <si>
    <t xml:space="preserve">Conclusions on outcomes indicators of food security and nutrition </t>
  </si>
  <si>
    <t>Current Situation:</t>
  </si>
  <si>
    <t>Projected situation:</t>
  </si>
  <si>
    <t>Classification result of food consumption indicators (FC)</t>
  </si>
  <si>
    <t xml:space="preserve">Phase </t>
  </si>
  <si>
    <t>Conclusion on the outcome of food consumption</t>
  </si>
  <si>
    <t>On FC</t>
  </si>
  <si>
    <t>Hazards &amp; Vulnerability</t>
  </si>
  <si>
    <t>Access</t>
  </si>
  <si>
    <t>Utilization</t>
  </si>
  <si>
    <t>Impact of contributing factors</t>
  </si>
  <si>
    <t>Conclusion on the phase of the outcome of FC</t>
  </si>
  <si>
    <t>Conclusion on the outcome of the evolution of Livelihoods</t>
  </si>
  <si>
    <t>Direct Proof</t>
  </si>
  <si>
    <t>Conclusion on the phase of the outcome of CSI-LH</t>
  </si>
  <si>
    <t>LH-CS</t>
  </si>
  <si>
    <t>on LH-CS</t>
  </si>
  <si>
    <t>Classification of nutritional status (Nut)</t>
  </si>
  <si>
    <t>Indicator</t>
  </si>
  <si>
    <t>Values</t>
  </si>
  <si>
    <t>Acceptable, Borderline, Poor</t>
  </si>
  <si>
    <t>Classification of indicators Evolution Livelihoods</t>
  </si>
  <si>
    <t>GAM</t>
  </si>
  <si>
    <t>Historical GAM Median</t>
  </si>
  <si>
    <t>Classification the mortality Outcome</t>
  </si>
  <si>
    <t>n/10000/day</t>
  </si>
  <si>
    <t>Conclusion on the phase of the Mortality outcome</t>
  </si>
  <si>
    <t>On Mortality</t>
  </si>
  <si>
    <t>On Nutritition</t>
  </si>
  <si>
    <t>Conclusion on the phase of the outcome Nutrition</t>
  </si>
  <si>
    <t>Conclusion on mortality Outcome</t>
  </si>
  <si>
    <t>% Pop SD</t>
  </si>
  <si>
    <t>STEP 3 TABLE 3 - Review and Classification</t>
  </si>
  <si>
    <t>current period</t>
  </si>
  <si>
    <t>Synthesis and Classification of the current phase</t>
  </si>
  <si>
    <t>Food</t>
  </si>
  <si>
    <t>Evolution of livelihood</t>
  </si>
  <si>
    <t>Consumption</t>
  </si>
  <si>
    <r>
      <t>IMPACT</t>
    </r>
    <r>
      <rPr>
        <b/>
        <sz val="12"/>
        <color rgb="FF000000"/>
        <rFont val="Calibri"/>
        <family val="2"/>
      </rPr>
      <t xml:space="preserve"> OF CONTRIBUTING FACTORS</t>
    </r>
  </si>
  <si>
    <r>
      <t>Final classification and level of confidence for the 2</t>
    </r>
    <r>
      <rPr>
        <b/>
        <vertAlign val="superscript"/>
        <sz val="12"/>
        <color rgb="FF000000"/>
        <rFont val="Calibri"/>
        <family val="2"/>
      </rPr>
      <t>th</t>
    </r>
    <r>
      <rPr>
        <b/>
        <sz val="12"/>
        <color rgb="FF000000"/>
        <rFont val="Calibri"/>
        <family val="2"/>
      </rPr>
      <t>administrative level</t>
    </r>
  </si>
  <si>
    <t>Hazard and vulnerability</t>
  </si>
  <si>
    <t>Food availability</t>
  </si>
  <si>
    <t>Food Access</t>
  </si>
  <si>
    <t xml:space="preserve"> Foods Utilization , including water</t>
  </si>
  <si>
    <t>Conclusions on the phase of the current situation in area</t>
  </si>
  <si>
    <t>Projected period</t>
  </si>
  <si>
    <t>STEP 4-A, TABLE 4 - Population Estimate</t>
  </si>
  <si>
    <t>STEP 4-A, Table 4: Summary of figures</t>
  </si>
  <si>
    <t>Evolution of livelihoods</t>
  </si>
  <si>
    <t>Classification outcome of food consumption indicators (FC)</t>
  </si>
  <si>
    <t>Conclusion on FC</t>
  </si>
  <si>
    <t>Recall the Classification of FC</t>
  </si>
  <si>
    <t>Classification of indicators on the evolution of Livelihoods</t>
  </si>
  <si>
    <t>CSI-LHS</t>
  </si>
  <si>
    <t>GAM-median</t>
  </si>
  <si>
    <t>Classification of Mortality Outcome Indicators</t>
  </si>
  <si>
    <t>Indirect Proofs</t>
  </si>
  <si>
    <t>Direct evidence</t>
  </si>
  <si>
    <t>Hazards and Vulnerability (% or number of people affected / impacted by type of impact)</t>
  </si>
  <si>
    <t xml:space="preserve"> food utilization including water</t>
  </si>
  <si>
    <t>Recall the classification of the current stage area</t>
  </si>
  <si>
    <t>X% to be used possibly in the convergence of evidence</t>
  </si>
  <si>
    <t>Reminder of the Projected Phase Area Classification</t>
  </si>
  <si>
    <t>Estimated population</t>
  </si>
  <si>
    <t>STEP 4-B TABLE 5 - Populations Estimate</t>
  </si>
  <si>
    <r>
      <t>2</t>
    </r>
    <r>
      <rPr>
        <vertAlign val="superscript"/>
        <sz val="10"/>
        <color rgb="FF000000"/>
        <rFont val="Calibri"/>
        <family val="2"/>
      </rPr>
      <t>th</t>
    </r>
    <r>
      <rPr>
        <sz val="10"/>
        <color rgb="FF000000"/>
        <rFont val="Calibri"/>
        <family val="2"/>
      </rPr>
      <t xml:space="preserve"> administrative level</t>
    </r>
  </si>
  <si>
    <r>
      <t>3</t>
    </r>
    <r>
      <rPr>
        <vertAlign val="superscript"/>
        <sz val="10"/>
        <color rgb="FF000000"/>
        <rFont val="Calibri"/>
        <family val="2"/>
      </rPr>
      <t>th</t>
    </r>
    <r>
      <rPr>
        <sz val="10"/>
        <color rgb="FF000000"/>
        <rFont val="Calibri"/>
        <family val="2"/>
      </rPr>
      <t xml:space="preserve"> administrative level</t>
    </r>
  </si>
  <si>
    <t>Area Classification</t>
  </si>
  <si>
    <t xml:space="preserve">Percentage of households affected for each phase </t>
  </si>
  <si>
    <t xml:space="preserve">Period: </t>
  </si>
  <si>
    <t>CURRENT SITUATION</t>
  </si>
  <si>
    <t>Total population in Phase 1</t>
  </si>
  <si>
    <t>Total population in Phase 2</t>
  </si>
  <si>
    <t>Total population in Phase 3</t>
  </si>
  <si>
    <t>Total population in Phase 4</t>
  </si>
  <si>
    <t>Total population in Phase 5</t>
  </si>
  <si>
    <t>Total population in Phase 3-5</t>
  </si>
  <si>
    <t>Period</t>
  </si>
  <si>
    <t>Famine Protocol</t>
  </si>
  <si>
    <t>Administrative level (L1, L2, L3)</t>
  </si>
  <si>
    <t>Conclusion on Nutritional Status outcome</t>
  </si>
  <si>
    <t>Representation level L0, L1, L2)</t>
  </si>
  <si>
    <t>test test</t>
  </si>
  <si>
    <t>Recall the asumptions  made</t>
  </si>
  <si>
    <t>Reliablility of Evidence (R1, R2 or R3)</t>
  </si>
  <si>
    <t>Synthesis and Classification of the projected phase</t>
  </si>
  <si>
    <t>LH1</t>
  </si>
  <si>
    <t>Conclusions on the phase of the projected situation in area</t>
  </si>
  <si>
    <t>x</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</si>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</sst>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 _€_-;\-* #,##0.00\ _€_-;_-* &quot;-&quot;??\ _€_-;_-@_-"/>
    <numFmt numFmtId="165" formatCode="_-* #,##0\ _€_-;\-* #,##0\ _€_-;_-* &quot;-&quot;??\ _€_-;_-@_-"/>
    <numFmt numFmtId="166" formatCode="[$-40C]d\ mmmm\ yyyy;@"/>
    <numFmt numFmtId="167" formatCode="[$-40C]d\-mmm\-yyyy;@"/>
    <numFmt numFmtId="168" formatCode="0.0%"/>
    <numFmt numFmtId="169" formatCode="0.0"/>
    <numFmt numFmtId="170" formatCode="d/m;@"/>
    <numFmt numFmtId="171" formatCode="[$-409]mmm\-yy;@"/>
  </numFmts>
  <fonts count="74"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font>
    <font>
      <sz val="10"/>
      <color theme="1"/>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b/>
      <sz val="10"/>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sz val="9"/>
      <color theme="1"/>
      <name val="Calibri"/>
      <family val="2"/>
      <scheme val="minor"/>
    </font>
    <font>
      <b/>
      <sz val="9"/>
      <color theme="1"/>
      <name val="Calibri"/>
      <family val="2"/>
      <scheme val="minor"/>
    </font>
    <font>
      <sz val="11"/>
      <name val="Calibri"/>
      <family val="2"/>
      <scheme val="minor"/>
    </font>
    <font>
      <b/>
      <sz val="16"/>
      <name val="Calibri"/>
      <family val="2"/>
      <scheme val="minor"/>
    </font>
    <font>
      <i/>
      <sz val="9"/>
      <name val="Calibri"/>
      <family val="2"/>
      <scheme val="minor"/>
    </font>
    <font>
      <sz val="8"/>
      <name val="Calibri"/>
      <family val="2"/>
      <scheme val="minor"/>
    </font>
    <font>
      <b/>
      <sz val="8"/>
      <name val="Calibri"/>
      <family val="2"/>
      <scheme val="minor"/>
    </font>
    <font>
      <b/>
      <sz val="8"/>
      <color theme="0"/>
      <name val="Calibri"/>
      <family val="2"/>
      <scheme val="minor"/>
    </font>
    <font>
      <b/>
      <sz val="12"/>
      <name val="Calibri"/>
      <family val="2"/>
      <scheme val="minor"/>
    </font>
    <font>
      <sz val="10"/>
      <color rgb="FFFF0000"/>
      <name val="Calibri"/>
      <family val="2"/>
      <scheme val="minor"/>
    </font>
    <font>
      <b/>
      <sz val="11"/>
      <color rgb="FFFF0000"/>
      <name val="Calibri"/>
      <family val="2"/>
      <scheme val="minor"/>
    </font>
    <font>
      <b/>
      <sz val="12"/>
      <color theme="0"/>
      <name val="Calibri"/>
      <family val="2"/>
      <scheme val="minor"/>
    </font>
    <font>
      <b/>
      <sz val="11"/>
      <color theme="0"/>
      <name val="Calibri"/>
      <family val="2"/>
      <scheme val="minor"/>
    </font>
    <font>
      <b/>
      <sz val="14"/>
      <color theme="0"/>
      <name val="Calibri"/>
      <family val="2"/>
    </font>
    <font>
      <b/>
      <u/>
      <sz val="11"/>
      <color theme="0"/>
      <name val="Calibri"/>
      <family val="2"/>
      <scheme val="minor"/>
    </font>
    <font>
      <b/>
      <sz val="12"/>
      <color theme="0"/>
      <name val="Calibri"/>
      <family val="2"/>
    </font>
    <font>
      <sz val="12"/>
      <color theme="0"/>
      <name val="Calibri"/>
      <family val="2"/>
      <scheme val="minor"/>
    </font>
    <font>
      <b/>
      <u/>
      <sz val="12"/>
      <color theme="0"/>
      <name val="Calibri"/>
      <family val="2"/>
      <scheme val="minor"/>
    </font>
    <font>
      <b/>
      <sz val="18"/>
      <color theme="0"/>
      <name val="Calibri"/>
      <family val="2"/>
      <scheme val="minor"/>
    </font>
    <font>
      <b/>
      <sz val="16"/>
      <color theme="0"/>
      <name val="Calibri"/>
      <family val="2"/>
      <scheme val="minor"/>
    </font>
    <font>
      <b/>
      <sz val="20"/>
      <color theme="0"/>
      <name val="Calibri"/>
      <family val="2"/>
      <scheme val="minor"/>
    </font>
    <font>
      <sz val="10"/>
      <color theme="0"/>
      <name val="Calibri"/>
      <family val="2"/>
      <scheme val="minor"/>
    </font>
    <font>
      <b/>
      <sz val="11"/>
      <name val="Calibri"/>
      <family val="2"/>
      <scheme val="minor"/>
    </font>
    <font>
      <sz val="11"/>
      <color theme="0" tint="-0.249977111117893"/>
      <name val="Calibri"/>
      <family val="2"/>
      <scheme val="minor"/>
    </font>
    <font>
      <sz val="9"/>
      <color theme="0" tint="-0.249977111117893"/>
      <name val="Calibri"/>
      <family val="2"/>
      <scheme val="minor"/>
    </font>
    <font>
      <sz val="10"/>
      <name val="Calibri"/>
      <family val="2"/>
      <scheme val="minor"/>
    </font>
    <font>
      <b/>
      <sz val="10"/>
      <color theme="0" tint="-0.249977111117893"/>
      <name val="Calibri"/>
      <family val="2"/>
      <scheme val="minor"/>
    </font>
    <font>
      <sz val="7"/>
      <color theme="0" tint="-0.249977111117893"/>
      <name val="Calibri"/>
      <family val="2"/>
      <scheme val="minor"/>
    </font>
    <font>
      <b/>
      <sz val="10"/>
      <color theme="0" tint="-0.499984740745262"/>
      <name val="Calibri"/>
      <family val="2"/>
      <scheme val="minor"/>
    </font>
    <font>
      <sz val="8"/>
      <color rgb="FFFF0000"/>
      <name val="Calibri"/>
      <family val="2"/>
      <scheme val="minor"/>
    </font>
    <font>
      <b/>
      <sz val="10"/>
      <color rgb="FF000000"/>
      <name val="Calibri"/>
      <family val="2"/>
    </font>
    <font>
      <sz val="10"/>
      <color rgb="FF000000"/>
      <name val="Calibri"/>
      <family val="2"/>
    </font>
    <font>
      <b/>
      <sz val="11"/>
      <color rgb="FF000000"/>
      <name val="Calibri"/>
      <family val="2"/>
    </font>
    <font>
      <sz val="8"/>
      <color theme="1"/>
      <name val="Times New Roman"/>
      <family val="1"/>
    </font>
    <font>
      <sz val="9"/>
      <name val="Calibri"/>
      <family val="2"/>
      <scheme val="minor"/>
    </font>
    <font>
      <b/>
      <sz val="16"/>
      <color theme="0"/>
      <name val="Calibri"/>
      <family val="2"/>
    </font>
    <font>
      <b/>
      <sz val="10"/>
      <name val="Calibri"/>
      <family val="2"/>
      <scheme val="minor"/>
    </font>
    <font>
      <sz val="11.5"/>
      <color rgb="FF000000"/>
      <name val="Arial"/>
      <family val="2"/>
    </font>
    <font>
      <b/>
      <sz val="10"/>
      <color theme="0"/>
      <name val="Calibri"/>
      <family val="2"/>
      <scheme val="minor"/>
    </font>
    <font>
      <b/>
      <sz val="11"/>
      <color theme="1"/>
      <name val="Calibri"/>
      <family val="2"/>
    </font>
    <font>
      <sz val="12"/>
      <name val="Calibri"/>
      <family val="2"/>
      <scheme val="minor"/>
    </font>
    <font>
      <b/>
      <sz val="10"/>
      <color theme="1"/>
      <name val="Calibri"/>
      <family val="2"/>
    </font>
    <font>
      <sz val="10"/>
      <color theme="1"/>
      <name val="Calibri"/>
      <family val="2"/>
    </font>
    <font>
      <b/>
      <sz val="9"/>
      <name val="Calibri"/>
      <family val="2"/>
      <scheme val="minor"/>
    </font>
    <font>
      <sz val="9"/>
      <color theme="0"/>
      <name val="Calibri"/>
      <family val="2"/>
      <scheme val="minor"/>
    </font>
    <font>
      <b/>
      <sz val="9"/>
      <color theme="0"/>
      <name val="Calibri"/>
      <family val="2"/>
      <scheme val="minor"/>
    </font>
    <font>
      <b/>
      <i/>
      <sz val="9"/>
      <name val="Calibri"/>
      <family val="2"/>
      <scheme val="minor"/>
    </font>
    <font>
      <sz val="12"/>
      <color rgb="FFFFFFFF"/>
      <name val="Calibri"/>
      <family val="2"/>
    </font>
    <font>
      <sz val="11"/>
      <color rgb="FFFFFFFF"/>
      <name val="Calibri"/>
      <family val="2"/>
    </font>
    <font>
      <sz val="11"/>
      <color rgb="FF808080"/>
      <name val="Calibri"/>
      <family val="2"/>
    </font>
    <font>
      <sz val="12"/>
      <color rgb="FF000000"/>
      <name val="Calibri"/>
      <family val="2"/>
    </font>
    <font>
      <sz val="11"/>
      <color theme="1"/>
      <name val="Calibri"/>
      <family val="2"/>
    </font>
    <font>
      <sz val="11"/>
      <color rgb="FF000000"/>
      <name val="Calibri"/>
      <family val="2"/>
    </font>
    <font>
      <sz val="9"/>
      <color rgb="FF000000"/>
      <name val="Calibri"/>
      <family val="2"/>
    </font>
    <font>
      <b/>
      <sz val="9"/>
      <color rgb="FF000000"/>
      <name val="Calibri"/>
      <family val="2"/>
    </font>
    <font>
      <b/>
      <sz val="12"/>
      <color rgb="FF000000"/>
      <name val="Calibri"/>
      <family val="2"/>
    </font>
    <font>
      <b/>
      <sz val="8"/>
      <name val="Calibri"/>
      <family val="2"/>
    </font>
    <font>
      <sz val="10"/>
      <color rgb="FFFFFFFF"/>
      <name val="Calibri"/>
      <family val="2"/>
    </font>
    <font>
      <b/>
      <u/>
      <sz val="12"/>
      <color rgb="FF000000"/>
      <name val="Calibri"/>
      <family val="2"/>
    </font>
    <font>
      <b/>
      <vertAlign val="superscript"/>
      <sz val="12"/>
      <color rgb="FF000000"/>
      <name val="Calibri"/>
      <family val="2"/>
    </font>
    <font>
      <vertAlign val="superscript"/>
      <sz val="10"/>
      <color rgb="FF000000"/>
      <name val="Calibri"/>
      <family val="2"/>
    </font>
  </fonts>
  <fills count="54">
    <fill>
      <patternFill patternType="none"/>
    </fill>
    <fill>
      <patternFill patternType="gray125"/>
    </fill>
    <fill>
      <patternFill patternType="solid">
        <fgColor theme="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7" tint="-0.499984740745262"/>
        <bgColor indexed="64"/>
      </patternFill>
    </fill>
    <fill>
      <patternFill patternType="solid">
        <fgColor theme="7" tint="0.39997558519241921"/>
        <bgColor indexed="64"/>
      </patternFill>
    </fill>
    <fill>
      <patternFill patternType="solid">
        <fgColor rgb="FF0070C0"/>
        <bgColor indexed="64"/>
      </patternFill>
    </fill>
    <fill>
      <patternFill patternType="solid">
        <fgColor theme="0"/>
        <bgColor indexed="64"/>
      </patternFill>
    </fill>
    <fill>
      <patternFill patternType="solid">
        <fgColor rgb="FFD9D9D9"/>
        <bgColor indexed="64"/>
      </patternFill>
    </fill>
    <fill>
      <patternFill patternType="solid">
        <fgColor rgb="FFFAE61E"/>
        <bgColor indexed="64"/>
      </patternFill>
    </fill>
    <fill>
      <patternFill patternType="solid">
        <fgColor rgb="FFE67800"/>
        <bgColor indexed="64"/>
      </patternFill>
    </fill>
    <fill>
      <patternFill patternType="solid">
        <fgColor rgb="FFC80000"/>
        <bgColor indexed="64"/>
      </patternFill>
    </fill>
    <fill>
      <patternFill patternType="solid">
        <fgColor rgb="FF640000"/>
        <bgColor indexed="64"/>
      </patternFill>
    </fill>
    <fill>
      <patternFill patternType="solid">
        <fgColor rgb="FFFF0000"/>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2F2F2"/>
        <bgColor indexed="64"/>
      </patternFill>
    </fill>
    <fill>
      <patternFill patternType="solid">
        <fgColor rgb="FFFDE9D9"/>
        <bgColor indexed="64"/>
      </patternFill>
    </fill>
    <fill>
      <patternFill patternType="solid">
        <fgColor rgb="FFDDD9C3"/>
        <bgColor indexed="64"/>
      </patternFill>
    </fill>
    <fill>
      <patternFill patternType="solid">
        <fgColor theme="2" tint="-9.9948118533890809E-2"/>
        <bgColor indexed="64"/>
      </patternFill>
    </fill>
    <fill>
      <patternFill patternType="solid">
        <fgColor rgb="FFFFFF00"/>
        <bgColor indexed="64"/>
      </patternFill>
    </fill>
    <fill>
      <patternFill patternType="lightTrellis">
        <bgColor rgb="FFCACACA"/>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rgb="FF99FF99"/>
        <bgColor indexed="64"/>
      </patternFill>
    </fill>
    <fill>
      <patternFill patternType="solid">
        <fgColor theme="9" tint="-0.499984740745262"/>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rgb="FFE2EFD9"/>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4"/>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DFACD"/>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375623"/>
        <bgColor rgb="FF000000"/>
      </patternFill>
    </fill>
    <fill>
      <patternFill patternType="solid">
        <fgColor rgb="FFEDEDED"/>
        <bgColor rgb="FF000000"/>
      </patternFill>
    </fill>
    <fill>
      <patternFill patternType="solid">
        <fgColor rgb="FFDDEBF7"/>
        <bgColor rgb="FF000000"/>
      </patternFill>
    </fill>
    <fill>
      <patternFill patternType="solid">
        <fgColor rgb="FFE2EFDA"/>
        <bgColor rgb="FF000000"/>
      </patternFill>
    </fill>
    <fill>
      <patternFill patternType="solid">
        <fgColor rgb="FFD9E1F2"/>
        <bgColor rgb="FF000000"/>
      </patternFill>
    </fill>
    <fill>
      <patternFill patternType="solid">
        <fgColor rgb="FFF2F2F2"/>
        <bgColor rgb="FF000000"/>
      </patternFill>
    </fill>
    <fill>
      <patternFill patternType="solid">
        <fgColor rgb="FF5B9BD5"/>
        <bgColor rgb="FF000000"/>
      </patternFill>
    </fill>
    <fill>
      <patternFill patternType="solid">
        <fgColor rgb="FFFFFFFF"/>
        <bgColor rgb="FF000000"/>
      </patternFill>
    </fill>
    <fill>
      <patternFill patternType="solid">
        <fgColor rgb="FF0070C0"/>
        <bgColor rgb="FF000000"/>
      </patternFill>
    </fill>
    <fill>
      <patternFill patternType="solid">
        <fgColor rgb="FFD9D9D9"/>
        <bgColor rgb="FF000000"/>
      </patternFill>
    </fill>
    <fill>
      <patternFill patternType="solid">
        <fgColor rgb="FFE5DFEC"/>
        <bgColor rgb="FF000000"/>
      </patternFill>
    </fill>
    <fill>
      <patternFill patternType="solid">
        <fgColor rgb="FFDAEEF3"/>
        <bgColor rgb="FF000000"/>
      </patternFill>
    </fill>
  </fills>
  <borders count="1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bottom style="medium">
        <color indexed="64"/>
      </bottom>
      <diagonal/>
    </border>
    <border>
      <left style="thick">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ck">
        <color rgb="FFC2D69B"/>
      </left>
      <right style="medium">
        <color rgb="FFC2D69B"/>
      </right>
      <top style="thick">
        <color rgb="FFA6A6A6"/>
      </top>
      <bottom/>
      <diagonal/>
    </border>
    <border>
      <left style="thick">
        <color rgb="FFC2D69B"/>
      </left>
      <right style="medium">
        <color rgb="FFC2D69B"/>
      </right>
      <top/>
      <bottom/>
      <diagonal/>
    </border>
    <border>
      <left/>
      <right style="medium">
        <color rgb="FFC2D69B"/>
      </right>
      <top/>
      <bottom/>
      <diagonal/>
    </border>
    <border>
      <left/>
      <right style="mediumDashed">
        <color rgb="FFC2D69B"/>
      </right>
      <top style="thick">
        <color rgb="FFA6A6A6"/>
      </top>
      <bottom style="medium">
        <color rgb="FFC2D69B"/>
      </bottom>
      <diagonal/>
    </border>
    <border>
      <left/>
      <right/>
      <top style="thick">
        <color rgb="FFA6A6A6"/>
      </top>
      <bottom style="medium">
        <color rgb="FFC2D69B"/>
      </bottom>
      <diagonal/>
    </border>
    <border>
      <left/>
      <right style="medium">
        <color rgb="FFC2D69B"/>
      </right>
      <top/>
      <bottom style="medium">
        <color rgb="FFC2D69B"/>
      </bottom>
      <diagonal/>
    </border>
    <border>
      <left style="medium">
        <color rgb="FFC2D69B"/>
      </left>
      <right style="medium">
        <color rgb="FFC2D69B"/>
      </right>
      <top style="thick">
        <color rgb="FFA6A6A6"/>
      </top>
      <bottom/>
      <diagonal/>
    </border>
    <border>
      <left style="medium">
        <color rgb="FFC2D69B"/>
      </left>
      <right style="medium">
        <color rgb="FFC2D69B"/>
      </right>
      <top/>
      <bottom/>
      <diagonal/>
    </border>
    <border>
      <left style="medium">
        <color rgb="FFC2D69B"/>
      </left>
      <right style="medium">
        <color rgb="FFC2D69B"/>
      </right>
      <top/>
      <bottom style="thick">
        <color rgb="FFC2D69B"/>
      </bottom>
      <diagonal/>
    </border>
    <border>
      <left style="medium">
        <color rgb="FFC2D69B"/>
      </left>
      <right/>
      <top style="thick">
        <color rgb="FFA6A6A6"/>
      </top>
      <bottom style="medium">
        <color rgb="FFC2D69B"/>
      </bottom>
      <diagonal/>
    </border>
    <border>
      <left style="thick">
        <color rgb="FFBFBFBF"/>
      </left>
      <right style="thick">
        <color rgb="FFC2D69B"/>
      </right>
      <top style="thick">
        <color rgb="FFA6A6A6"/>
      </top>
      <bottom/>
      <diagonal/>
    </border>
    <border>
      <left style="medium">
        <color rgb="FFC2D69B"/>
      </left>
      <right style="medium">
        <color rgb="FFC2D69B"/>
      </right>
      <top style="medium">
        <color rgb="FFC2D69B"/>
      </top>
      <bottom/>
      <diagonal/>
    </border>
    <border>
      <left style="medium">
        <color rgb="FFC2D69B"/>
      </left>
      <right style="mediumDashed">
        <color rgb="FFC2D69B"/>
      </right>
      <top style="medium">
        <color rgb="FFC2D69B"/>
      </top>
      <bottom/>
      <diagonal/>
    </border>
    <border>
      <left style="medium">
        <color rgb="FFC2D69B"/>
      </left>
      <right style="mediumDashed">
        <color rgb="FFC2D69B"/>
      </right>
      <top/>
      <bottom style="thick">
        <color rgb="FFC2D69B"/>
      </bottom>
      <diagonal/>
    </border>
    <border>
      <left style="thick">
        <color rgb="FFFFFFFF"/>
      </left>
      <right style="thick">
        <color rgb="FFFFFFFF"/>
      </right>
      <top/>
      <bottom/>
      <diagonal/>
    </border>
    <border>
      <left style="thick">
        <color rgb="FFFFFFFF"/>
      </left>
      <right style="thick">
        <color rgb="FFF2F2F2"/>
      </right>
      <top/>
      <bottom/>
      <diagonal/>
    </border>
    <border>
      <left style="thick">
        <color rgb="FFF2F2F2"/>
      </left>
      <right/>
      <top/>
      <bottom style="mediumDashed">
        <color rgb="FFD9D9D9"/>
      </bottom>
      <diagonal/>
    </border>
    <border>
      <left/>
      <right/>
      <top/>
      <bottom style="mediumDashed">
        <color rgb="FFD9D9D9"/>
      </bottom>
      <diagonal/>
    </border>
    <border>
      <left/>
      <right style="mediumDashed">
        <color rgb="FFC2D69B"/>
      </right>
      <top/>
      <bottom style="mediumDashed">
        <color rgb="FFD9D9D9"/>
      </bottom>
      <diagonal/>
    </border>
    <border>
      <left style="mediumDashed">
        <color rgb="FFC2D69B"/>
      </left>
      <right/>
      <top/>
      <bottom style="mediumDashed">
        <color rgb="FFD9D9D9"/>
      </bottom>
      <diagonal/>
    </border>
    <border>
      <left style="thick">
        <color rgb="FFF2F2F2"/>
      </left>
      <right style="thick">
        <color rgb="FFD9D9D9"/>
      </right>
      <top style="mediumDashed">
        <color rgb="FFD9D9D9"/>
      </top>
      <bottom/>
      <diagonal/>
    </border>
    <border>
      <left style="thick">
        <color rgb="FFD9D9D9"/>
      </left>
      <right/>
      <top style="mediumDashed">
        <color rgb="FFD9D9D9"/>
      </top>
      <bottom/>
      <diagonal/>
    </border>
    <border>
      <left/>
      <right/>
      <top style="mediumDashed">
        <color rgb="FFD9D9D9"/>
      </top>
      <bottom/>
      <diagonal/>
    </border>
    <border>
      <left/>
      <right style="thick">
        <color rgb="FFD9D9D9"/>
      </right>
      <top style="mediumDashed">
        <color rgb="FFD9D9D9"/>
      </top>
      <bottom/>
      <diagonal/>
    </border>
    <border>
      <left style="thick">
        <color rgb="FFD9D9D9"/>
      </left>
      <right style="mediumDashed">
        <color rgb="FFC2D69B"/>
      </right>
      <top style="mediumDashed">
        <color rgb="FFD9D9D9"/>
      </top>
      <bottom/>
      <diagonal/>
    </border>
    <border>
      <left/>
      <right style="thick">
        <color rgb="FFD9D9D9"/>
      </right>
      <top/>
      <bottom/>
      <diagonal/>
    </border>
    <border>
      <left style="thick">
        <color rgb="FFD9D9D9"/>
      </left>
      <right style="thick">
        <color rgb="FFD9D9D9"/>
      </right>
      <top style="mediumDashed">
        <color rgb="FFD9D9D9"/>
      </top>
      <bottom/>
      <diagonal/>
    </border>
    <border>
      <left style="thick">
        <color rgb="FFF2F2F2"/>
      </left>
      <right style="thick">
        <color rgb="FFD9D9D9"/>
      </right>
      <top/>
      <bottom/>
      <diagonal/>
    </border>
    <border>
      <left style="thick">
        <color rgb="FFD9D9D9"/>
      </left>
      <right/>
      <top/>
      <bottom/>
      <diagonal/>
    </border>
    <border>
      <left style="thick">
        <color rgb="FFD9D9D9"/>
      </left>
      <right style="mediumDashed">
        <color rgb="FFC2D69B"/>
      </right>
      <top/>
      <bottom/>
      <diagonal/>
    </border>
    <border>
      <left style="thick">
        <color rgb="FFD9D9D9"/>
      </left>
      <right style="thick">
        <color rgb="FFD9D9D9"/>
      </right>
      <top/>
      <bottom/>
      <diagonal/>
    </border>
    <border>
      <left style="thick">
        <color rgb="FFF2F2F2"/>
      </left>
      <right/>
      <top/>
      <bottom/>
      <diagonal/>
    </border>
    <border>
      <left/>
      <right style="mediumDashed">
        <color rgb="FFC2D69B"/>
      </right>
      <top style="medium">
        <color indexed="64"/>
      </top>
      <bottom style="medium">
        <color rgb="FFC2D69B"/>
      </bottom>
      <diagonal/>
    </border>
    <border>
      <left/>
      <right style="medium">
        <color indexed="64"/>
      </right>
      <top style="medium">
        <color indexed="64"/>
      </top>
      <bottom style="medium">
        <color rgb="FFC2D69B"/>
      </bottom>
      <diagonal/>
    </border>
    <border>
      <left style="medium">
        <color indexed="64"/>
      </left>
      <right style="mediumDashed">
        <color rgb="FFC2D69B"/>
      </right>
      <top style="medium">
        <color indexed="64"/>
      </top>
      <bottom style="medium">
        <color indexed="64"/>
      </bottom>
      <diagonal/>
    </border>
    <border>
      <left/>
      <right style="dotted">
        <color rgb="FFC2D69B"/>
      </right>
      <top style="medium">
        <color indexed="64"/>
      </top>
      <bottom style="medium">
        <color indexed="64"/>
      </bottom>
      <diagonal/>
    </border>
    <border>
      <left/>
      <right style="mediumDashed">
        <color rgb="FFC2D69B"/>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indexed="64"/>
      </top>
      <bottom style="thin">
        <color theme="0"/>
      </bottom>
      <diagonal/>
    </border>
    <border>
      <left/>
      <right style="thin">
        <color theme="0"/>
      </right>
      <top/>
      <bottom/>
      <diagonal/>
    </border>
    <border>
      <left/>
      <right/>
      <top style="medium">
        <color indexed="64"/>
      </top>
      <bottom style="thin">
        <color theme="0"/>
      </bottom>
      <diagonal/>
    </border>
    <border>
      <left/>
      <right/>
      <top style="thin">
        <color theme="0"/>
      </top>
      <bottom style="thin">
        <color indexed="64"/>
      </bottom>
      <diagonal/>
    </border>
    <border>
      <left/>
      <right/>
      <top style="thin">
        <color theme="0"/>
      </top>
      <bottom style="thin">
        <color theme="0"/>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thick">
        <color rgb="FFA8D08D"/>
      </top>
      <bottom style="thick">
        <color rgb="FFA8D08D"/>
      </bottom>
      <diagonal/>
    </border>
    <border>
      <left/>
      <right style="thick">
        <color rgb="FF000000"/>
      </right>
      <top style="thick">
        <color rgb="FFA8D08D"/>
      </top>
      <bottom style="thick">
        <color rgb="FFA8D08D"/>
      </bottom>
      <diagonal/>
    </border>
    <border>
      <left/>
      <right/>
      <top style="thick">
        <color rgb="FFA8D08D"/>
      </top>
      <bottom style="thick">
        <color rgb="FF000000"/>
      </bottom>
      <diagonal/>
    </border>
    <border>
      <left/>
      <right style="thick">
        <color rgb="FF000000"/>
      </right>
      <top style="thick">
        <color rgb="FFA8D08D"/>
      </top>
      <bottom style="thick">
        <color rgb="FF000000"/>
      </bottom>
      <diagonal/>
    </border>
    <border>
      <left/>
      <right style="medium">
        <color rgb="FF000000"/>
      </right>
      <top/>
      <bottom style="thick">
        <color rgb="FF000000"/>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ck">
        <color rgb="FFD9D9D9"/>
      </right>
      <top/>
      <bottom style="medium">
        <color indexed="64"/>
      </bottom>
      <diagonal/>
    </border>
    <border>
      <left style="thick">
        <color rgb="FFD9D9D9"/>
      </left>
      <right style="mediumDashed">
        <color rgb="FFC2D69B"/>
      </right>
      <top/>
      <bottom style="medium">
        <color indexed="64"/>
      </bottom>
      <diagonal/>
    </border>
    <border>
      <left style="thick">
        <color rgb="FFD9D9D9"/>
      </left>
      <right style="thick">
        <color rgb="FFD9D9D9"/>
      </right>
      <top/>
      <bottom style="medium">
        <color indexed="64"/>
      </bottom>
      <diagonal/>
    </border>
    <border>
      <left style="mediumDashed">
        <color rgb="FFC2D69B"/>
      </left>
      <right/>
      <top style="medium">
        <color rgb="FFC2D69B"/>
      </top>
      <bottom/>
      <diagonal/>
    </border>
    <border>
      <left style="mediumDashed">
        <color rgb="FFC2D69B"/>
      </left>
      <right/>
      <top/>
      <bottom style="medium">
        <color rgb="FFC2D69B"/>
      </bottom>
      <diagonal/>
    </border>
    <border>
      <left style="medium">
        <color rgb="FF92D050"/>
      </left>
      <right style="medium">
        <color rgb="FF92D050"/>
      </right>
      <top style="medium">
        <color rgb="FF92D050"/>
      </top>
      <bottom style="medium">
        <color rgb="FF92D050"/>
      </bottom>
      <diagonal/>
    </border>
    <border>
      <left style="medium">
        <color rgb="FF92D050"/>
      </left>
      <right style="thin">
        <color indexed="64"/>
      </right>
      <top style="medium">
        <color rgb="FF92D050"/>
      </top>
      <bottom style="thin">
        <color indexed="64"/>
      </bottom>
      <diagonal/>
    </border>
    <border>
      <left style="thin">
        <color indexed="64"/>
      </left>
      <right style="thin">
        <color indexed="64"/>
      </right>
      <top style="medium">
        <color rgb="FF92D050"/>
      </top>
      <bottom style="thin">
        <color indexed="64"/>
      </bottom>
      <diagonal/>
    </border>
    <border>
      <left style="medium">
        <color rgb="FF92D050"/>
      </left>
      <right style="thin">
        <color indexed="64"/>
      </right>
      <top style="thin">
        <color indexed="64"/>
      </top>
      <bottom style="thin">
        <color indexed="64"/>
      </bottom>
      <diagonal/>
    </border>
    <border>
      <left style="medium">
        <color rgb="FF92D050"/>
      </left>
      <right style="thin">
        <color indexed="64"/>
      </right>
      <top style="thin">
        <color indexed="64"/>
      </top>
      <bottom style="medium">
        <color rgb="FF92D050"/>
      </bottom>
      <diagonal/>
    </border>
    <border>
      <left style="medium">
        <color rgb="FF92D050"/>
      </left>
      <right/>
      <top style="medium">
        <color rgb="FF92D050"/>
      </top>
      <bottom/>
      <diagonal/>
    </border>
    <border>
      <left/>
      <right/>
      <top style="medium">
        <color rgb="FF92D050"/>
      </top>
      <bottom/>
      <diagonal/>
    </border>
    <border>
      <left style="medium">
        <color rgb="FFC2D69B"/>
      </left>
      <right/>
      <top style="medium">
        <color rgb="FF92D050"/>
      </top>
      <bottom/>
      <diagonal/>
    </border>
    <border>
      <left style="medium">
        <color rgb="FF92D050"/>
      </left>
      <right/>
      <top/>
      <bottom style="medium">
        <color rgb="FF92D050"/>
      </bottom>
      <diagonal/>
    </border>
    <border>
      <left/>
      <right/>
      <top/>
      <bottom style="medium">
        <color rgb="FF92D050"/>
      </bottom>
      <diagonal/>
    </border>
    <border>
      <left style="medium">
        <color rgb="FFC2D69B"/>
      </left>
      <right/>
      <top/>
      <bottom style="medium">
        <color rgb="FF92D050"/>
      </bottom>
      <diagonal/>
    </border>
    <border>
      <left/>
      <right style="medium">
        <color rgb="FF92D050"/>
      </right>
      <top style="medium">
        <color rgb="FF92D050"/>
      </top>
      <bottom/>
      <diagonal/>
    </border>
    <border>
      <left/>
      <right style="medium">
        <color rgb="FF92D050"/>
      </right>
      <top/>
      <bottom style="medium">
        <color rgb="FF92D050"/>
      </bottom>
      <diagonal/>
    </border>
    <border>
      <left style="medium">
        <color rgb="FF92D050"/>
      </left>
      <right/>
      <top/>
      <bottom/>
      <diagonal/>
    </border>
    <border>
      <left/>
      <right style="thick">
        <color rgb="FFBFBFBF"/>
      </right>
      <top/>
      <bottom/>
      <diagonal/>
    </border>
    <border>
      <left/>
      <right style="thick">
        <color rgb="FFC2D69B"/>
      </right>
      <top/>
      <bottom/>
      <diagonal/>
    </border>
    <border>
      <left style="medium">
        <color rgb="FF92D050"/>
      </left>
      <right style="medium">
        <color rgb="FF92D050"/>
      </right>
      <top/>
      <bottom/>
      <diagonal/>
    </border>
    <border>
      <left style="thick">
        <color indexed="64"/>
      </left>
      <right/>
      <top style="thin">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1"/>
      </left>
      <right style="thin">
        <color theme="1"/>
      </right>
      <top style="thin">
        <color theme="1"/>
      </top>
      <bottom style="thin">
        <color theme="1"/>
      </bottom>
      <diagonal/>
    </border>
    <border>
      <left/>
      <right style="medium">
        <color rgb="FF92D050"/>
      </right>
      <top/>
      <bottom/>
      <diagonal/>
    </border>
    <border>
      <left style="thin">
        <color indexed="64"/>
      </left>
      <right/>
      <top style="medium">
        <color rgb="FF92D050"/>
      </top>
      <bottom style="thin">
        <color indexed="64"/>
      </bottom>
      <diagonal/>
    </border>
    <border>
      <left style="medium">
        <color rgb="FF92D050"/>
      </left>
      <right/>
      <top style="medium">
        <color rgb="FF92D050"/>
      </top>
      <bottom style="medium">
        <color rgb="FF92D05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rgb="FF92D050"/>
      </left>
      <right style="medium">
        <color rgb="FF92D050"/>
      </right>
      <top style="thin">
        <color indexed="64"/>
      </top>
      <bottom/>
      <diagonal/>
    </border>
    <border>
      <left style="medium">
        <color rgb="FF92D050"/>
      </left>
      <right style="medium">
        <color rgb="FF92D050"/>
      </right>
      <top/>
      <bottom style="thin">
        <color indexed="64"/>
      </bottom>
      <diagonal/>
    </border>
    <border>
      <left/>
      <right style="medium">
        <color rgb="FFC2D69B"/>
      </right>
      <top/>
      <bottom style="medium">
        <color indexed="64"/>
      </bottom>
      <diagonal/>
    </border>
    <border>
      <left style="medium">
        <color rgb="FFC2D69B"/>
      </left>
      <right/>
      <top/>
      <bottom style="medium">
        <color indexed="64"/>
      </bottom>
      <diagonal/>
    </border>
    <border>
      <left/>
      <right style="dotted">
        <color rgb="FFC2D69B"/>
      </right>
      <top/>
      <bottom style="medium">
        <color indexed="64"/>
      </bottom>
      <diagonal/>
    </border>
    <border>
      <left/>
      <right/>
      <top style="thick">
        <color rgb="FFA8D08D"/>
      </top>
      <bottom/>
      <diagonal/>
    </border>
    <border>
      <left/>
      <right style="thick">
        <color rgb="FF000000"/>
      </right>
      <top style="thick">
        <color rgb="FFA8D08D"/>
      </top>
      <bottom/>
      <diagonal/>
    </border>
    <border>
      <left/>
      <right style="medium">
        <color rgb="FF000000"/>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ck">
        <color rgb="FF000000"/>
      </bottom>
      <diagonal/>
    </border>
    <border>
      <left/>
      <right/>
      <top style="medium">
        <color indexed="64"/>
      </top>
      <bottom style="thick">
        <color rgb="FF000000"/>
      </bottom>
      <diagonal/>
    </border>
    <border>
      <left/>
      <right style="medium">
        <color indexed="64"/>
      </right>
      <top style="medium">
        <color indexed="64"/>
      </top>
      <bottom style="thick">
        <color rgb="FF000000"/>
      </bottom>
      <diagonal/>
    </border>
    <border>
      <left style="medium">
        <color indexed="64"/>
      </left>
      <right style="medium">
        <color rgb="FF000000"/>
      </right>
      <top/>
      <bottom style="medium">
        <color indexed="64"/>
      </bottom>
      <diagonal/>
    </border>
    <border>
      <left style="thin">
        <color theme="1"/>
      </left>
      <right/>
      <top style="thin">
        <color theme="1"/>
      </top>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right style="medium">
        <color indexed="64"/>
      </right>
      <top style="thin">
        <color indexed="64"/>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rgb="FF92D050"/>
      </left>
      <right style="medium">
        <color rgb="FF92D050"/>
      </right>
      <top style="medium">
        <color rgb="FF92D050"/>
      </top>
      <bottom/>
      <diagonal/>
    </border>
    <border>
      <left/>
      <right style="thin">
        <color indexed="64"/>
      </right>
      <top style="thin">
        <color indexed="64"/>
      </top>
      <bottom style="medium">
        <color rgb="FF92D050"/>
      </bottom>
      <diagonal/>
    </border>
    <border>
      <left style="medium">
        <color rgb="FF92D050"/>
      </left>
      <right style="thin">
        <color indexed="64"/>
      </right>
      <top style="medium">
        <color rgb="FF92D050"/>
      </top>
      <bottom/>
      <diagonal/>
    </border>
    <border>
      <left style="thin">
        <color indexed="64"/>
      </left>
      <right style="thin">
        <color indexed="64"/>
      </right>
      <top style="medium">
        <color rgb="FF92D050"/>
      </top>
      <bottom/>
      <diagonal/>
    </border>
    <border>
      <left style="thin">
        <color indexed="64"/>
      </left>
      <right/>
      <top style="medium">
        <color rgb="FF92D050"/>
      </top>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medium">
        <color rgb="FF92D050"/>
      </right>
      <top style="thin">
        <color indexed="64"/>
      </top>
      <bottom style="medium">
        <color indexed="64"/>
      </bottom>
      <diagonal/>
    </border>
    <border>
      <left style="medium">
        <color indexed="64"/>
      </left>
      <right/>
      <top style="thin">
        <color indexed="64"/>
      </top>
      <bottom/>
      <diagonal/>
    </border>
    <border>
      <left/>
      <right style="thin">
        <color theme="0"/>
      </right>
      <top/>
      <bottom style="medium">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3">
    <xf numFmtId="0" fontId="0" fillId="0" borderId="0"/>
    <xf numFmtId="164" fontId="10" fillId="0" borderId="0" applyFont="0" applyFill="0" applyBorder="0" applyAlignment="0" applyProtection="0"/>
    <xf numFmtId="9" fontId="10" fillId="0" borderId="0" applyFont="0" applyFill="0" applyBorder="0" applyAlignment="0" applyProtection="0"/>
  </cellStyleXfs>
  <cellXfs count="1097">
    <xf numFmtId="0" fontId="0" fillId="0" borderId="0" xfId="0"/>
    <xf numFmtId="0" fontId="0" fillId="2" borderId="1" xfId="0" applyFill="1" applyBorder="1"/>
    <xf numFmtId="0" fontId="4" fillId="0" borderId="0" xfId="0" applyFont="1" applyAlignment="1">
      <alignment horizontal="center" vertical="center"/>
    </xf>
    <xf numFmtId="0" fontId="5" fillId="0" borderId="0" xfId="0" applyFont="1"/>
    <xf numFmtId="0" fontId="5" fillId="0" borderId="1" xfId="0" applyFont="1" applyBorder="1"/>
    <xf numFmtId="0" fontId="5" fillId="2" borderId="1" xfId="0" applyFont="1" applyFill="1" applyBorder="1"/>
    <xf numFmtId="0" fontId="5" fillId="5" borderId="1" xfId="0" applyFont="1" applyFill="1" applyBorder="1"/>
    <xf numFmtId="0" fontId="3" fillId="0" borderId="0" xfId="0" applyFont="1" applyBorder="1" applyAlignment="1">
      <alignment horizontal="center" vertical="center"/>
    </xf>
    <xf numFmtId="0" fontId="5" fillId="2" borderId="2" xfId="0" applyFont="1" applyFill="1" applyBorder="1"/>
    <xf numFmtId="0" fontId="5" fillId="5" borderId="24" xfId="0" applyFont="1" applyFill="1" applyBorder="1" applyAlignment="1">
      <alignment horizontal="center"/>
    </xf>
    <xf numFmtId="0" fontId="5" fillId="7" borderId="14" xfId="0" applyFont="1" applyFill="1" applyBorder="1" applyAlignment="1">
      <alignment horizontal="center"/>
    </xf>
    <xf numFmtId="0" fontId="5" fillId="0" borderId="1" xfId="0" applyFont="1" applyBorder="1" applyAlignment="1">
      <alignment horizontal="center"/>
    </xf>
    <xf numFmtId="0" fontId="5" fillId="5" borderId="24" xfId="0" applyFont="1" applyFill="1" applyBorder="1"/>
    <xf numFmtId="0" fontId="5" fillId="5" borderId="22" xfId="0" applyFont="1" applyFill="1" applyBorder="1" applyAlignment="1">
      <alignment horizontal="center" vertical="center" textRotation="90" wrapText="1"/>
    </xf>
    <xf numFmtId="0" fontId="6" fillId="7" borderId="14" xfId="0" applyFont="1" applyFill="1" applyBorder="1" applyAlignment="1">
      <alignment horizontal="center"/>
    </xf>
    <xf numFmtId="0" fontId="0" fillId="8" borderId="0" xfId="0" applyFill="1"/>
    <xf numFmtId="0" fontId="5" fillId="7" borderId="1" xfId="0" applyFont="1" applyFill="1" applyBorder="1" applyAlignment="1">
      <alignment horizontal="center"/>
    </xf>
    <xf numFmtId="0" fontId="15" fillId="0" borderId="0" xfId="0" applyFont="1"/>
    <xf numFmtId="0" fontId="18" fillId="0" borderId="38" xfId="0" applyFont="1" applyBorder="1" applyAlignment="1">
      <alignment vertical="center" wrapText="1"/>
    </xf>
    <xf numFmtId="0" fontId="19" fillId="0" borderId="38" xfId="0" applyFont="1" applyBorder="1" applyAlignment="1">
      <alignment vertical="center" wrapText="1"/>
    </xf>
    <xf numFmtId="0" fontId="19" fillId="0" borderId="7" xfId="0" applyFont="1" applyBorder="1" applyAlignment="1">
      <alignment vertical="center" wrapText="1"/>
    </xf>
    <xf numFmtId="0" fontId="15" fillId="2" borderId="0" xfId="0" applyFont="1" applyFill="1"/>
    <xf numFmtId="0" fontId="19" fillId="2" borderId="8" xfId="0" applyFont="1" applyFill="1" applyBorder="1" applyAlignment="1">
      <alignment vertical="center" wrapText="1"/>
    </xf>
    <xf numFmtId="0" fontId="19" fillId="2" borderId="9" xfId="0" applyFont="1" applyFill="1" applyBorder="1" applyAlignment="1">
      <alignment vertical="center" wrapText="1"/>
    </xf>
    <xf numFmtId="0" fontId="19" fillId="2" borderId="36" xfId="0" applyFont="1" applyFill="1" applyBorder="1" applyAlignment="1">
      <alignment vertical="center" wrapText="1"/>
    </xf>
    <xf numFmtId="0" fontId="19" fillId="2" borderId="37" xfId="0" applyFont="1" applyFill="1" applyBorder="1" applyAlignment="1">
      <alignment vertical="center" wrapText="1"/>
    </xf>
    <xf numFmtId="0" fontId="15" fillId="2" borderId="0" xfId="0" applyFont="1" applyFill="1" applyBorder="1" applyAlignment="1">
      <alignment horizontal="center" vertical="center" textRotation="90"/>
    </xf>
    <xf numFmtId="0" fontId="19" fillId="11" borderId="10" xfId="0" applyFont="1" applyFill="1" applyBorder="1" applyAlignment="1">
      <alignment horizontal="center" vertical="center" wrapText="1"/>
    </xf>
    <xf numFmtId="0" fontId="20" fillId="12" borderId="10" xfId="0" applyFont="1" applyFill="1" applyBorder="1" applyAlignment="1">
      <alignment horizontal="center" vertical="center" wrapText="1"/>
    </xf>
    <xf numFmtId="0" fontId="20" fillId="13" borderId="10" xfId="0" applyFont="1" applyFill="1" applyBorder="1" applyAlignment="1">
      <alignment horizontal="center" vertical="center" wrapText="1"/>
    </xf>
    <xf numFmtId="0" fontId="15" fillId="17" borderId="29" xfId="0" applyFont="1" applyFill="1" applyBorder="1"/>
    <xf numFmtId="0" fontId="2" fillId="9" borderId="75" xfId="0" applyFont="1" applyFill="1" applyBorder="1" applyAlignment="1">
      <alignment vertical="center" wrapText="1"/>
    </xf>
    <xf numFmtId="0" fontId="0" fillId="23" borderId="76" xfId="0" applyFill="1" applyBorder="1" applyAlignment="1">
      <alignment vertical="center" wrapText="1"/>
    </xf>
    <xf numFmtId="165" fontId="0" fillId="0" borderId="73" xfId="1" applyNumberFormat="1" applyFont="1" applyBorder="1" applyAlignment="1">
      <alignment vertical="center" wrapText="1"/>
    </xf>
    <xf numFmtId="165" fontId="0" fillId="0" borderId="73" xfId="0" applyNumberFormat="1" applyBorder="1" applyAlignment="1">
      <alignment vertical="center" wrapText="1"/>
    </xf>
    <xf numFmtId="165" fontId="2" fillId="0" borderId="77" xfId="1" applyNumberFormat="1" applyFont="1" applyBorder="1" applyAlignment="1">
      <alignment vertical="center" wrapText="1"/>
    </xf>
    <xf numFmtId="165" fontId="23" fillId="0" borderId="77" xfId="1" applyNumberFormat="1" applyFont="1" applyBorder="1" applyAlignment="1">
      <alignment vertical="center" wrapText="1"/>
    </xf>
    <xf numFmtId="165" fontId="11" fillId="0" borderId="73" xfId="1" applyNumberFormat="1" applyFont="1" applyBorder="1" applyAlignment="1">
      <alignment vertical="center" wrapText="1"/>
    </xf>
    <xf numFmtId="165" fontId="11" fillId="0" borderId="74" xfId="1" applyNumberFormat="1" applyFont="1" applyBorder="1" applyAlignment="1">
      <alignment vertical="center" wrapText="1"/>
    </xf>
    <xf numFmtId="165" fontId="23" fillId="0" borderId="37" xfId="1" applyNumberFormat="1" applyFont="1" applyBorder="1" applyAlignment="1">
      <alignment vertical="center" wrapText="1"/>
    </xf>
    <xf numFmtId="0" fontId="6" fillId="24" borderId="1" xfId="0" applyFont="1" applyFill="1" applyBorder="1" applyAlignment="1">
      <alignment horizontal="center"/>
    </xf>
    <xf numFmtId="0" fontId="6" fillId="25" borderId="1" xfId="0" applyFont="1" applyFill="1" applyBorder="1" applyAlignment="1">
      <alignment horizontal="center"/>
    </xf>
    <xf numFmtId="0" fontId="24" fillId="26" borderId="15" xfId="0" applyFont="1" applyFill="1" applyBorder="1" applyAlignment="1">
      <alignment horizontal="center"/>
    </xf>
    <xf numFmtId="0" fontId="6" fillId="27" borderId="1" xfId="0" applyFont="1" applyFill="1" applyBorder="1" applyAlignment="1">
      <alignment horizontal="center"/>
    </xf>
    <xf numFmtId="0" fontId="19" fillId="11" borderId="7" xfId="0" applyFont="1" applyFill="1" applyBorder="1" applyAlignment="1">
      <alignment vertical="center" wrapText="1"/>
    </xf>
    <xf numFmtId="0" fontId="20" fillId="12" borderId="7" xfId="0" applyFont="1" applyFill="1" applyBorder="1" applyAlignment="1">
      <alignment vertical="center" wrapText="1"/>
    </xf>
    <xf numFmtId="0" fontId="20" fillId="13" borderId="7" xfId="0" applyFont="1" applyFill="1" applyBorder="1" applyAlignment="1">
      <alignment vertical="center" wrapText="1"/>
    </xf>
    <xf numFmtId="0" fontId="19" fillId="28" borderId="10" xfId="0" applyFont="1" applyFill="1" applyBorder="1" applyAlignment="1">
      <alignment horizontal="center" vertical="center" wrapText="1"/>
    </xf>
    <xf numFmtId="0" fontId="18" fillId="0" borderId="39" xfId="0" applyFont="1" applyBorder="1" applyAlignment="1">
      <alignment horizontal="center" vertical="center" wrapText="1"/>
    </xf>
    <xf numFmtId="0" fontId="19" fillId="22" borderId="10" xfId="0" applyFont="1" applyFill="1" applyBorder="1" applyAlignment="1">
      <alignment horizontal="center" vertical="center" wrapText="1"/>
    </xf>
    <xf numFmtId="0" fontId="5" fillId="7" borderId="14" xfId="0" applyFont="1" applyFill="1" applyBorder="1" applyAlignment="1">
      <alignment vertical="top"/>
    </xf>
    <xf numFmtId="0" fontId="5" fillId="7" borderId="14" xfId="0" applyFont="1" applyFill="1" applyBorder="1" applyAlignment="1">
      <alignment horizontal="center" vertical="top"/>
    </xf>
    <xf numFmtId="0" fontId="5" fillId="5" borderId="16" xfId="0" applyFont="1" applyFill="1" applyBorder="1" applyAlignment="1">
      <alignment horizontal="center" vertical="top"/>
    </xf>
    <xf numFmtId="0" fontId="5" fillId="5" borderId="1" xfId="0" applyFont="1" applyFill="1" applyBorder="1" applyAlignment="1">
      <alignment vertical="top"/>
    </xf>
    <xf numFmtId="0" fontId="5" fillId="5" borderId="15" xfId="0" applyFont="1" applyFill="1" applyBorder="1" applyAlignment="1">
      <alignment horizontal="center" vertical="top"/>
    </xf>
    <xf numFmtId="0" fontId="5" fillId="7" borderId="1" xfId="0" applyFont="1" applyFill="1" applyBorder="1" applyAlignment="1">
      <alignment horizontal="left" vertical="top"/>
    </xf>
    <xf numFmtId="0" fontId="5" fillId="5" borderId="1" xfId="0" applyFont="1" applyFill="1" applyBorder="1" applyAlignment="1">
      <alignment horizontal="left" vertical="top"/>
    </xf>
    <xf numFmtId="0" fontId="5" fillId="7" borderId="14" xfId="0" applyFont="1" applyFill="1" applyBorder="1" applyAlignment="1">
      <alignment horizontal="left" vertical="top"/>
    </xf>
    <xf numFmtId="0" fontId="29" fillId="29" borderId="6" xfId="0" applyFont="1" applyFill="1" applyBorder="1"/>
    <xf numFmtId="0" fontId="29" fillId="29" borderId="0" xfId="0" applyFont="1" applyFill="1" applyBorder="1"/>
    <xf numFmtId="0" fontId="30" fillId="29" borderId="0" xfId="0" applyFont="1" applyFill="1" applyBorder="1" applyAlignment="1">
      <alignment vertical="top"/>
    </xf>
    <xf numFmtId="0" fontId="29" fillId="29" borderId="0" xfId="0" applyFont="1" applyFill="1" applyBorder="1" applyAlignment="1">
      <alignment vertical="top"/>
    </xf>
    <xf numFmtId="0" fontId="29" fillId="29" borderId="12" xfId="0" applyFont="1" applyFill="1" applyBorder="1" applyAlignment="1"/>
    <xf numFmtId="0" fontId="29" fillId="29" borderId="14" xfId="0" applyFont="1" applyFill="1" applyBorder="1" applyAlignment="1"/>
    <xf numFmtId="0" fontId="29" fillId="29" borderId="7" xfId="0" applyFont="1" applyFill="1" applyBorder="1"/>
    <xf numFmtId="0" fontId="12" fillId="29" borderId="0" xfId="0" applyFont="1" applyFill="1"/>
    <xf numFmtId="0" fontId="34" fillId="29" borderId="12" xfId="0" applyFont="1" applyFill="1" applyBorder="1" applyAlignment="1"/>
    <xf numFmtId="0" fontId="34" fillId="29" borderId="0" xfId="0" applyFont="1" applyFill="1" applyBorder="1" applyAlignment="1"/>
    <xf numFmtId="0" fontId="18" fillId="0" borderId="1" xfId="0" applyFont="1" applyBorder="1" applyAlignment="1">
      <alignment vertical="center" wrapText="1"/>
    </xf>
    <xf numFmtId="0" fontId="38" fillId="0" borderId="0" xfId="0" applyFont="1"/>
    <xf numFmtId="0" fontId="29" fillId="29" borderId="0" xfId="0" applyFont="1" applyFill="1" applyBorder="1" applyAlignment="1"/>
    <xf numFmtId="0" fontId="6" fillId="3" borderId="2" xfId="0" applyFont="1" applyFill="1" applyBorder="1" applyAlignment="1">
      <alignment horizontal="center" vertical="center" wrapText="1"/>
    </xf>
    <xf numFmtId="0" fontId="6" fillId="3" borderId="19" xfId="0" applyFont="1" applyFill="1" applyBorder="1" applyAlignment="1">
      <alignment horizontal="center" vertical="center" wrapText="1"/>
    </xf>
    <xf numFmtId="0" fontId="4" fillId="20" borderId="66" xfId="0" applyFont="1" applyFill="1" applyBorder="1" applyAlignment="1">
      <alignment horizontal="center" vertical="center" wrapText="1"/>
    </xf>
    <xf numFmtId="0" fontId="5" fillId="0" borderId="0" xfId="0" applyFont="1" applyAlignment="1">
      <alignment horizontal="left"/>
    </xf>
    <xf numFmtId="0" fontId="29" fillId="29" borderId="0" xfId="0" applyFont="1" applyFill="1" applyBorder="1" applyAlignment="1">
      <alignment horizontal="left"/>
    </xf>
    <xf numFmtId="0" fontId="29" fillId="29" borderId="12" xfId="0" applyFont="1" applyFill="1" applyBorder="1" applyAlignment="1">
      <alignment horizontal="left"/>
    </xf>
    <xf numFmtId="0" fontId="29" fillId="29" borderId="14" xfId="0" applyFont="1" applyFill="1" applyBorder="1" applyAlignment="1">
      <alignment horizontal="left"/>
    </xf>
    <xf numFmtId="0" fontId="5" fillId="5" borderId="24" xfId="0" applyFont="1" applyFill="1" applyBorder="1" applyAlignment="1">
      <alignment horizontal="left" vertical="top"/>
    </xf>
    <xf numFmtId="0" fontId="5" fillId="5" borderId="25" xfId="0" applyFont="1" applyFill="1" applyBorder="1" applyAlignment="1">
      <alignment horizontal="left" vertical="top"/>
    </xf>
    <xf numFmtId="0" fontId="5" fillId="5" borderId="2" xfId="0" applyFont="1" applyFill="1" applyBorder="1" applyAlignment="1">
      <alignment horizontal="left" vertical="top"/>
    </xf>
    <xf numFmtId="0" fontId="5" fillId="5" borderId="24" xfId="0" applyFont="1" applyFill="1" applyBorder="1" applyAlignment="1">
      <alignment horizontal="left"/>
    </xf>
    <xf numFmtId="0" fontId="6" fillId="24" borderId="1" xfId="0" applyFont="1" applyFill="1" applyBorder="1" applyAlignment="1">
      <alignment horizontal="left"/>
    </xf>
    <xf numFmtId="0" fontId="6" fillId="25" borderId="1" xfId="0" applyFont="1" applyFill="1" applyBorder="1" applyAlignment="1">
      <alignment horizontal="left"/>
    </xf>
    <xf numFmtId="0" fontId="24" fillId="26" borderId="15" xfId="0" applyFont="1" applyFill="1" applyBorder="1" applyAlignment="1">
      <alignment horizontal="left"/>
    </xf>
    <xf numFmtId="0" fontId="5" fillId="0" borderId="1" xfId="0" applyFont="1" applyBorder="1" applyAlignment="1">
      <alignment horizontal="left"/>
    </xf>
    <xf numFmtId="0" fontId="5" fillId="2" borderId="2" xfId="0" applyFont="1" applyFill="1" applyBorder="1" applyAlignment="1">
      <alignment horizontal="left"/>
    </xf>
    <xf numFmtId="0" fontId="0" fillId="0" borderId="0" xfId="0" applyAlignment="1">
      <alignment horizontal="left"/>
    </xf>
    <xf numFmtId="0" fontId="5" fillId="0" borderId="22" xfId="0" applyFont="1" applyBorder="1" applyAlignment="1">
      <alignment vertical="top" textRotation="90"/>
    </xf>
    <xf numFmtId="0" fontId="5" fillId="0" borderId="0" xfId="0" applyFont="1" applyBorder="1" applyAlignment="1">
      <alignment vertical="top" textRotation="90"/>
    </xf>
    <xf numFmtId="0" fontId="19" fillId="11" borderId="37" xfId="0" applyFont="1" applyFill="1" applyBorder="1" applyAlignment="1">
      <alignment horizontal="center" vertical="center" wrapText="1"/>
    </xf>
    <xf numFmtId="0" fontId="20" fillId="12" borderId="5" xfId="0" applyFont="1" applyFill="1" applyBorder="1" applyAlignment="1">
      <alignment horizontal="center" vertical="center" wrapText="1"/>
    </xf>
    <xf numFmtId="0" fontId="20" fillId="13" borderId="5" xfId="0" applyFont="1" applyFill="1" applyBorder="1" applyAlignment="1">
      <alignment horizontal="center" vertical="center" wrapText="1"/>
    </xf>
    <xf numFmtId="0" fontId="18" fillId="17" borderId="38" xfId="0" applyFont="1" applyFill="1" applyBorder="1" applyAlignment="1">
      <alignment vertical="center" wrapText="1"/>
    </xf>
    <xf numFmtId="10" fontId="39" fillId="17" borderId="1" xfId="2" applyNumberFormat="1" applyFont="1" applyFill="1" applyBorder="1" applyAlignment="1" applyProtection="1">
      <alignment horizontal="center" vertical="center"/>
      <protection locked="0"/>
    </xf>
    <xf numFmtId="10" fontId="39" fillId="17" borderId="15" xfId="2" applyNumberFormat="1" applyFont="1" applyFill="1" applyBorder="1" applyAlignment="1" applyProtection="1">
      <alignment vertical="center"/>
      <protection locked="0"/>
    </xf>
    <xf numFmtId="10" fontId="39" fillId="17" borderId="89" xfId="2" applyNumberFormat="1" applyFont="1" applyFill="1" applyBorder="1" applyAlignment="1" applyProtection="1">
      <alignment horizontal="center" vertical="center"/>
      <protection locked="0"/>
    </xf>
    <xf numFmtId="0" fontId="18" fillId="17" borderId="40" xfId="0" applyFont="1" applyFill="1" applyBorder="1" applyAlignment="1">
      <alignment vertical="center" wrapText="1"/>
    </xf>
    <xf numFmtId="0" fontId="15" fillId="2" borderId="0" xfId="0" applyFont="1" applyFill="1" applyAlignment="1">
      <alignment horizontal="center" vertical="center" textRotation="90"/>
    </xf>
    <xf numFmtId="0" fontId="42" fillId="0" borderId="38" xfId="0" applyFont="1" applyBorder="1" applyAlignment="1">
      <alignment vertical="center" wrapText="1"/>
    </xf>
    <xf numFmtId="0" fontId="38" fillId="0" borderId="6" xfId="0" applyFont="1" applyBorder="1"/>
    <xf numFmtId="0" fontId="38" fillId="17" borderId="6" xfId="0" applyFont="1" applyFill="1" applyBorder="1"/>
    <xf numFmtId="10" fontId="41" fillId="17" borderId="1" xfId="2" applyNumberFormat="1" applyFont="1" applyFill="1" applyBorder="1"/>
    <xf numFmtId="0" fontId="38" fillId="0" borderId="95" xfId="0" applyFont="1" applyBorder="1"/>
    <xf numFmtId="0" fontId="38" fillId="0" borderId="8" xfId="0" applyFont="1" applyBorder="1"/>
    <xf numFmtId="0" fontId="38" fillId="17" borderId="8" xfId="0" applyFont="1" applyFill="1" applyBorder="1"/>
    <xf numFmtId="0" fontId="38" fillId="0" borderId="29" xfId="0" applyFont="1" applyBorder="1"/>
    <xf numFmtId="0" fontId="18" fillId="0" borderId="3" xfId="0" applyFont="1" applyBorder="1" applyAlignment="1">
      <alignment horizontal="center" vertical="center" wrapText="1"/>
    </xf>
    <xf numFmtId="0" fontId="18" fillId="17" borderId="3" xfId="0" applyFont="1" applyFill="1" applyBorder="1" applyAlignment="1">
      <alignment horizontal="center" vertical="center" wrapText="1"/>
    </xf>
    <xf numFmtId="2" fontId="41" fillId="17" borderId="1" xfId="0" applyNumberFormat="1" applyFont="1" applyFill="1" applyBorder="1"/>
    <xf numFmtId="0" fontId="19" fillId="2" borderId="0" xfId="0" applyFont="1" applyFill="1" applyAlignment="1">
      <alignment vertical="center" wrapText="1"/>
    </xf>
    <xf numFmtId="0" fontId="46" fillId="0" borderId="0" xfId="0" applyFont="1" applyAlignment="1">
      <alignment vertical="center"/>
    </xf>
    <xf numFmtId="0" fontId="29" fillId="29" borderId="0" xfId="0" applyFont="1" applyFill="1"/>
    <xf numFmtId="0" fontId="30" fillId="29" borderId="0" xfId="0" applyFont="1" applyFill="1" applyAlignment="1">
      <alignment vertical="top"/>
    </xf>
    <xf numFmtId="0" fontId="29" fillId="29" borderId="0" xfId="0" applyFont="1" applyFill="1" applyAlignment="1">
      <alignment vertical="top"/>
    </xf>
    <xf numFmtId="0" fontId="29" fillId="29" borderId="11" xfId="0" applyFont="1" applyFill="1" applyBorder="1"/>
    <xf numFmtId="0" fontId="29" fillId="29" borderId="12" xfId="0" applyFont="1" applyFill="1" applyBorder="1"/>
    <xf numFmtId="0" fontId="0" fillId="20" borderId="0" xfId="0" applyFill="1" applyAlignment="1">
      <alignment vertical="center" wrapText="1"/>
    </xf>
    <xf numFmtId="0" fontId="18" fillId="0" borderId="3" xfId="0" applyFont="1" applyBorder="1" applyAlignment="1">
      <alignment vertical="center" wrapText="1"/>
    </xf>
    <xf numFmtId="0" fontId="31" fillId="29" borderId="0" xfId="0" applyFont="1" applyFill="1" applyBorder="1" applyAlignment="1">
      <alignment horizontal="left" vertical="center" wrapText="1"/>
    </xf>
    <xf numFmtId="17" fontId="47" fillId="24" borderId="1" xfId="0" applyNumberFormat="1" applyFont="1" applyFill="1" applyBorder="1" applyAlignment="1">
      <alignment horizontal="center" vertical="center" wrapText="1"/>
    </xf>
    <xf numFmtId="0" fontId="6" fillId="3" borderId="22" xfId="0" applyFont="1" applyFill="1" applyBorder="1" applyAlignment="1">
      <alignment horizontal="center" vertical="center" wrapText="1"/>
    </xf>
    <xf numFmtId="0" fontId="29" fillId="29" borderId="6" xfId="0" applyFont="1" applyFill="1" applyBorder="1" applyAlignment="1">
      <alignment horizontal="center"/>
    </xf>
    <xf numFmtId="0" fontId="6" fillId="3" borderId="88" xfId="0" applyFont="1" applyFill="1" applyBorder="1" applyAlignment="1">
      <alignment horizontal="center" vertical="center" wrapText="1"/>
    </xf>
    <xf numFmtId="0" fontId="5" fillId="2" borderId="1" xfId="0" applyFont="1" applyFill="1" applyBorder="1" applyAlignment="1">
      <alignment horizontal="center"/>
    </xf>
    <xf numFmtId="0" fontId="0" fillId="0" borderId="0" xfId="0" applyAlignment="1">
      <alignment horizontal="center"/>
    </xf>
    <xf numFmtId="0" fontId="5" fillId="0" borderId="0" xfId="0" applyFont="1" applyAlignment="1">
      <alignment horizontal="center"/>
    </xf>
    <xf numFmtId="0" fontId="29" fillId="29" borderId="0" xfId="0" applyFont="1" applyFill="1" applyBorder="1" applyAlignment="1">
      <alignment horizontal="center"/>
    </xf>
    <xf numFmtId="0" fontId="29" fillId="29" borderId="12" xfId="0" applyFont="1" applyFill="1" applyBorder="1" applyAlignment="1">
      <alignment horizontal="center"/>
    </xf>
    <xf numFmtId="0" fontId="29" fillId="29" borderId="14" xfId="0" applyFont="1" applyFill="1" applyBorder="1" applyAlignment="1">
      <alignment horizontal="center"/>
    </xf>
    <xf numFmtId="0" fontId="5" fillId="0" borderId="0" xfId="0" applyFont="1" applyAlignment="1">
      <alignment horizontal="center" vertical="center"/>
    </xf>
    <xf numFmtId="0" fontId="29" fillId="29" borderId="0" xfId="0" applyFont="1" applyFill="1" applyBorder="1" applyAlignment="1">
      <alignment horizontal="center" vertical="center"/>
    </xf>
    <xf numFmtId="0" fontId="29" fillId="29" borderId="7" xfId="0" applyFont="1" applyFill="1" applyBorder="1" applyAlignment="1">
      <alignment horizontal="center" vertical="center"/>
    </xf>
    <xf numFmtId="0" fontId="47" fillId="24"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Alignment="1">
      <alignment horizontal="center" vertical="center"/>
    </xf>
    <xf numFmtId="0" fontId="13" fillId="17" borderId="1" xfId="0" applyFont="1" applyFill="1" applyBorder="1" applyAlignment="1"/>
    <xf numFmtId="0" fontId="1" fillId="0" borderId="1" xfId="0" applyFont="1" applyBorder="1" applyAlignment="1">
      <alignment horizontal="center" vertical="center"/>
    </xf>
    <xf numFmtId="0" fontId="13" fillId="34" borderId="18" xfId="0" applyFont="1" applyFill="1" applyBorder="1" applyAlignment="1">
      <alignment horizontal="center" vertical="center"/>
    </xf>
    <xf numFmtId="0" fontId="0" fillId="35" borderId="0" xfId="0" applyFill="1"/>
    <xf numFmtId="0" fontId="0" fillId="0" borderId="0" xfId="0" applyBorder="1"/>
    <xf numFmtId="0" fontId="0" fillId="35" borderId="0" xfId="0" applyFill="1" applyBorder="1"/>
    <xf numFmtId="0" fontId="0" fillId="2" borderId="0" xfId="0" applyFill="1" applyBorder="1"/>
    <xf numFmtId="0" fontId="0" fillId="2" borderId="0" xfId="0" applyFill="1" applyBorder="1" applyAlignment="1">
      <alignment horizontal="center"/>
    </xf>
    <xf numFmtId="0" fontId="7" fillId="2" borderId="17" xfId="0" applyFont="1" applyFill="1" applyBorder="1" applyAlignment="1">
      <alignment horizontal="center" vertical="center"/>
    </xf>
    <xf numFmtId="0" fontId="7" fillId="2" borderId="0" xfId="0" applyFont="1" applyFill="1" applyBorder="1" applyAlignment="1">
      <alignment horizontal="center" vertical="center"/>
    </xf>
    <xf numFmtId="0" fontId="0" fillId="2" borderId="0" xfId="0" applyFill="1"/>
    <xf numFmtId="0" fontId="2" fillId="17" borderId="1" xfId="0" applyFont="1" applyFill="1" applyBorder="1" applyAlignment="1">
      <alignment horizontal="center" vertical="center"/>
    </xf>
    <xf numFmtId="0" fontId="1" fillId="2" borderId="17" xfId="0" applyFont="1" applyFill="1" applyBorder="1" applyAlignment="1">
      <alignment horizontal="center" vertical="center" textRotation="90"/>
    </xf>
    <xf numFmtId="0" fontId="1" fillId="2" borderId="2" xfId="0" applyFont="1" applyFill="1" applyBorder="1" applyAlignment="1">
      <alignment vertical="center" textRotation="90" wrapText="1"/>
    </xf>
    <xf numFmtId="0" fontId="0" fillId="24" borderId="1" xfId="0" applyFill="1" applyBorder="1"/>
    <xf numFmtId="0" fontId="0" fillId="0" borderId="0" xfId="0" applyAlignment="1">
      <alignment vertical="center"/>
    </xf>
    <xf numFmtId="0" fontId="29" fillId="29" borderId="12" xfId="0" applyFont="1" applyFill="1" applyBorder="1" applyAlignment="1">
      <alignment horizontal="center" vertical="center"/>
    </xf>
    <xf numFmtId="0" fontId="29" fillId="29" borderId="14" xfId="0" applyFont="1" applyFill="1" applyBorder="1" applyAlignment="1">
      <alignment horizontal="center" vertical="center"/>
    </xf>
    <xf numFmtId="0" fontId="0" fillId="2" borderId="0" xfId="0" applyFill="1" applyBorder="1" applyAlignment="1">
      <alignment horizontal="center" vertical="center"/>
    </xf>
    <xf numFmtId="0" fontId="0" fillId="2" borderId="0" xfId="0" applyFill="1" applyAlignment="1">
      <alignment horizontal="center" vertical="center"/>
    </xf>
    <xf numFmtId="0" fontId="0" fillId="24" borderId="1" xfId="0" applyFill="1" applyBorder="1" applyAlignment="1">
      <alignment vertical="center"/>
    </xf>
    <xf numFmtId="0" fontId="0" fillId="24" borderId="1" xfId="0" applyFill="1" applyBorder="1" applyAlignment="1">
      <alignment horizontal="center" vertical="center"/>
    </xf>
    <xf numFmtId="0" fontId="6" fillId="36" borderId="16" xfId="0" applyFont="1" applyFill="1" applyBorder="1" applyAlignment="1">
      <alignment horizontal="center" vertical="center"/>
    </xf>
    <xf numFmtId="0" fontId="6" fillId="36" borderId="16" xfId="0" applyFont="1" applyFill="1" applyBorder="1" applyAlignment="1">
      <alignment horizontal="left" vertical="center"/>
    </xf>
    <xf numFmtId="0" fontId="9" fillId="17" borderId="1" xfId="0" applyFont="1" applyFill="1" applyBorder="1" applyAlignment="1">
      <alignment horizontal="center"/>
    </xf>
    <xf numFmtId="0" fontId="1" fillId="0" borderId="1" xfId="0" applyFont="1" applyBorder="1" applyAlignment="1">
      <alignment horizontal="left"/>
    </xf>
    <xf numFmtId="0" fontId="1" fillId="0" borderId="15" xfId="0" applyFont="1" applyBorder="1" applyAlignment="1">
      <alignment horizontal="center" vertical="center"/>
    </xf>
    <xf numFmtId="0" fontId="5" fillId="7" borderId="14" xfId="0" applyFont="1" applyFill="1" applyBorder="1" applyAlignment="1">
      <alignment horizontal="center" vertical="center"/>
    </xf>
    <xf numFmtId="0" fontId="13" fillId="37" borderId="1" xfId="0" applyFont="1" applyFill="1" applyBorder="1" applyAlignment="1">
      <alignment horizontal="center"/>
    </xf>
    <xf numFmtId="17" fontId="47" fillId="37" borderId="1" xfId="0" applyNumberFormat="1" applyFont="1" applyFill="1" applyBorder="1" applyAlignment="1">
      <alignment horizontal="center" vertical="center" wrapText="1"/>
    </xf>
    <xf numFmtId="0" fontId="47" fillId="37" borderId="16" xfId="0" applyFont="1" applyFill="1" applyBorder="1" applyAlignment="1">
      <alignment horizontal="center" vertical="center" wrapText="1"/>
    </xf>
    <xf numFmtId="0" fontId="47" fillId="37" borderId="1" xfId="0" applyFont="1" applyFill="1" applyBorder="1" applyAlignment="1">
      <alignment horizontal="center" vertical="center" wrapText="1"/>
    </xf>
    <xf numFmtId="0" fontId="13" fillId="37" borderId="1" xfId="0" applyFont="1" applyFill="1" applyBorder="1" applyAlignment="1">
      <alignment horizontal="center" vertical="center"/>
    </xf>
    <xf numFmtId="0" fontId="19" fillId="11" borderId="7" xfId="0" applyFont="1" applyFill="1" applyBorder="1" applyAlignment="1">
      <alignment horizontal="center" vertical="center" wrapText="1"/>
    </xf>
    <xf numFmtId="0" fontId="20" fillId="12" borderId="7" xfId="0" applyFont="1" applyFill="1" applyBorder="1" applyAlignment="1">
      <alignment horizontal="center" vertical="center" wrapText="1"/>
    </xf>
    <xf numFmtId="0" fontId="20" fillId="13" borderId="7" xfId="0" applyFont="1" applyFill="1" applyBorder="1" applyAlignment="1">
      <alignment horizontal="center" vertical="center" wrapText="1"/>
    </xf>
    <xf numFmtId="0" fontId="19" fillId="7" borderId="38" xfId="0" applyFont="1" applyFill="1" applyBorder="1" applyAlignment="1">
      <alignment vertical="center" wrapText="1"/>
    </xf>
    <xf numFmtId="0" fontId="0" fillId="35" borderId="1" xfId="0" applyFill="1" applyBorder="1" applyAlignment="1">
      <alignment vertical="center"/>
    </xf>
    <xf numFmtId="0" fontId="4" fillId="24" borderId="1" xfId="0" applyFont="1" applyFill="1" applyBorder="1" applyAlignment="1"/>
    <xf numFmtId="0" fontId="20" fillId="12" borderId="37" xfId="0" applyFont="1" applyFill="1" applyBorder="1" applyAlignment="1">
      <alignment horizontal="center" vertical="center" wrapText="1"/>
    </xf>
    <xf numFmtId="0" fontId="20" fillId="13" borderId="37" xfId="0" applyFont="1" applyFill="1" applyBorder="1" applyAlignment="1">
      <alignment horizontal="center" vertical="center" wrapText="1"/>
    </xf>
    <xf numFmtId="0" fontId="19" fillId="7" borderId="8" xfId="0" applyFont="1" applyFill="1" applyBorder="1" applyAlignment="1">
      <alignment vertical="center" wrapText="1"/>
    </xf>
    <xf numFmtId="0" fontId="18" fillId="0" borderId="40" xfId="0" applyFont="1" applyBorder="1" applyAlignment="1">
      <alignment vertical="center" wrapText="1"/>
    </xf>
    <xf numFmtId="0" fontId="19" fillId="0" borderId="40" xfId="0" applyFont="1" applyBorder="1" applyAlignment="1">
      <alignment vertical="center" wrapText="1"/>
    </xf>
    <xf numFmtId="0" fontId="18" fillId="24" borderId="39" xfId="0" applyFont="1" applyFill="1" applyBorder="1" applyAlignment="1">
      <alignment horizontal="center" vertical="center" wrapText="1"/>
    </xf>
    <xf numFmtId="0" fontId="18" fillId="37" borderId="8" xfId="0" applyFont="1" applyFill="1" applyBorder="1" applyAlignment="1">
      <alignment vertical="center" wrapText="1"/>
    </xf>
    <xf numFmtId="0" fontId="18" fillId="37" borderId="10" xfId="0" applyFont="1" applyFill="1" applyBorder="1" applyAlignment="1">
      <alignment vertical="center" wrapText="1"/>
    </xf>
    <xf numFmtId="0" fontId="0" fillId="37" borderId="8" xfId="0" applyFill="1" applyBorder="1" applyAlignment="1"/>
    <xf numFmtId="0" fontId="0" fillId="37" borderId="10" xfId="0" applyFill="1" applyBorder="1" applyAlignment="1"/>
    <xf numFmtId="0" fontId="0" fillId="37" borderId="79" xfId="0" applyFill="1" applyBorder="1" applyAlignment="1"/>
    <xf numFmtId="0" fontId="18" fillId="37" borderId="3" xfId="0" applyFont="1" applyFill="1" applyBorder="1" applyAlignment="1">
      <alignment vertical="center" wrapText="1"/>
    </xf>
    <xf numFmtId="0" fontId="18" fillId="37" borderId="5" xfId="0" applyFont="1" applyFill="1" applyBorder="1" applyAlignment="1">
      <alignment vertical="center" wrapText="1"/>
    </xf>
    <xf numFmtId="0" fontId="0" fillId="37" borderId="3" xfId="0" applyFill="1" applyBorder="1" applyAlignment="1"/>
    <xf numFmtId="0" fontId="0" fillId="37" borderId="5" xfId="0" applyFill="1" applyBorder="1" applyAlignment="1"/>
    <xf numFmtId="0" fontId="0" fillId="37" borderId="78" xfId="0" applyFill="1" applyBorder="1" applyAlignment="1"/>
    <xf numFmtId="0" fontId="0" fillId="37" borderId="39" xfId="0" applyFill="1" applyBorder="1" applyAlignment="1"/>
    <xf numFmtId="0" fontId="0" fillId="37" borderId="38" xfId="0" applyFill="1" applyBorder="1" applyAlignment="1"/>
    <xf numFmtId="0" fontId="12" fillId="0" borderId="0" xfId="0" applyFont="1"/>
    <xf numFmtId="0" fontId="13" fillId="38" borderId="1" xfId="0" applyFont="1" applyFill="1" applyBorder="1" applyAlignment="1">
      <alignment horizontal="center" vertical="center" wrapText="1"/>
    </xf>
    <xf numFmtId="0" fontId="13" fillId="38" borderId="1" xfId="0" applyFont="1" applyFill="1" applyBorder="1" applyAlignment="1">
      <alignment vertical="center" wrapText="1"/>
    </xf>
    <xf numFmtId="17" fontId="13" fillId="38" borderId="1" xfId="0" applyNumberFormat="1" applyFont="1" applyFill="1" applyBorder="1" applyAlignment="1">
      <alignment horizontal="center" vertical="center" wrapText="1"/>
    </xf>
    <xf numFmtId="0" fontId="13" fillId="38" borderId="13" xfId="0" applyFont="1" applyFill="1" applyBorder="1" applyAlignment="1">
      <alignment horizontal="center" vertical="center"/>
    </xf>
    <xf numFmtId="0" fontId="13" fillId="38" borderId="15" xfId="0" applyFont="1" applyFill="1" applyBorder="1" applyAlignment="1">
      <alignment horizontal="center" vertical="center"/>
    </xf>
    <xf numFmtId="0" fontId="13" fillId="38" borderId="1" xfId="0" applyFont="1" applyFill="1" applyBorder="1"/>
    <xf numFmtId="0" fontId="37" fillId="38" borderId="1" xfId="0" applyFont="1" applyFill="1" applyBorder="1" applyAlignment="1">
      <alignment vertical="center" wrapText="1"/>
    </xf>
    <xf numFmtId="0" fontId="47" fillId="38" borderId="1" xfId="0" applyFont="1" applyFill="1" applyBorder="1" applyAlignment="1">
      <alignment horizontal="center" vertical="center" wrapText="1"/>
    </xf>
    <xf numFmtId="0" fontId="13" fillId="38" borderId="15" xfId="0" applyFont="1" applyFill="1" applyBorder="1" applyAlignment="1">
      <alignment horizontal="left" vertical="top" wrapText="1"/>
    </xf>
    <xf numFmtId="0" fontId="13" fillId="38" borderId="15" xfId="0" applyFont="1" applyFill="1" applyBorder="1" applyAlignment="1">
      <alignment horizontal="left" wrapText="1"/>
    </xf>
    <xf numFmtId="0" fontId="0" fillId="38" borderId="1" xfId="0" applyFill="1" applyBorder="1" applyAlignment="1">
      <alignment horizontal="center" vertical="center"/>
    </xf>
    <xf numFmtId="0" fontId="0" fillId="38" borderId="1" xfId="0" applyFont="1" applyFill="1" applyBorder="1" applyAlignment="1">
      <alignment horizontal="center" vertical="center"/>
    </xf>
    <xf numFmtId="0" fontId="6" fillId="38" borderId="0" xfId="0" applyFont="1" applyFill="1" applyBorder="1" applyAlignment="1">
      <alignment vertical="top"/>
    </xf>
    <xf numFmtId="0" fontId="29" fillId="29" borderId="13" xfId="0" applyFont="1" applyFill="1" applyBorder="1" applyAlignment="1">
      <alignment horizontal="left"/>
    </xf>
    <xf numFmtId="0" fontId="1" fillId="24" borderId="12" xfId="0" applyFont="1" applyFill="1" applyBorder="1"/>
    <xf numFmtId="167" fontId="1" fillId="24" borderId="12" xfId="0" applyNumberFormat="1" applyFont="1" applyFill="1" applyBorder="1"/>
    <xf numFmtId="9" fontId="41" fillId="0" borderId="1" xfId="2" applyNumberFormat="1" applyFont="1" applyBorder="1" applyAlignment="1">
      <alignment horizontal="center"/>
    </xf>
    <xf numFmtId="0" fontId="12" fillId="29" borderId="0" xfId="0" applyFont="1" applyFill="1" applyAlignment="1">
      <alignment horizontal="center"/>
    </xf>
    <xf numFmtId="0" fontId="34" fillId="29" borderId="0" xfId="0" applyFont="1" applyFill="1" applyBorder="1" applyAlignment="1">
      <alignment horizontal="center"/>
    </xf>
    <xf numFmtId="0" fontId="12" fillId="29" borderId="0" xfId="0" applyFont="1" applyFill="1" applyAlignment="1">
      <alignment horizontal="center" vertical="center"/>
    </xf>
    <xf numFmtId="0" fontId="34" fillId="29" borderId="0" xfId="0" applyFont="1" applyFill="1" applyBorder="1" applyAlignment="1">
      <alignment horizontal="center" vertical="center"/>
    </xf>
    <xf numFmtId="0" fontId="0" fillId="0" borderId="15" xfId="0" applyBorder="1"/>
    <xf numFmtId="0" fontId="26" fillId="29" borderId="0" xfId="0" applyFont="1" applyFill="1" applyBorder="1" applyAlignment="1">
      <alignment horizontal="center" vertical="center"/>
    </xf>
    <xf numFmtId="0" fontId="2" fillId="24" borderId="1" xfId="0" applyFont="1" applyFill="1" applyBorder="1" applyAlignment="1"/>
    <xf numFmtId="0" fontId="29" fillId="0" borderId="1" xfId="0" applyFont="1" applyBorder="1" applyAlignment="1">
      <alignment horizontal="center" vertical="center"/>
    </xf>
    <xf numFmtId="0" fontId="29" fillId="0" borderId="111" xfId="0" applyFont="1" applyBorder="1" applyAlignment="1">
      <alignment horizontal="center" vertical="center"/>
    </xf>
    <xf numFmtId="0" fontId="29" fillId="0" borderId="112" xfId="0" applyFont="1" applyBorder="1" applyAlignment="1">
      <alignment horizontal="center" vertical="center"/>
    </xf>
    <xf numFmtId="0" fontId="0" fillId="0" borderId="108" xfId="0" applyBorder="1"/>
    <xf numFmtId="0" fontId="1" fillId="0" borderId="35" xfId="0" applyFont="1" applyBorder="1" applyAlignment="1">
      <alignment horizontal="center" vertical="center"/>
    </xf>
    <xf numFmtId="0" fontId="29" fillId="29" borderId="0" xfId="0" applyFont="1" applyFill="1" applyAlignment="1">
      <alignment horizontal="center"/>
    </xf>
    <xf numFmtId="0" fontId="19" fillId="2" borderId="36" xfId="0" applyFont="1" applyFill="1" applyBorder="1" applyAlignment="1">
      <alignment horizontal="center" vertical="center" wrapText="1"/>
    </xf>
    <xf numFmtId="0" fontId="19" fillId="2" borderId="37" xfId="0" applyFont="1" applyFill="1" applyBorder="1" applyAlignment="1">
      <alignment horizontal="center" vertical="center" wrapText="1"/>
    </xf>
    <xf numFmtId="10" fontId="41" fillId="31" borderId="1" xfId="2" applyNumberFormat="1" applyFont="1" applyFill="1" applyBorder="1" applyAlignment="1">
      <alignment horizontal="center"/>
    </xf>
    <xf numFmtId="0" fontId="19" fillId="10" borderId="7" xfId="0" applyFont="1" applyFill="1" applyBorder="1" applyAlignment="1">
      <alignment horizontal="center" vertical="center" wrapText="1"/>
    </xf>
    <xf numFmtId="0" fontId="19" fillId="2" borderId="0" xfId="0" applyFont="1" applyFill="1" applyAlignment="1">
      <alignment horizontal="center" vertical="center" wrapText="1"/>
    </xf>
    <xf numFmtId="0" fontId="0" fillId="23" borderId="76" xfId="0" applyFill="1" applyBorder="1" applyAlignment="1">
      <alignment horizontal="center" vertical="center" wrapText="1"/>
    </xf>
    <xf numFmtId="0" fontId="18" fillId="17" borderId="8" xfId="0" applyFont="1" applyFill="1" applyBorder="1" applyAlignment="1">
      <alignment vertical="center" wrapText="1"/>
    </xf>
    <xf numFmtId="0" fontId="19" fillId="11" borderId="5" xfId="0" applyFont="1" applyFill="1" applyBorder="1" applyAlignment="1">
      <alignment horizontal="center" vertical="center" wrapText="1"/>
    </xf>
    <xf numFmtId="0" fontId="13" fillId="38" borderId="1" xfId="0" applyFont="1" applyFill="1" applyBorder="1" applyAlignment="1">
      <alignment horizontal="center"/>
    </xf>
    <xf numFmtId="0" fontId="42" fillId="0" borderId="8" xfId="0" applyFont="1" applyBorder="1" applyAlignment="1">
      <alignment vertical="center" wrapText="1"/>
    </xf>
    <xf numFmtId="0" fontId="19" fillId="2" borderId="10" xfId="0" applyFont="1" applyFill="1" applyBorder="1" applyAlignment="1">
      <alignment vertical="center" wrapText="1"/>
    </xf>
    <xf numFmtId="167" fontId="4" fillId="24" borderId="0" xfId="0" applyNumberFormat="1" applyFont="1" applyFill="1" applyBorder="1" applyAlignment="1">
      <alignment horizontal="center"/>
    </xf>
    <xf numFmtId="0" fontId="19" fillId="7" borderId="0" xfId="0" applyFont="1" applyFill="1" applyBorder="1" applyAlignment="1">
      <alignment vertical="center" wrapText="1"/>
    </xf>
    <xf numFmtId="0" fontId="18" fillId="24" borderId="0" xfId="0" applyFont="1" applyFill="1" applyBorder="1" applyAlignment="1">
      <alignment horizontal="center" vertical="center" wrapText="1"/>
    </xf>
    <xf numFmtId="0" fontId="0" fillId="37" borderId="4" xfId="0" applyFill="1" applyBorder="1" applyAlignment="1"/>
    <xf numFmtId="0" fontId="0" fillId="37" borderId="9" xfId="0" applyFill="1" applyBorder="1" applyAlignment="1"/>
    <xf numFmtId="0" fontId="47"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31" fillId="29" borderId="0" xfId="0" applyFont="1" applyFill="1" applyBorder="1" applyAlignment="1">
      <alignment horizontal="left" vertical="center" wrapText="1"/>
    </xf>
    <xf numFmtId="0" fontId="19" fillId="9" borderId="37" xfId="0" applyFont="1" applyFill="1" applyBorder="1" applyAlignment="1">
      <alignment horizontal="left" vertical="center" wrapText="1"/>
    </xf>
    <xf numFmtId="0" fontId="19" fillId="9" borderId="10" xfId="0" applyFont="1" applyFill="1" applyBorder="1" applyAlignment="1">
      <alignment vertical="center" wrapText="1"/>
    </xf>
    <xf numFmtId="0" fontId="21" fillId="37" borderId="37" xfId="0" applyFont="1" applyFill="1" applyBorder="1" applyAlignment="1">
      <alignment horizontal="center" vertical="center" wrapText="1"/>
    </xf>
    <xf numFmtId="0" fontId="16" fillId="17" borderId="37"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9" fillId="9" borderId="37" xfId="0" applyFont="1" applyFill="1" applyBorder="1" applyAlignment="1">
      <alignment vertical="center" wrapText="1"/>
    </xf>
    <xf numFmtId="0" fontId="19" fillId="9" borderId="5" xfId="0" applyFont="1" applyFill="1" applyBorder="1" applyAlignment="1">
      <alignment horizontal="left" vertical="center" wrapText="1"/>
    </xf>
    <xf numFmtId="0" fontId="19" fillId="9" borderId="10" xfId="0" applyFont="1" applyFill="1" applyBorder="1" applyAlignment="1">
      <alignment horizontal="left" vertical="center" wrapText="1"/>
    </xf>
    <xf numFmtId="0" fontId="49" fillId="17" borderId="37" xfId="0" applyFont="1" applyFill="1" applyBorder="1" applyAlignment="1">
      <alignment horizontal="center" vertical="center" wrapText="1"/>
    </xf>
    <xf numFmtId="0" fontId="19" fillId="9" borderId="7" xfId="0" applyFont="1" applyFill="1" applyBorder="1" applyAlignment="1">
      <alignment vertical="center" wrapText="1"/>
    </xf>
    <xf numFmtId="0" fontId="19" fillId="9" borderId="0" xfId="0" applyFont="1" applyFill="1" applyBorder="1" applyAlignment="1">
      <alignment vertical="center" wrapText="1"/>
    </xf>
    <xf numFmtId="1" fontId="0" fillId="38" borderId="1" xfId="0" applyNumberFormat="1" applyFill="1" applyBorder="1" applyAlignment="1" applyProtection="1">
      <alignment horizontal="center"/>
      <protection locked="0"/>
    </xf>
    <xf numFmtId="0" fontId="19" fillId="17" borderId="0" xfId="0" applyFont="1" applyFill="1" applyBorder="1" applyAlignment="1">
      <alignment vertical="center" wrapText="1"/>
    </xf>
    <xf numFmtId="0" fontId="13" fillId="17" borderId="0" xfId="0" applyFont="1" applyFill="1" applyBorder="1" applyAlignment="1">
      <alignment horizontal="center"/>
    </xf>
    <xf numFmtId="0" fontId="38" fillId="0" borderId="132" xfId="0" applyFont="1" applyBorder="1"/>
    <xf numFmtId="0" fontId="13" fillId="17" borderId="7" xfId="0" applyFont="1" applyFill="1" applyBorder="1" applyAlignment="1">
      <alignment horizontal="center"/>
    </xf>
    <xf numFmtId="0" fontId="19" fillId="2" borderId="0" xfId="0" applyFont="1" applyFill="1" applyBorder="1" applyAlignment="1">
      <alignment vertical="center" wrapText="1"/>
    </xf>
    <xf numFmtId="0" fontId="12" fillId="29" borderId="0" xfId="0" applyFont="1" applyFill="1" applyAlignment="1"/>
    <xf numFmtId="0" fontId="21" fillId="37" borderId="0" xfId="0" applyFont="1" applyFill="1" applyBorder="1" applyAlignment="1">
      <alignment horizontal="center" vertical="center" wrapText="1"/>
    </xf>
    <xf numFmtId="0" fontId="15" fillId="0" borderId="7" xfId="0" applyFont="1" applyBorder="1"/>
    <xf numFmtId="0" fontId="18" fillId="0" borderId="133" xfId="0" applyFont="1" applyBorder="1" applyAlignment="1">
      <alignment vertical="center" wrapText="1"/>
    </xf>
    <xf numFmtId="0" fontId="19" fillId="2" borderId="6" xfId="0" applyFont="1" applyFill="1" applyBorder="1" applyAlignment="1">
      <alignment vertical="center" wrapText="1"/>
    </xf>
    <xf numFmtId="0" fontId="19" fillId="2" borderId="4" xfId="0" applyFont="1" applyFill="1" applyBorder="1" applyAlignment="1">
      <alignment vertical="center" wrapText="1"/>
    </xf>
    <xf numFmtId="0" fontId="19" fillId="2" borderId="5" xfId="0" applyFont="1" applyFill="1" applyBorder="1" applyAlignment="1">
      <alignment vertical="center" wrapText="1"/>
    </xf>
    <xf numFmtId="0" fontId="19" fillId="0" borderId="8" xfId="0" applyFont="1" applyBorder="1" applyAlignment="1">
      <alignment vertical="center" wrapText="1"/>
    </xf>
    <xf numFmtId="0" fontId="18" fillId="24" borderId="135" xfId="0" applyFont="1" applyFill="1" applyBorder="1" applyAlignment="1">
      <alignment horizontal="center" vertical="center" wrapText="1"/>
    </xf>
    <xf numFmtId="0" fontId="19" fillId="11" borderId="1" xfId="0" applyFont="1" applyFill="1" applyBorder="1" applyAlignment="1">
      <alignment horizontal="center" vertical="center" wrapText="1"/>
    </xf>
    <xf numFmtId="0" fontId="20" fillId="12" borderId="1" xfId="0" applyFont="1" applyFill="1" applyBorder="1" applyAlignment="1">
      <alignment horizontal="center" vertical="center" wrapText="1"/>
    </xf>
    <xf numFmtId="0" fontId="20" fillId="13" borderId="1" xfId="0" applyFont="1" applyFill="1" applyBorder="1" applyAlignment="1">
      <alignment horizontal="center" vertical="center" wrapText="1"/>
    </xf>
    <xf numFmtId="0" fontId="18" fillId="0" borderId="1" xfId="0" applyFont="1" applyBorder="1" applyAlignment="1">
      <alignment horizontal="left" vertical="center" wrapText="1"/>
    </xf>
    <xf numFmtId="0" fontId="19" fillId="9" borderId="40" xfId="0" applyFont="1" applyFill="1" applyBorder="1" applyAlignment="1">
      <alignment horizontal="left" vertical="center" wrapText="1"/>
    </xf>
    <xf numFmtId="0" fontId="18" fillId="0" borderId="91" xfId="0" applyFont="1" applyBorder="1" applyAlignment="1">
      <alignment horizontal="left" vertical="center" wrapText="1"/>
    </xf>
    <xf numFmtId="0" fontId="0" fillId="24" borderId="1" xfId="0" applyFill="1" applyBorder="1" applyAlignment="1">
      <alignment wrapText="1"/>
    </xf>
    <xf numFmtId="0" fontId="47" fillId="38" borderId="1" xfId="0" applyFont="1" applyFill="1" applyBorder="1" applyAlignment="1">
      <alignment horizontal="center"/>
    </xf>
    <xf numFmtId="0" fontId="5" fillId="38" borderId="1" xfId="0" applyFont="1" applyFill="1" applyBorder="1" applyAlignment="1">
      <alignment horizontal="center"/>
    </xf>
    <xf numFmtId="0" fontId="9" fillId="24" borderId="1" xfId="0" applyFont="1" applyFill="1" applyBorder="1" applyAlignment="1"/>
    <xf numFmtId="0" fontId="0" fillId="38" borderId="1" xfId="0" applyFill="1" applyBorder="1" applyAlignment="1">
      <alignment horizontal="center" vertical="center"/>
    </xf>
    <xf numFmtId="0" fontId="50" fillId="0" borderId="0" xfId="0" applyFont="1"/>
    <xf numFmtId="0" fontId="5" fillId="0" borderId="0" xfId="0" applyFont="1" applyAlignment="1">
      <alignment horizontal="left" wrapText="1"/>
    </xf>
    <xf numFmtId="0" fontId="29" fillId="29" borderId="0" xfId="0" applyFont="1" applyFill="1" applyBorder="1" applyAlignment="1">
      <alignment horizontal="left" vertical="top" wrapText="1"/>
    </xf>
    <xf numFmtId="0" fontId="29" fillId="29" borderId="0" xfId="0" applyFont="1" applyFill="1" applyBorder="1" applyAlignment="1">
      <alignment horizontal="left" wrapText="1"/>
    </xf>
    <xf numFmtId="0" fontId="47" fillId="38" borderId="1" xfId="0" applyFont="1" applyFill="1" applyBorder="1" applyAlignment="1">
      <alignment horizontal="left" wrapText="1"/>
    </xf>
    <xf numFmtId="0" fontId="13" fillId="37" borderId="1" xfId="0" applyFont="1" applyFill="1" applyBorder="1" applyAlignment="1">
      <alignment horizontal="left" wrapText="1"/>
    </xf>
    <xf numFmtId="0" fontId="5" fillId="2" borderId="1" xfId="0" applyFont="1" applyFill="1" applyBorder="1" applyAlignment="1">
      <alignment horizontal="left" wrapText="1"/>
    </xf>
    <xf numFmtId="0" fontId="0" fillId="0" borderId="0" xfId="0" applyAlignment="1">
      <alignment horizontal="left" wrapText="1"/>
    </xf>
    <xf numFmtId="0" fontId="18" fillId="0" borderId="25" xfId="0" applyFont="1" applyBorder="1" applyAlignment="1">
      <alignment vertical="center" wrapText="1"/>
    </xf>
    <xf numFmtId="0" fontId="19" fillId="0" borderId="15" xfId="0" applyFont="1" applyBorder="1" applyAlignment="1">
      <alignment vertical="center" wrapText="1"/>
    </xf>
    <xf numFmtId="0" fontId="6" fillId="36" borderId="16" xfId="0" applyFont="1" applyFill="1" applyBorder="1" applyAlignment="1">
      <alignment horizontal="left" vertical="center" wrapText="1"/>
    </xf>
    <xf numFmtId="0" fontId="6" fillId="36" borderId="16" xfId="0" applyFont="1" applyFill="1" applyBorder="1" applyAlignment="1">
      <alignment horizontal="center" vertical="center" wrapText="1"/>
    </xf>
    <xf numFmtId="0" fontId="15" fillId="2" borderId="40" xfId="0" applyFont="1" applyFill="1" applyBorder="1"/>
    <xf numFmtId="0" fontId="2" fillId="24" borderId="39" xfId="0" applyFont="1" applyFill="1" applyBorder="1" applyAlignment="1">
      <alignment horizontal="center" vertical="center" wrapText="1"/>
    </xf>
    <xf numFmtId="0" fontId="0" fillId="24" borderId="46" xfId="0" applyFill="1" applyBorder="1" applyAlignment="1">
      <alignment vertical="center" wrapText="1"/>
    </xf>
    <xf numFmtId="0" fontId="1" fillId="0" borderId="1" xfId="0" applyFont="1" applyBorder="1" applyAlignment="1">
      <alignment vertical="center"/>
    </xf>
    <xf numFmtId="0" fontId="19" fillId="39" borderId="10" xfId="0" applyFont="1" applyFill="1" applyBorder="1" applyAlignment="1">
      <alignment horizontal="center" vertical="center" wrapText="1"/>
    </xf>
    <xf numFmtId="0" fontId="19" fillId="39" borderId="94" xfId="0" applyFont="1" applyFill="1" applyBorder="1" applyAlignment="1">
      <alignment horizontal="center" vertical="center" wrapText="1"/>
    </xf>
    <xf numFmtId="0" fontId="12" fillId="2" borderId="1" xfId="0" applyFont="1" applyFill="1" applyBorder="1" applyAlignment="1">
      <alignment horizontal="center" vertical="center"/>
    </xf>
    <xf numFmtId="0" fontId="47"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6" fillId="15" borderId="15" xfId="0" applyFont="1" applyFill="1" applyBorder="1" applyAlignment="1">
      <alignment horizontal="center"/>
    </xf>
    <xf numFmtId="0" fontId="6" fillId="16" borderId="15" xfId="0" applyFont="1" applyFill="1" applyBorder="1" applyAlignment="1">
      <alignment horizontal="center"/>
    </xf>
    <xf numFmtId="0" fontId="19" fillId="39" borderId="7" xfId="0" applyFont="1" applyFill="1" applyBorder="1" applyAlignment="1">
      <alignment horizontal="center" vertical="center" wrapText="1"/>
    </xf>
    <xf numFmtId="0" fontId="18" fillId="0" borderId="13" xfId="0" applyFont="1" applyBorder="1" applyAlignment="1">
      <alignment vertical="center" wrapText="1"/>
    </xf>
    <xf numFmtId="0" fontId="18" fillId="0" borderId="14" xfId="0" applyFont="1" applyBorder="1" applyAlignment="1">
      <alignment vertical="center" wrapText="1"/>
    </xf>
    <xf numFmtId="0" fontId="18" fillId="0" borderId="136" xfId="0" applyFont="1" applyBorder="1" applyAlignment="1">
      <alignment vertical="center" wrapText="1"/>
    </xf>
    <xf numFmtId="0" fontId="19" fillId="10" borderId="5" xfId="0" applyFont="1" applyFill="1" applyBorder="1" applyAlignment="1">
      <alignment horizontal="center" vertical="center" wrapText="1"/>
    </xf>
    <xf numFmtId="1" fontId="0" fillId="38" borderId="91" xfId="0" applyNumberFormat="1" applyFill="1" applyBorder="1" applyAlignment="1" applyProtection="1">
      <alignment horizontal="center"/>
      <protection locked="0"/>
    </xf>
    <xf numFmtId="1" fontId="0" fillId="38" borderId="92" xfId="0" applyNumberFormat="1" applyFill="1" applyBorder="1" applyAlignment="1" applyProtection="1">
      <alignment horizontal="center"/>
      <protection locked="0"/>
    </xf>
    <xf numFmtId="0" fontId="19" fillId="39" borderId="39" xfId="0" applyFont="1" applyFill="1" applyBorder="1" applyAlignment="1">
      <alignment horizontal="center" vertical="center" wrapText="1"/>
    </xf>
    <xf numFmtId="1" fontId="0" fillId="38" borderId="102" xfId="0" applyNumberFormat="1" applyFill="1" applyBorder="1" applyAlignment="1" applyProtection="1">
      <alignment horizontal="center"/>
      <protection locked="0"/>
    </xf>
    <xf numFmtId="0" fontId="15" fillId="0" borderId="0" xfId="0" applyFont="1" applyBorder="1"/>
    <xf numFmtId="168" fontId="9" fillId="38" borderId="1" xfId="2" applyNumberFormat="1" applyFont="1" applyFill="1" applyBorder="1" applyAlignment="1">
      <alignment horizontal="center" vertical="center"/>
    </xf>
    <xf numFmtId="0" fontId="19" fillId="17" borderId="128" xfId="0" applyNumberFormat="1" applyFont="1" applyFill="1" applyBorder="1" applyAlignment="1" applyProtection="1">
      <alignment horizontal="center" vertical="center" wrapText="1"/>
      <protection locked="0"/>
    </xf>
    <xf numFmtId="0" fontId="0" fillId="23" borderId="143" xfId="0" applyFill="1" applyBorder="1" applyAlignment="1">
      <alignment vertical="center" wrapText="1"/>
    </xf>
    <xf numFmtId="0" fontId="0" fillId="23" borderId="144" xfId="0" applyFill="1" applyBorder="1" applyAlignment="1">
      <alignment vertical="center" wrapText="1"/>
    </xf>
    <xf numFmtId="0" fontId="0" fillId="23" borderId="145" xfId="0" applyFill="1" applyBorder="1" applyAlignment="1">
      <alignment vertical="center" wrapText="1"/>
    </xf>
    <xf numFmtId="0" fontId="19" fillId="39" borderId="1" xfId="0" applyFont="1" applyFill="1" applyBorder="1" applyAlignment="1">
      <alignment horizontal="center" vertical="center" wrapText="1"/>
    </xf>
    <xf numFmtId="0" fontId="19" fillId="10" borderId="1" xfId="0" applyFont="1" applyFill="1" applyBorder="1" applyAlignment="1">
      <alignment horizontal="center" vertical="center" wrapText="1"/>
    </xf>
    <xf numFmtId="0" fontId="0" fillId="23" borderId="143" xfId="0" applyFill="1" applyBorder="1" applyAlignment="1">
      <alignment horizontal="center" vertical="center" wrapText="1"/>
    </xf>
    <xf numFmtId="9" fontId="52" fillId="36" borderId="100" xfId="0" applyNumberFormat="1" applyFont="1" applyFill="1" applyBorder="1" applyAlignment="1">
      <alignment horizontal="center" vertical="center" wrapText="1"/>
    </xf>
    <xf numFmtId="10" fontId="39" fillId="17" borderId="2" xfId="2" applyNumberFormat="1" applyFont="1" applyFill="1" applyBorder="1" applyAlignment="1" applyProtection="1">
      <alignment horizontal="center" vertical="center"/>
      <protection locked="0"/>
    </xf>
    <xf numFmtId="0" fontId="19" fillId="10" borderId="37" xfId="0" applyFont="1" applyFill="1" applyBorder="1" applyAlignment="1">
      <alignment horizontal="center" vertical="center" wrapText="1"/>
    </xf>
    <xf numFmtId="0" fontId="6" fillId="6" borderId="109" xfId="0" quotePrefix="1" applyFont="1" applyFill="1" applyBorder="1" applyAlignment="1">
      <alignment horizontal="center" vertical="center"/>
    </xf>
    <xf numFmtId="0" fontId="6" fillId="6" borderId="110" xfId="0" quotePrefix="1" applyFont="1" applyFill="1" applyBorder="1" applyAlignment="1">
      <alignment horizontal="center" vertical="center"/>
    </xf>
    <xf numFmtId="0" fontId="6" fillId="6" borderId="130" xfId="0" quotePrefix="1" applyFont="1" applyFill="1" applyBorder="1" applyAlignment="1">
      <alignment horizontal="center" vertical="center"/>
    </xf>
    <xf numFmtId="0" fontId="6" fillId="4" borderId="108" xfId="0" quotePrefix="1" applyFont="1" applyFill="1" applyBorder="1" applyAlignment="1">
      <alignment vertical="center"/>
    </xf>
    <xf numFmtId="0" fontId="19" fillId="2" borderId="9" xfId="0" applyFont="1" applyFill="1" applyBorder="1" applyAlignment="1">
      <alignment horizontal="center" vertical="center" wrapText="1"/>
    </xf>
    <xf numFmtId="0" fontId="19" fillId="2" borderId="10" xfId="0" applyFont="1" applyFill="1" applyBorder="1" applyAlignment="1">
      <alignment horizontal="center" vertical="center" wrapText="1"/>
    </xf>
    <xf numFmtId="0" fontId="19" fillId="0" borderId="1" xfId="0" applyFont="1" applyBorder="1" applyAlignment="1">
      <alignment vertical="center" wrapText="1"/>
    </xf>
    <xf numFmtId="3" fontId="0" fillId="24" borderId="46" xfId="0" applyNumberFormat="1" applyFill="1" applyBorder="1" applyAlignment="1">
      <alignment horizontal="center" vertical="center" wrapText="1"/>
    </xf>
    <xf numFmtId="3" fontId="2" fillId="0" borderId="77" xfId="0" applyNumberFormat="1" applyFont="1" applyBorder="1" applyAlignment="1">
      <alignment horizontal="center" vertical="center" wrapText="1"/>
    </xf>
    <xf numFmtId="9" fontId="52" fillId="36" borderId="148" xfId="0" applyNumberFormat="1" applyFont="1" applyFill="1" applyBorder="1" applyAlignment="1">
      <alignment horizontal="center" vertical="center" wrapText="1"/>
    </xf>
    <xf numFmtId="9" fontId="52" fillId="40" borderId="148" xfId="0" applyNumberFormat="1" applyFont="1" applyFill="1" applyBorder="1" applyAlignment="1">
      <alignment horizontal="center" vertical="center" wrapText="1"/>
    </xf>
    <xf numFmtId="9" fontId="52" fillId="40" borderId="10" xfId="0" applyNumberFormat="1" applyFont="1" applyFill="1" applyBorder="1" applyAlignment="1">
      <alignment horizontal="center" vertical="center" wrapText="1"/>
    </xf>
    <xf numFmtId="9" fontId="52" fillId="36" borderId="149" xfId="0" applyNumberFormat="1" applyFont="1" applyFill="1" applyBorder="1" applyAlignment="1">
      <alignment horizontal="center" vertical="center" wrapText="1"/>
    </xf>
    <xf numFmtId="9" fontId="52" fillId="40" borderId="149" xfId="0" applyNumberFormat="1" applyFont="1" applyFill="1" applyBorder="1" applyAlignment="1">
      <alignment horizontal="center" vertical="center" wrapText="1"/>
    </xf>
    <xf numFmtId="9" fontId="52" fillId="40" borderId="150" xfId="0" applyNumberFormat="1" applyFont="1" applyFill="1" applyBorder="1" applyAlignment="1">
      <alignment horizontal="center" vertical="center" wrapText="1"/>
    </xf>
    <xf numFmtId="9" fontId="52" fillId="36" borderId="154" xfId="0" applyNumberFormat="1" applyFont="1" applyFill="1" applyBorder="1" applyAlignment="1">
      <alignment horizontal="center" vertical="center" wrapText="1"/>
    </xf>
    <xf numFmtId="0" fontId="18" fillId="0" borderId="39" xfId="0" applyFont="1" applyBorder="1" applyAlignment="1">
      <alignment vertical="center" wrapText="1"/>
    </xf>
    <xf numFmtId="0" fontId="18" fillId="2" borderId="8" xfId="0" applyFont="1" applyFill="1" applyBorder="1" applyAlignment="1">
      <alignment vertical="center" wrapText="1"/>
    </xf>
    <xf numFmtId="9" fontId="9" fillId="2" borderId="128" xfId="2" applyFont="1" applyFill="1" applyBorder="1" applyAlignment="1" applyProtection="1">
      <alignment horizontal="center" vertical="center"/>
      <protection locked="0"/>
    </xf>
    <xf numFmtId="9" fontId="9" fillId="2" borderId="155" xfId="2" applyFont="1" applyFill="1" applyBorder="1" applyAlignment="1" applyProtection="1">
      <alignment horizontal="center" vertical="center"/>
      <protection locked="0"/>
    </xf>
    <xf numFmtId="9" fontId="9" fillId="2" borderId="156" xfId="2" applyFont="1" applyFill="1" applyBorder="1" applyAlignment="1" applyProtection="1">
      <alignment horizontal="center" vertical="center"/>
      <protection locked="0"/>
    </xf>
    <xf numFmtId="0" fontId="18" fillId="2" borderId="38" xfId="0" applyFont="1" applyFill="1" applyBorder="1" applyAlignment="1">
      <alignment vertical="center" wrapText="1"/>
    </xf>
    <xf numFmtId="10" fontId="39" fillId="2" borderId="0" xfId="2" applyNumberFormat="1" applyFont="1" applyFill="1" applyBorder="1" applyAlignment="1" applyProtection="1">
      <alignment horizontal="center" vertical="center"/>
      <protection locked="0"/>
    </xf>
    <xf numFmtId="10" fontId="39" fillId="2" borderId="20" xfId="2" applyNumberFormat="1" applyFont="1" applyFill="1" applyBorder="1" applyAlignment="1" applyProtection="1">
      <alignment horizontal="center" vertical="center"/>
      <protection locked="0"/>
    </xf>
    <xf numFmtId="10" fontId="39" fillId="2" borderId="159" xfId="2" applyNumberFormat="1" applyFont="1" applyFill="1" applyBorder="1" applyAlignment="1" applyProtection="1">
      <alignment horizontal="center" vertical="center"/>
      <protection locked="0"/>
    </xf>
    <xf numFmtId="0" fontId="26" fillId="29" borderId="0" xfId="0" applyFont="1" applyFill="1" applyBorder="1" applyAlignment="1">
      <alignment horizontal="center" vertical="center"/>
    </xf>
    <xf numFmtId="0" fontId="15" fillId="2" borderId="1" xfId="0" applyFont="1" applyFill="1" applyBorder="1"/>
    <xf numFmtId="1" fontId="0" fillId="2" borderId="2" xfId="0" applyNumberFormat="1" applyFill="1" applyBorder="1" applyProtection="1">
      <protection locked="0"/>
    </xf>
    <xf numFmtId="1" fontId="0" fillId="2" borderId="24" xfId="0" applyNumberFormat="1" applyFill="1" applyBorder="1" applyProtection="1">
      <protection locked="0"/>
    </xf>
    <xf numFmtId="0" fontId="0" fillId="2" borderId="16" xfId="0" applyFill="1" applyBorder="1"/>
    <xf numFmtId="0" fontId="0" fillId="2" borderId="89" xfId="0" applyFill="1" applyBorder="1"/>
    <xf numFmtId="0" fontId="38" fillId="0" borderId="132" xfId="0" applyFont="1" applyBorder="1" applyAlignment="1">
      <alignment wrapText="1"/>
    </xf>
    <xf numFmtId="0" fontId="29" fillId="29" borderId="11" xfId="0" applyFont="1" applyFill="1" applyBorder="1" applyAlignment="1">
      <alignment horizontal="left"/>
    </xf>
    <xf numFmtId="0" fontId="1" fillId="35" borderId="0" xfId="0" applyFont="1" applyFill="1"/>
    <xf numFmtId="0" fontId="53" fillId="38" borderId="1" xfId="0" applyFont="1" applyFill="1" applyBorder="1" applyAlignment="1">
      <alignment horizontal="center" vertical="center" wrapText="1"/>
    </xf>
    <xf numFmtId="0" fontId="53" fillId="38" borderId="17" xfId="0" applyFont="1" applyFill="1" applyBorder="1" applyAlignment="1">
      <alignment horizontal="center" vertical="center" wrapText="1"/>
    </xf>
    <xf numFmtId="0" fontId="1" fillId="2" borderId="0" xfId="0" applyFont="1" applyFill="1" applyBorder="1"/>
    <xf numFmtId="0" fontId="1" fillId="2" borderId="0" xfId="0" applyFont="1" applyFill="1"/>
    <xf numFmtId="0" fontId="1" fillId="0" borderId="0" xfId="0" applyFont="1"/>
    <xf numFmtId="0" fontId="1" fillId="0" borderId="1" xfId="0" applyFont="1" applyBorder="1" applyAlignment="1"/>
    <xf numFmtId="0" fontId="1" fillId="0" borderId="1" xfId="0" applyFont="1" applyBorder="1" applyAlignment="1">
      <alignment horizontal="center"/>
    </xf>
    <xf numFmtId="9" fontId="56" fillId="39" borderId="1" xfId="2" applyFont="1" applyFill="1" applyBorder="1" applyAlignment="1">
      <alignment horizontal="center" vertical="center" wrapText="1"/>
    </xf>
    <xf numFmtId="9" fontId="56" fillId="10" borderId="1" xfId="2" applyFont="1" applyFill="1" applyBorder="1" applyAlignment="1">
      <alignment horizontal="center" vertical="center" wrapText="1"/>
    </xf>
    <xf numFmtId="9" fontId="13" fillId="11" borderId="1" xfId="2" applyFont="1" applyFill="1" applyBorder="1" applyAlignment="1">
      <alignment horizontal="center" vertical="center" wrapText="1"/>
    </xf>
    <xf numFmtId="9" fontId="57" fillId="14" borderId="1" xfId="0" applyNumberFormat="1" applyFont="1" applyFill="1" applyBorder="1" applyAlignment="1">
      <alignment horizontal="center" vertical="center" wrapText="1"/>
    </xf>
    <xf numFmtId="9" fontId="58" fillId="13" borderId="1" xfId="2" applyFont="1" applyFill="1" applyBorder="1" applyAlignment="1">
      <alignment horizontal="center" vertical="center" wrapText="1"/>
    </xf>
    <xf numFmtId="9"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pplyProtection="1">
      <alignment horizontal="center" vertical="center"/>
    </xf>
    <xf numFmtId="1" fontId="0" fillId="0" borderId="134" xfId="0" applyNumberFormat="1" applyFill="1" applyBorder="1" applyAlignment="1" applyProtection="1">
      <alignment horizontal="center"/>
    </xf>
    <xf numFmtId="10" fontId="41" fillId="31" borderId="16" xfId="2" applyNumberFormat="1" applyFont="1" applyFill="1" applyBorder="1" applyProtection="1"/>
    <xf numFmtId="1" fontId="0" fillId="0" borderId="101" xfId="0" applyNumberFormat="1" applyFill="1" applyBorder="1" applyAlignment="1" applyProtection="1">
      <alignment horizontal="center"/>
    </xf>
    <xf numFmtId="1" fontId="0" fillId="0" borderId="37" xfId="0" applyNumberFormat="1" applyFill="1" applyBorder="1" applyAlignment="1" applyProtection="1">
      <alignment horizontal="center"/>
    </xf>
    <xf numFmtId="0" fontId="14" fillId="41" borderId="15" xfId="0" applyFont="1" applyFill="1" applyBorder="1" applyAlignment="1">
      <alignment horizontal="center" vertical="center"/>
    </xf>
    <xf numFmtId="1" fontId="0" fillId="0" borderId="1" xfId="0" applyNumberFormat="1" applyFill="1" applyBorder="1" applyAlignment="1" applyProtection="1">
      <alignment horizontal="center"/>
    </xf>
    <xf numFmtId="0" fontId="29" fillId="0" borderId="16" xfId="0" applyFont="1" applyBorder="1" applyAlignment="1">
      <alignment horizontal="center" vertical="center"/>
    </xf>
    <xf numFmtId="0" fontId="29" fillId="0" borderId="164" xfId="0" applyFont="1" applyBorder="1" applyAlignment="1">
      <alignment horizontal="center" vertical="center"/>
    </xf>
    <xf numFmtId="0" fontId="6" fillId="6" borderId="165" xfId="0" quotePrefix="1" applyFont="1" applyFill="1" applyBorder="1" applyAlignment="1">
      <alignment horizontal="center" vertical="center"/>
    </xf>
    <xf numFmtId="0" fontId="6" fillId="6" borderId="166" xfId="0" quotePrefix="1" applyFont="1" applyFill="1" applyBorder="1" applyAlignment="1">
      <alignment horizontal="center" vertical="center"/>
    </xf>
    <xf numFmtId="0" fontId="6" fillId="6" borderId="167" xfId="0" quotePrefix="1" applyFont="1" applyFill="1" applyBorder="1" applyAlignment="1">
      <alignment horizontal="center" vertical="center"/>
    </xf>
    <xf numFmtId="0" fontId="6" fillId="4" borderId="163" xfId="0" quotePrefix="1" applyFont="1" applyFill="1" applyBorder="1" applyAlignment="1">
      <alignment vertical="center"/>
    </xf>
    <xf numFmtId="0" fontId="6" fillId="4" borderId="131" xfId="0" quotePrefix="1" applyFont="1" applyFill="1" applyBorder="1" applyAlignment="1">
      <alignment vertical="center"/>
    </xf>
    <xf numFmtId="0" fontId="0" fillId="38" borderId="1" xfId="0" applyFill="1" applyBorder="1" applyAlignment="1">
      <alignment horizontal="center"/>
    </xf>
    <xf numFmtId="0" fontId="13" fillId="38" borderId="1" xfId="0" applyFont="1" applyFill="1" applyBorder="1" applyAlignment="1" applyProtection="1">
      <alignment vertical="center" wrapText="1"/>
    </xf>
    <xf numFmtId="17" fontId="1" fillId="38" borderId="12" xfId="0" quotePrefix="1" applyNumberFormat="1" applyFont="1" applyFill="1" applyBorder="1" applyAlignment="1"/>
    <xf numFmtId="17" fontId="13" fillId="38" borderId="1" xfId="0" quotePrefix="1" applyNumberFormat="1" applyFont="1" applyFill="1" applyBorder="1" applyAlignment="1">
      <alignment horizontal="center" vertical="center" wrapText="1"/>
    </xf>
    <xf numFmtId="17" fontId="13" fillId="38" borderId="1" xfId="0" quotePrefix="1" applyNumberFormat="1" applyFont="1" applyFill="1" applyBorder="1" applyAlignment="1" applyProtection="1">
      <alignment horizontal="center" vertical="center" wrapText="1"/>
    </xf>
    <xf numFmtId="0" fontId="0" fillId="38" borderId="1" xfId="0" applyFill="1" applyBorder="1" applyAlignment="1">
      <alignment horizontal="center" vertical="center"/>
    </xf>
    <xf numFmtId="0" fontId="5" fillId="38" borderId="1" xfId="0" applyFont="1" applyFill="1" applyBorder="1" applyAlignment="1">
      <alignment horizontal="center" vertical="center"/>
    </xf>
    <xf numFmtId="0" fontId="47" fillId="38" borderId="1" xfId="0" applyFont="1" applyFill="1" applyBorder="1" applyAlignment="1" applyProtection="1">
      <alignment horizontal="left" wrapText="1"/>
    </xf>
    <xf numFmtId="0" fontId="1" fillId="0" borderId="1" xfId="0" applyFont="1" applyBorder="1" applyAlignment="1" applyProtection="1">
      <alignment horizontal="center" vertical="center"/>
    </xf>
    <xf numFmtId="168" fontId="47" fillId="24"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5" fillId="7" borderId="1" xfId="0" applyFont="1" applyFill="1" applyBorder="1" applyAlignment="1">
      <alignment horizontal="center" vertical="center"/>
    </xf>
    <xf numFmtId="0" fontId="15" fillId="0" borderId="40"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5" fillId="0" borderId="0" xfId="0" applyFont="1" applyBorder="1" applyAlignment="1">
      <alignment horizontal="center" vertical="center" textRotation="90" wrapText="1"/>
    </xf>
    <xf numFmtId="0" fontId="15" fillId="2" borderId="6" xfId="0" applyFont="1" applyFill="1" applyBorder="1"/>
    <xf numFmtId="0" fontId="0" fillId="23" borderId="36" xfId="0" applyFill="1" applyBorder="1" applyAlignment="1">
      <alignment vertical="center" wrapText="1"/>
    </xf>
    <xf numFmtId="0" fontId="19" fillId="9" borderId="36" xfId="0" applyFont="1" applyFill="1" applyBorder="1" applyAlignment="1">
      <alignment vertical="center" wrapText="1"/>
    </xf>
    <xf numFmtId="0" fontId="18" fillId="0" borderId="1" xfId="0" applyFont="1" applyBorder="1" applyAlignment="1">
      <alignment horizontal="left" vertical="center" wrapText="1"/>
    </xf>
    <xf numFmtId="1" fontId="0" fillId="38" borderId="15" xfId="0" applyNumberFormat="1" applyFill="1" applyBorder="1" applyAlignment="1" applyProtection="1">
      <alignment horizontal="center"/>
      <protection locked="0"/>
    </xf>
    <xf numFmtId="0" fontId="40" fillId="17" borderId="156" xfId="0" applyNumberFormat="1" applyFont="1" applyFill="1" applyBorder="1" applyAlignment="1" applyProtection="1">
      <alignment vertical="center" wrapText="1"/>
      <protection locked="0"/>
    </xf>
    <xf numFmtId="0" fontId="40" fillId="17" borderId="157" xfId="0" applyNumberFormat="1" applyFont="1" applyFill="1" applyBorder="1" applyAlignment="1" applyProtection="1">
      <alignment vertical="center" wrapText="1"/>
      <protection locked="0"/>
    </xf>
    <xf numFmtId="0" fontId="40" fillId="17" borderId="158" xfId="0" applyNumberFormat="1" applyFont="1" applyFill="1" applyBorder="1" applyAlignment="1" applyProtection="1">
      <alignment vertical="center" wrapText="1"/>
      <protection locked="0"/>
    </xf>
    <xf numFmtId="1" fontId="40" fillId="17" borderId="159" xfId="0" applyNumberFormat="1" applyFont="1" applyFill="1" applyBorder="1" applyAlignment="1" applyProtection="1">
      <alignment vertical="center" wrapText="1"/>
      <protection locked="0"/>
    </xf>
    <xf numFmtId="1" fontId="40" fillId="17" borderId="7" xfId="0" applyNumberFormat="1" applyFont="1" applyFill="1" applyBorder="1" applyAlignment="1" applyProtection="1">
      <alignment vertical="center" wrapText="1"/>
      <protection locked="0"/>
    </xf>
    <xf numFmtId="1" fontId="40" fillId="17" borderId="10" xfId="0" applyNumberFormat="1" applyFont="1" applyFill="1" applyBorder="1" applyAlignment="1" applyProtection="1">
      <alignment vertical="center" wrapText="1"/>
      <protection locked="0"/>
    </xf>
    <xf numFmtId="0" fontId="18" fillId="0" borderId="12" xfId="0" applyFont="1" applyBorder="1" applyAlignment="1">
      <alignment vertical="center" wrapText="1"/>
    </xf>
    <xf numFmtId="0" fontId="19" fillId="0" borderId="0" xfId="0" applyFont="1" applyBorder="1" applyAlignment="1">
      <alignment horizontal="center" vertical="center" wrapText="1"/>
    </xf>
    <xf numFmtId="0" fontId="18" fillId="0" borderId="17" xfId="0" applyFont="1" applyBorder="1" applyAlignment="1">
      <alignment horizontal="left" vertical="center" wrapText="1"/>
    </xf>
    <xf numFmtId="0" fontId="18" fillId="0" borderId="168" xfId="0" applyFont="1" applyBorder="1" applyAlignment="1">
      <alignment vertical="center" wrapText="1"/>
    </xf>
    <xf numFmtId="168" fontId="9" fillId="38" borderId="149" xfId="2" applyNumberFormat="1" applyFont="1" applyFill="1" applyBorder="1" applyAlignment="1">
      <alignment horizontal="center" vertical="center"/>
    </xf>
    <xf numFmtId="168" fontId="9" fillId="38" borderId="150" xfId="2" applyNumberFormat="1" applyFont="1" applyFill="1" applyBorder="1" applyAlignment="1">
      <alignment horizontal="center" vertical="center"/>
    </xf>
    <xf numFmtId="0" fontId="42" fillId="0" borderId="1" xfId="0" applyFont="1" applyBorder="1" applyAlignment="1">
      <alignment vertical="center" wrapText="1"/>
    </xf>
    <xf numFmtId="169" fontId="9" fillId="24" borderId="1" xfId="2" applyNumberFormat="1" applyFont="1" applyFill="1" applyBorder="1" applyAlignment="1">
      <alignment horizontal="center"/>
    </xf>
    <xf numFmtId="168" fontId="9" fillId="24" borderId="1" xfId="2" applyNumberFormat="1" applyFont="1" applyFill="1" applyBorder="1" applyAlignment="1">
      <alignment horizontal="center" vertical="center"/>
    </xf>
    <xf numFmtId="168" fontId="0" fillId="24" borderId="1" xfId="2" applyNumberFormat="1" applyFont="1" applyFill="1" applyBorder="1" applyAlignment="1">
      <alignment horizontal="center" vertical="center"/>
    </xf>
    <xf numFmtId="168"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lignment horizontal="center"/>
    </xf>
    <xf numFmtId="1" fontId="0" fillId="0" borderId="0" xfId="0" applyNumberFormat="1" applyAlignment="1">
      <alignment horizontal="center"/>
    </xf>
    <xf numFmtId="0" fontId="20" fillId="13" borderId="0" xfId="0" applyFont="1" applyFill="1" applyBorder="1" applyAlignment="1">
      <alignment horizontal="center" vertical="center" wrapText="1"/>
    </xf>
    <xf numFmtId="0" fontId="0" fillId="0" borderId="0" xfId="0" applyProtection="1">
      <protection locked="0"/>
    </xf>
    <xf numFmtId="0" fontId="32" fillId="29" borderId="3" xfId="0" applyFont="1" applyFill="1" applyBorder="1" applyAlignment="1" applyProtection="1">
      <protection locked="0"/>
    </xf>
    <xf numFmtId="0" fontId="25" fillId="29" borderId="4" xfId="0" applyFont="1" applyFill="1" applyBorder="1" applyAlignment="1" applyProtection="1">
      <protection locked="0"/>
    </xf>
    <xf numFmtId="0" fontId="0" fillId="38" borderId="12" xfId="0" applyFont="1" applyFill="1" applyBorder="1" applyAlignment="1" applyProtection="1">
      <protection locked="0"/>
    </xf>
    <xf numFmtId="0" fontId="25" fillId="29" borderId="5" xfId="0" applyFont="1" applyFill="1" applyBorder="1" applyAlignment="1" applyProtection="1">
      <protection locked="0"/>
    </xf>
    <xf numFmtId="0" fontId="25" fillId="29" borderId="6" xfId="0" applyFont="1" applyFill="1" applyBorder="1" applyAlignment="1" applyProtection="1">
      <protection locked="0"/>
    </xf>
    <xf numFmtId="0" fontId="25" fillId="29" borderId="0" xfId="0" applyFont="1" applyFill="1" applyBorder="1" applyAlignment="1" applyProtection="1">
      <protection locked="0"/>
    </xf>
    <xf numFmtId="0" fontId="12" fillId="29" borderId="6" xfId="0" applyFont="1" applyFill="1" applyBorder="1" applyProtection="1">
      <protection locked="0"/>
    </xf>
    <xf numFmtId="0" fontId="12" fillId="29" borderId="0" xfId="0" applyFont="1" applyFill="1" applyBorder="1" applyProtection="1">
      <protection locked="0"/>
    </xf>
    <xf numFmtId="0" fontId="27" fillId="26" borderId="3" xfId="0" applyFont="1" applyFill="1" applyBorder="1" applyAlignment="1" applyProtection="1">
      <alignment vertical="top"/>
      <protection locked="0"/>
    </xf>
    <xf numFmtId="0" fontId="12" fillId="26" borderId="4" xfId="0" applyFont="1" applyFill="1" applyBorder="1" applyAlignment="1" applyProtection="1">
      <alignment vertical="top"/>
      <protection locked="0"/>
    </xf>
    <xf numFmtId="0" fontId="12" fillId="26" borderId="5" xfId="0" applyFont="1" applyFill="1" applyBorder="1" applyAlignment="1" applyProtection="1">
      <alignment vertical="top"/>
      <protection locked="0"/>
    </xf>
    <xf numFmtId="0" fontId="12" fillId="29" borderId="12" xfId="0" applyFont="1" applyFill="1" applyBorder="1" applyAlignment="1" applyProtection="1">
      <protection locked="0"/>
    </xf>
    <xf numFmtId="0" fontId="12" fillId="29" borderId="0" xfId="0" applyFont="1" applyFill="1" applyBorder="1" applyAlignment="1" applyProtection="1">
      <protection locked="0"/>
    </xf>
    <xf numFmtId="0" fontId="12" fillId="29" borderId="81" xfId="0" applyFont="1" applyFill="1" applyBorder="1" applyAlignment="1" applyProtection="1">
      <protection locked="0"/>
    </xf>
    <xf numFmtId="0" fontId="12" fillId="26" borderId="6" xfId="0" applyFont="1" applyFill="1" applyBorder="1" applyAlignment="1" applyProtection="1">
      <alignment vertical="top"/>
      <protection locked="0"/>
    </xf>
    <xf numFmtId="0" fontId="12" fillId="26" borderId="0" xfId="0" applyFont="1" applyFill="1" applyBorder="1" applyAlignment="1" applyProtection="1">
      <alignment vertical="top"/>
      <protection locked="0"/>
    </xf>
    <xf numFmtId="0" fontId="12" fillId="26" borderId="7" xfId="0" applyFont="1" applyFill="1" applyBorder="1" applyAlignment="1" applyProtection="1">
      <alignment vertical="top"/>
      <protection locked="0"/>
    </xf>
    <xf numFmtId="0" fontId="12" fillId="29" borderId="14" xfId="0" applyFont="1" applyFill="1" applyBorder="1" applyAlignment="1" applyProtection="1">
      <protection locked="0"/>
    </xf>
    <xf numFmtId="165" fontId="0" fillId="38" borderId="12" xfId="1" applyNumberFormat="1" applyFont="1" applyFill="1" applyBorder="1" applyAlignment="1" applyProtection="1">
      <protection locked="0"/>
    </xf>
    <xf numFmtId="0" fontId="0" fillId="38" borderId="80" xfId="0" applyFont="1" applyFill="1" applyBorder="1" applyAlignment="1" applyProtection="1">
      <alignment vertical="top" wrapText="1"/>
      <protection locked="0"/>
    </xf>
    <xf numFmtId="0" fontId="12" fillId="29" borderId="86" xfId="0" applyFont="1" applyFill="1" applyBorder="1" applyAlignment="1" applyProtection="1">
      <protection locked="0"/>
    </xf>
    <xf numFmtId="0" fontId="0" fillId="38" borderId="80" xfId="0" applyFont="1" applyFill="1" applyBorder="1" applyAlignment="1" applyProtection="1">
      <alignment vertical="top"/>
      <protection locked="0"/>
    </xf>
    <xf numFmtId="0" fontId="12" fillId="29" borderId="6" xfId="0" applyFont="1" applyFill="1" applyBorder="1" applyAlignment="1" applyProtection="1">
      <alignment horizontal="left"/>
      <protection locked="0"/>
    </xf>
    <xf numFmtId="0" fontId="12" fillId="29" borderId="0" xfId="0" applyFont="1" applyFill="1" applyBorder="1" applyAlignment="1" applyProtection="1">
      <alignment horizontal="left"/>
      <protection locked="0"/>
    </xf>
    <xf numFmtId="0" fontId="12" fillId="29" borderId="83" xfId="0" applyFont="1" applyFill="1" applyBorder="1" applyAlignment="1" applyProtection="1">
      <alignment horizontal="left"/>
      <protection locked="0"/>
    </xf>
    <xf numFmtId="0" fontId="12" fillId="29" borderId="85" xfId="0" applyFont="1" applyFill="1" applyBorder="1" applyAlignment="1" applyProtection="1">
      <alignment horizontal="left"/>
      <protection locked="0"/>
    </xf>
    <xf numFmtId="0" fontId="12" fillId="29" borderId="84" xfId="0" applyFont="1" applyFill="1" applyBorder="1" applyAlignment="1" applyProtection="1">
      <alignment horizontal="left"/>
      <protection locked="0"/>
    </xf>
    <xf numFmtId="0" fontId="35" fillId="24" borderId="87" xfId="0" applyFont="1" applyFill="1" applyBorder="1" applyAlignment="1" applyProtection="1">
      <protection locked="0"/>
    </xf>
    <xf numFmtId="0" fontId="35" fillId="33" borderId="1" xfId="0" applyFont="1" applyFill="1" applyBorder="1" applyAlignment="1" applyProtection="1">
      <alignment horizontal="center"/>
      <protection locked="0"/>
    </xf>
    <xf numFmtId="0" fontId="4" fillId="0" borderId="0" xfId="0" applyFont="1" applyAlignment="1" applyProtection="1">
      <alignment horizontal="center" vertical="center"/>
      <protection locked="0"/>
    </xf>
    <xf numFmtId="0" fontId="0" fillId="0" borderId="0" xfId="0" applyFont="1" applyProtection="1">
      <protection locked="0"/>
    </xf>
    <xf numFmtId="0" fontId="36" fillId="0" borderId="0" xfId="0" applyFont="1" applyProtection="1">
      <protection locked="0"/>
    </xf>
    <xf numFmtId="0" fontId="0" fillId="0" borderId="1" xfId="0" applyBorder="1" applyProtection="1">
      <protection locked="0"/>
    </xf>
    <xf numFmtId="0" fontId="0" fillId="2" borderId="1" xfId="0" applyFill="1" applyBorder="1" applyProtection="1">
      <protection locked="0"/>
    </xf>
    <xf numFmtId="0" fontId="2" fillId="24" borderId="12" xfId="0" applyFont="1" applyFill="1" applyBorder="1" applyAlignment="1" applyProtection="1"/>
    <xf numFmtId="17" fontId="0" fillId="38" borderId="12" xfId="0" quotePrefix="1" applyNumberFormat="1" applyFont="1" applyFill="1" applyBorder="1" applyAlignment="1" applyProtection="1"/>
    <xf numFmtId="9" fontId="13" fillId="38" borderId="1" xfId="2" applyFont="1" applyFill="1" applyBorder="1" applyAlignment="1">
      <alignment horizontal="center" vertical="center"/>
    </xf>
    <xf numFmtId="9" fontId="13" fillId="38" borderId="1" xfId="2" applyFont="1" applyFill="1" applyBorder="1" applyAlignment="1" applyProtection="1">
      <alignment horizontal="center" vertical="center"/>
    </xf>
    <xf numFmtId="168" fontId="13" fillId="38" borderId="1" xfId="2" applyNumberFormat="1" applyFont="1" applyFill="1" applyBorder="1" applyAlignment="1">
      <alignment horizontal="center" vertical="center"/>
    </xf>
    <xf numFmtId="0" fontId="21" fillId="37" borderId="0" xfId="0" applyFont="1" applyFill="1" applyBorder="1" applyAlignment="1">
      <alignment horizontal="center" vertical="center" wrapText="1"/>
    </xf>
    <xf numFmtId="0" fontId="15" fillId="0" borderId="0" xfId="0" applyFont="1" applyFill="1"/>
    <xf numFmtId="0" fontId="6" fillId="18" borderId="121" xfId="0" applyFont="1" applyFill="1" applyBorder="1" applyAlignment="1">
      <alignment vertical="center" wrapText="1"/>
    </xf>
    <xf numFmtId="0" fontId="19" fillId="0" borderId="94" xfId="0" applyFont="1" applyFill="1" applyBorder="1" applyAlignment="1">
      <alignment vertical="center" wrapText="1"/>
    </xf>
    <xf numFmtId="0" fontId="1" fillId="38" borderId="1" xfId="0" applyFont="1" applyFill="1" applyBorder="1" applyAlignment="1">
      <alignment horizontal="center" vertical="center"/>
    </xf>
    <xf numFmtId="0" fontId="19" fillId="9" borderId="0" xfId="0" applyFont="1" applyFill="1" applyAlignment="1">
      <alignment vertical="center" wrapText="1"/>
    </xf>
    <xf numFmtId="0" fontId="4" fillId="20" borderId="66" xfId="0" applyFont="1" applyFill="1" applyBorder="1" applyAlignment="1">
      <alignment horizontal="center" vertical="center" wrapText="1"/>
    </xf>
    <xf numFmtId="0" fontId="60" fillId="42" borderId="11" xfId="0" applyFont="1" applyFill="1" applyBorder="1"/>
    <xf numFmtId="0" fontId="60" fillId="42" borderId="13" xfId="0" applyFont="1" applyFill="1" applyBorder="1"/>
    <xf numFmtId="0" fontId="61" fillId="42" borderId="11" xfId="0" applyFont="1" applyFill="1" applyBorder="1"/>
    <xf numFmtId="0" fontId="12" fillId="26" borderId="6" xfId="0" applyFont="1" applyFill="1" applyBorder="1" applyAlignment="1">
      <alignment vertical="top"/>
    </xf>
    <xf numFmtId="0" fontId="12" fillId="26" borderId="0" xfId="0" applyFont="1" applyFill="1" applyAlignment="1">
      <alignment vertical="top"/>
    </xf>
    <xf numFmtId="0" fontId="35" fillId="24" borderId="1" xfId="0" applyFont="1" applyFill="1" applyBorder="1" applyAlignment="1">
      <alignment horizontal="center" vertical="top"/>
    </xf>
    <xf numFmtId="0" fontId="35" fillId="24" borderId="80" xfId="0" applyFont="1" applyFill="1" applyBorder="1"/>
    <xf numFmtId="0" fontId="35" fillId="24" borderId="82" xfId="0" applyFont="1" applyFill="1" applyBorder="1"/>
    <xf numFmtId="0" fontId="35" fillId="24" borderId="0" xfId="0" applyFont="1" applyFill="1"/>
    <xf numFmtId="0" fontId="43" fillId="43" borderId="2" xfId="0" applyFont="1" applyFill="1" applyBorder="1" applyAlignment="1">
      <alignment horizontal="center" vertical="center" wrapText="1"/>
    </xf>
    <xf numFmtId="0" fontId="45" fillId="44" borderId="1" xfId="0" applyFont="1" applyFill="1" applyBorder="1" applyAlignment="1">
      <alignment horizontal="center" vertical="center"/>
    </xf>
    <xf numFmtId="0" fontId="62" fillId="44" borderId="1" xfId="0" applyFont="1" applyFill="1" applyBorder="1"/>
    <xf numFmtId="0" fontId="62" fillId="44" borderId="1" xfId="0" applyFont="1" applyFill="1" applyBorder="1" applyAlignment="1">
      <alignment horizontal="center" vertical="center"/>
    </xf>
    <xf numFmtId="0" fontId="45" fillId="45" borderId="1" xfId="0" applyFont="1" applyFill="1" applyBorder="1" applyAlignment="1">
      <alignment horizontal="center" vertical="center"/>
    </xf>
    <xf numFmtId="0" fontId="62" fillId="46" borderId="1" xfId="0" applyFont="1" applyFill="1" applyBorder="1"/>
    <xf numFmtId="0" fontId="63" fillId="43" borderId="2" xfId="0" applyFont="1" applyFill="1" applyBorder="1" applyAlignment="1">
      <alignment horizontal="center" vertical="center"/>
    </xf>
    <xf numFmtId="0" fontId="63" fillId="43" borderId="2" xfId="0" applyFont="1" applyFill="1" applyBorder="1" applyAlignment="1">
      <alignment horizontal="center" vertical="center" wrapText="1"/>
    </xf>
    <xf numFmtId="0" fontId="63" fillId="43" borderId="18" xfId="0" applyFont="1" applyFill="1" applyBorder="1" applyAlignment="1">
      <alignment horizontal="center" vertical="center" wrapText="1"/>
    </xf>
    <xf numFmtId="0" fontId="60" fillId="42" borderId="6" xfId="0" applyFont="1" applyFill="1" applyBorder="1"/>
    <xf numFmtId="0" fontId="65" fillId="43" borderId="1" xfId="0" applyFont="1" applyFill="1" applyBorder="1" applyAlignment="1">
      <alignment horizontal="center" vertical="center" wrapText="1"/>
    </xf>
    <xf numFmtId="0" fontId="51" fillId="2" borderId="2" xfId="0" applyFont="1" applyFill="1" applyBorder="1" applyAlignment="1">
      <alignment horizontal="center" vertical="center"/>
    </xf>
    <xf numFmtId="0" fontId="0" fillId="35" borderId="0" xfId="0" applyFill="1" applyAlignment="1">
      <alignment horizontal="center"/>
    </xf>
    <xf numFmtId="0" fontId="9" fillId="17" borderId="1" xfId="0" applyFont="1" applyFill="1" applyBorder="1" applyAlignment="1">
      <alignment horizontal="center" wrapText="1"/>
    </xf>
    <xf numFmtId="0" fontId="2" fillId="17" borderId="16" xfId="0" applyFont="1" applyFill="1" applyBorder="1" applyAlignment="1">
      <alignment horizontal="center"/>
    </xf>
    <xf numFmtId="0" fontId="2" fillId="17" borderId="1" xfId="0" applyFont="1" applyFill="1" applyBorder="1" applyAlignment="1">
      <alignment horizontal="center"/>
    </xf>
    <xf numFmtId="0" fontId="14" fillId="0" borderId="1" xfId="0" applyFont="1" applyBorder="1" applyAlignment="1">
      <alignment horizontal="center" vertical="center"/>
    </xf>
    <xf numFmtId="0" fontId="66" fillId="0" borderId="1" xfId="0" applyFont="1" applyBorder="1"/>
    <xf numFmtId="0" fontId="67" fillId="47" borderId="1" xfId="0" applyFont="1" applyFill="1" applyBorder="1"/>
    <xf numFmtId="0" fontId="1" fillId="3" borderId="2" xfId="0" applyFont="1" applyFill="1" applyBorder="1" applyAlignment="1">
      <alignment horizontal="center" vertical="center"/>
    </xf>
    <xf numFmtId="0" fontId="1" fillId="7" borderId="2" xfId="0" applyFont="1" applyFill="1" applyBorder="1" applyAlignment="1">
      <alignment vertical="center" wrapText="1"/>
    </xf>
    <xf numFmtId="0" fontId="3" fillId="7" borderId="0" xfId="0" applyFont="1" applyFill="1" applyAlignment="1">
      <alignment horizontal="center" vertical="center"/>
    </xf>
    <xf numFmtId="0" fontId="67" fillId="49" borderId="1" xfId="0" applyFont="1" applyFill="1" applyBorder="1" applyAlignment="1">
      <alignment horizontal="left" wrapText="1"/>
    </xf>
    <xf numFmtId="0" fontId="67" fillId="50" borderId="1" xfId="0" applyFont="1" applyFill="1" applyBorder="1" applyAlignment="1">
      <alignment horizontal="center"/>
    </xf>
    <xf numFmtId="0" fontId="34" fillId="29" borderId="11" xfId="0" applyFont="1" applyFill="1" applyBorder="1"/>
    <xf numFmtId="0" fontId="69" fillId="50" borderId="8" xfId="0" applyFont="1" applyFill="1" applyBorder="1" applyAlignment="1">
      <alignment vertical="center" wrapText="1"/>
    </xf>
    <xf numFmtId="0" fontId="69" fillId="50" borderId="38" xfId="0" applyFont="1" applyFill="1" applyBorder="1" applyAlignment="1">
      <alignment vertical="center" wrapText="1"/>
    </xf>
    <xf numFmtId="0" fontId="19" fillId="0" borderId="174" xfId="0" applyFont="1" applyBorder="1" applyAlignment="1">
      <alignment vertical="center" wrapText="1"/>
    </xf>
    <xf numFmtId="0" fontId="19" fillId="0" borderId="95" xfId="0" applyFont="1" applyBorder="1" applyAlignment="1">
      <alignment horizontal="center" vertical="center" wrapText="1"/>
    </xf>
    <xf numFmtId="0" fontId="70" fillId="42" borderId="11" xfId="0" applyFont="1" applyFill="1" applyBorder="1"/>
    <xf numFmtId="0" fontId="61" fillId="42" borderId="0" xfId="0" applyFont="1" applyFill="1"/>
    <xf numFmtId="0" fontId="68" fillId="52" borderId="43" xfId="0" applyFont="1" applyFill="1" applyBorder="1" applyAlignment="1">
      <alignment horizontal="center" vertical="center" wrapText="1"/>
    </xf>
    <xf numFmtId="0" fontId="64" fillId="0" borderId="0" xfId="0" applyFont="1"/>
    <xf numFmtId="0" fontId="1" fillId="0" borderId="15" xfId="0" applyFont="1" applyBorder="1" applyAlignment="1">
      <alignment horizontal="center"/>
    </xf>
    <xf numFmtId="16" fontId="0" fillId="38" borderId="12" xfId="0" applyNumberFormat="1" applyFont="1" applyFill="1" applyBorder="1" applyAlignment="1" applyProtection="1">
      <protection locked="0"/>
    </xf>
    <xf numFmtId="10" fontId="47" fillId="38" borderId="1" xfId="0" applyNumberFormat="1" applyFont="1" applyFill="1" applyBorder="1" applyAlignment="1">
      <alignment horizontal="left" vertical="center" wrapText="1"/>
    </xf>
    <xf numFmtId="0" fontId="0" fillId="24" borderId="1" xfId="0" applyFill="1" applyBorder="1" applyAlignment="1">
      <alignment horizontal="center" vertical="center"/>
    </xf>
    <xf numFmtId="171" fontId="29" fillId="29" borderId="0" xfId="0" applyNumberFormat="1" applyFont="1" applyFill="1" applyBorder="1" applyAlignment="1">
      <alignment vertical="top"/>
    </xf>
    <xf numFmtId="171" fontId="29" fillId="29" borderId="0" xfId="0" applyNumberFormat="1" applyFont="1" applyFill="1" applyBorder="1"/>
    <xf numFmtId="171" fontId="0" fillId="35" borderId="0" xfId="0" applyNumberFormat="1" applyFill="1"/>
    <xf numFmtId="171" fontId="0" fillId="24" borderId="1" xfId="0" applyNumberFormat="1" applyFill="1" applyBorder="1" applyAlignment="1">
      <alignment wrapText="1"/>
    </xf>
    <xf numFmtId="171" fontId="0" fillId="24" borderId="1" xfId="0" applyNumberFormat="1" applyFill="1" applyBorder="1" applyAlignment="1">
      <alignment vertical="center"/>
    </xf>
    <xf numFmtId="171" fontId="0" fillId="2" borderId="0" xfId="0" applyNumberFormat="1" applyFill="1" applyBorder="1"/>
    <xf numFmtId="171" fontId="0" fillId="2" borderId="0" xfId="0" applyNumberFormat="1" applyFill="1"/>
    <xf numFmtId="171" fontId="0" fillId="24" borderId="1" xfId="0" applyNumberFormat="1" applyFill="1" applyBorder="1"/>
    <xf numFmtId="171" fontId="1" fillId="2" borderId="2" xfId="0" applyNumberFormat="1" applyFont="1" applyFill="1" applyBorder="1" applyAlignment="1">
      <alignment vertical="center" textRotation="90" wrapText="1"/>
    </xf>
    <xf numFmtId="171" fontId="0" fillId="0" borderId="0" xfId="0" applyNumberFormat="1"/>
    <xf numFmtId="168" fontId="0" fillId="38" borderId="1" xfId="0" applyNumberFormat="1" applyFill="1" applyBorder="1" applyAlignment="1">
      <alignment horizontal="center" vertical="center"/>
    </xf>
    <xf numFmtId="0" fontId="13" fillId="38" borderId="1" xfId="0" applyFont="1" applyFill="1" applyBorder="1" applyAlignment="1">
      <alignment horizontal="left" wrapText="1"/>
    </xf>
    <xf numFmtId="0" fontId="13" fillId="38" borderId="1" xfId="0" applyFont="1" applyFill="1" applyBorder="1" applyAlignment="1">
      <alignment horizontal="left" vertical="center" wrapText="1"/>
    </xf>
    <xf numFmtId="0" fontId="1" fillId="38" borderId="1" xfId="0" applyFont="1" applyFill="1" applyBorder="1" applyAlignment="1">
      <alignment horizontal="center"/>
    </xf>
    <xf numFmtId="0" fontId="33" fillId="29" borderId="3" xfId="0" applyFont="1" applyFill="1" applyBorder="1" applyAlignment="1">
      <alignment horizontal="left"/>
    </xf>
    <xf numFmtId="0" fontId="33" fillId="29" borderId="4" xfId="0" applyFont="1" applyFill="1" applyBorder="1" applyAlignment="1">
      <alignment horizontal="left"/>
    </xf>
    <xf numFmtId="0" fontId="62" fillId="44" borderId="15" xfId="0" applyFont="1" applyFill="1" applyBorder="1" applyAlignment="1">
      <alignment horizontal="left" vertical="top" wrapText="1"/>
    </xf>
    <xf numFmtId="0" fontId="62" fillId="44" borderId="14" xfId="0" applyFont="1" applyFill="1" applyBorder="1" applyAlignment="1">
      <alignment horizontal="left" vertical="top" wrapText="1"/>
    </xf>
    <xf numFmtId="0" fontId="62" fillId="44" borderId="16" xfId="0" applyFont="1" applyFill="1" applyBorder="1" applyAlignment="1">
      <alignment horizontal="left" vertical="top" wrapText="1"/>
    </xf>
    <xf numFmtId="0" fontId="62" fillId="44" borderId="15" xfId="0" applyFont="1" applyFill="1" applyBorder="1" applyAlignment="1">
      <alignment horizontal="center" vertical="center"/>
    </xf>
    <xf numFmtId="0" fontId="62" fillId="44" borderId="14" xfId="0" applyFont="1" applyFill="1" applyBorder="1" applyAlignment="1">
      <alignment horizontal="center" vertical="center"/>
    </xf>
    <xf numFmtId="0" fontId="62" fillId="44" borderId="16" xfId="0" applyFont="1" applyFill="1" applyBorder="1" applyAlignment="1">
      <alignment horizontal="center" vertical="center"/>
    </xf>
    <xf numFmtId="0" fontId="62" fillId="45" borderId="15" xfId="0" applyFont="1" applyFill="1" applyBorder="1" applyAlignment="1">
      <alignment horizontal="left" vertical="top" wrapText="1"/>
    </xf>
    <xf numFmtId="0" fontId="62" fillId="45" borderId="14" xfId="0" applyFont="1" applyFill="1" applyBorder="1" applyAlignment="1">
      <alignment horizontal="left" vertical="top" wrapText="1"/>
    </xf>
    <xf numFmtId="0" fontId="62" fillId="45" borderId="16" xfId="0" applyFont="1" applyFill="1" applyBorder="1" applyAlignment="1">
      <alignment horizontal="left" vertical="top" wrapText="1"/>
    </xf>
    <xf numFmtId="0" fontId="0" fillId="38" borderId="0" xfId="0" quotePrefix="1" applyFill="1" applyBorder="1" applyAlignment="1" applyProtection="1">
      <alignment horizontal="center" vertical="top" wrapText="1"/>
      <protection locked="0"/>
    </xf>
    <xf numFmtId="0" fontId="0" fillId="38" borderId="0" xfId="0" applyFont="1" applyFill="1" applyBorder="1" applyAlignment="1" applyProtection="1">
      <alignment horizontal="center" vertical="top"/>
      <protection locked="0"/>
    </xf>
    <xf numFmtId="0" fontId="0" fillId="38" borderId="12" xfId="0" applyFont="1" applyFill="1" applyBorder="1" applyAlignment="1" applyProtection="1">
      <alignment horizontal="center" vertical="top"/>
      <protection locked="0"/>
    </xf>
    <xf numFmtId="0" fontId="35" fillId="24" borderId="0" xfId="0" applyFont="1" applyFill="1" applyAlignment="1">
      <alignment horizontal="center"/>
    </xf>
    <xf numFmtId="0" fontId="43" fillId="43" borderId="32" xfId="0" applyFont="1" applyFill="1" applyBorder="1" applyAlignment="1">
      <alignment horizontal="center" vertical="center" wrapText="1"/>
    </xf>
    <xf numFmtId="0" fontId="43" fillId="43" borderId="2" xfId="0" applyFont="1" applyFill="1" applyBorder="1" applyAlignment="1">
      <alignment horizontal="center" vertical="center" wrapText="1"/>
    </xf>
    <xf numFmtId="0" fontId="43" fillId="43" borderId="32" xfId="0" applyFont="1" applyFill="1" applyBorder="1" applyAlignment="1">
      <alignment horizontal="center" vertical="center"/>
    </xf>
    <xf numFmtId="0" fontId="43" fillId="43" borderId="2" xfId="0" applyFont="1" applyFill="1" applyBorder="1" applyAlignment="1">
      <alignment horizontal="center" vertical="center"/>
    </xf>
    <xf numFmtId="0" fontId="43" fillId="43" borderId="26" xfId="0" applyFont="1" applyFill="1" applyBorder="1" applyAlignment="1">
      <alignment horizontal="center" vertical="center" wrapText="1"/>
    </xf>
    <xf numFmtId="0" fontId="43" fillId="43" borderId="27" xfId="0" applyFont="1" applyFill="1" applyBorder="1" applyAlignment="1">
      <alignment horizontal="center" vertical="center" wrapText="1"/>
    </xf>
    <xf numFmtId="0" fontId="43" fillId="43" borderId="28" xfId="0" applyFont="1" applyFill="1" applyBorder="1" applyAlignment="1">
      <alignment horizontal="center" vertical="center" wrapText="1"/>
    </xf>
    <xf numFmtId="0" fontId="28" fillId="29" borderId="8" xfId="0" applyFont="1" applyFill="1" applyBorder="1" applyAlignment="1" applyProtection="1">
      <alignment horizontal="center" vertical="center"/>
      <protection locked="0"/>
    </xf>
    <xf numFmtId="0" fontId="28" fillId="29" borderId="9" xfId="0" applyFont="1" applyFill="1" applyBorder="1" applyAlignment="1" applyProtection="1">
      <alignment horizontal="center" vertical="center"/>
      <protection locked="0"/>
    </xf>
    <xf numFmtId="0" fontId="28" fillId="29" borderId="10" xfId="0" applyFont="1" applyFill="1" applyBorder="1" applyAlignment="1" applyProtection="1">
      <alignment horizontal="center" vertical="center"/>
      <protection locked="0"/>
    </xf>
    <xf numFmtId="0" fontId="12" fillId="26" borderId="8" xfId="0" applyFont="1" applyFill="1" applyBorder="1" applyAlignment="1">
      <alignment horizontal="left" vertical="top" wrapText="1"/>
    </xf>
    <xf numFmtId="0" fontId="12" fillId="26" borderId="172" xfId="0" applyFont="1" applyFill="1" applyBorder="1" applyAlignment="1">
      <alignment horizontal="left" vertical="top" wrapText="1"/>
    </xf>
    <xf numFmtId="0" fontId="2" fillId="0" borderId="17" xfId="0" applyFont="1" applyBorder="1" applyAlignment="1" applyProtection="1">
      <alignment horizontal="center" vertical="center" textRotation="90" wrapText="1"/>
      <protection locked="0"/>
    </xf>
    <xf numFmtId="0" fontId="2" fillId="0" borderId="18" xfId="0" applyFont="1" applyBorder="1" applyAlignment="1" applyProtection="1">
      <alignment horizontal="center" vertical="center" textRotation="90" wrapText="1"/>
      <protection locked="0"/>
    </xf>
    <xf numFmtId="0" fontId="43" fillId="43" borderId="30" xfId="0" applyFont="1" applyFill="1" applyBorder="1" applyAlignment="1">
      <alignment horizontal="center" vertical="center" wrapText="1"/>
    </xf>
    <xf numFmtId="0" fontId="43" fillId="43" borderId="4" xfId="0" applyFont="1" applyFill="1" applyBorder="1" applyAlignment="1">
      <alignment horizontal="center" vertical="center" wrapText="1"/>
    </xf>
    <xf numFmtId="0" fontId="43" fillId="43" borderId="31" xfId="0" applyFont="1" applyFill="1" applyBorder="1" applyAlignment="1">
      <alignment horizontal="center" vertical="center" wrapText="1"/>
    </xf>
    <xf numFmtId="0" fontId="43" fillId="43" borderId="24" xfId="0" applyFont="1" applyFill="1" applyBorder="1" applyAlignment="1">
      <alignment horizontal="center" vertical="center" wrapText="1"/>
    </xf>
    <xf numFmtId="0" fontId="43" fillId="43" borderId="12" xfId="0" applyFont="1" applyFill="1" applyBorder="1" applyAlignment="1">
      <alignment horizontal="center" vertical="center" wrapText="1"/>
    </xf>
    <xf numFmtId="0" fontId="43" fillId="43" borderId="25" xfId="0" applyFont="1" applyFill="1" applyBorder="1" applyAlignment="1">
      <alignment horizontal="center" vertical="center" wrapText="1"/>
    </xf>
    <xf numFmtId="0" fontId="47" fillId="24" borderId="15" xfId="0" applyFont="1" applyFill="1" applyBorder="1" applyAlignment="1">
      <alignment horizontal="center" vertical="center" wrapText="1"/>
    </xf>
    <xf numFmtId="0" fontId="47" fillId="24" borderId="16" xfId="0" applyFont="1" applyFill="1" applyBorder="1" applyAlignment="1">
      <alignment horizontal="center" vertical="center" wrapText="1"/>
    </xf>
    <xf numFmtId="0" fontId="47" fillId="24" borderId="14" xfId="0" applyFont="1" applyFill="1" applyBorder="1" applyAlignment="1">
      <alignment horizontal="center" vertical="center" wrapText="1"/>
    </xf>
    <xf numFmtId="0" fontId="1" fillId="0" borderId="17" xfId="0" applyFont="1" applyBorder="1" applyAlignment="1">
      <alignment horizontal="center" vertical="center" textRotation="90"/>
    </xf>
    <xf numFmtId="0" fontId="1" fillId="0" borderId="18" xfId="0" applyFont="1" applyBorder="1" applyAlignment="1">
      <alignment horizontal="center" vertical="center" textRotation="90"/>
    </xf>
    <xf numFmtId="0" fontId="1" fillId="0" borderId="2" xfId="0" applyFont="1" applyBorder="1" applyAlignment="1">
      <alignment horizontal="center" vertical="center" textRotation="90"/>
    </xf>
    <xf numFmtId="0" fontId="63" fillId="43" borderId="26" xfId="0" applyFont="1" applyFill="1" applyBorder="1" applyAlignment="1">
      <alignment horizontal="center" vertical="center" wrapText="1"/>
    </xf>
    <xf numFmtId="0" fontId="63" fillId="43" borderId="27" xfId="0" applyFont="1" applyFill="1" applyBorder="1" applyAlignment="1">
      <alignment horizontal="center" vertical="center" wrapText="1"/>
    </xf>
    <xf numFmtId="0" fontId="63" fillId="43" borderId="28" xfId="0" applyFont="1" applyFill="1" applyBorder="1" applyAlignment="1">
      <alignment horizontal="center" vertical="center" wrapText="1"/>
    </xf>
    <xf numFmtId="0" fontId="1" fillId="0" borderId="17" xfId="0" applyFont="1" applyBorder="1" applyAlignment="1">
      <alignment horizontal="center" vertical="top" textRotation="90"/>
    </xf>
    <xf numFmtId="0" fontId="1" fillId="0" borderId="18" xfId="0" applyFont="1" applyBorder="1" applyAlignment="1">
      <alignment horizontal="center" vertical="top" textRotation="90"/>
    </xf>
    <xf numFmtId="0" fontId="1" fillId="0" borderId="2" xfId="0" applyFont="1" applyBorder="1" applyAlignment="1">
      <alignment horizontal="center" vertical="top" textRotation="90"/>
    </xf>
    <xf numFmtId="0" fontId="33" fillId="29" borderId="5" xfId="0" applyFont="1" applyFill="1" applyBorder="1" applyAlignment="1">
      <alignment horizontal="left"/>
    </xf>
    <xf numFmtId="0" fontId="48" fillId="29" borderId="8" xfId="0" applyFont="1" applyFill="1" applyBorder="1" applyAlignment="1">
      <alignment horizontal="center" vertical="center"/>
    </xf>
    <xf numFmtId="0" fontId="48" fillId="29" borderId="9" xfId="0" applyFont="1" applyFill="1" applyBorder="1" applyAlignment="1">
      <alignment horizontal="center" vertical="center"/>
    </xf>
    <xf numFmtId="0" fontId="48" fillId="29" borderId="10" xfId="0" applyFont="1" applyFill="1" applyBorder="1" applyAlignment="1">
      <alignment horizontal="center" vertical="center"/>
    </xf>
    <xf numFmtId="0" fontId="6" fillId="24" borderId="12" xfId="0" applyFont="1" applyFill="1" applyBorder="1" applyAlignment="1">
      <alignment horizontal="center"/>
    </xf>
    <xf numFmtId="0" fontId="1" fillId="24" borderId="14" xfId="0" applyFont="1" applyFill="1" applyBorder="1" applyAlignment="1">
      <alignment horizontal="center"/>
    </xf>
    <xf numFmtId="166" fontId="1" fillId="24" borderId="12" xfId="0" applyNumberFormat="1" applyFont="1" applyFill="1" applyBorder="1" applyAlignment="1">
      <alignment horizontal="center"/>
    </xf>
    <xf numFmtId="0" fontId="47" fillId="24" borderId="15" xfId="0" applyFont="1" applyFill="1" applyBorder="1" applyAlignment="1" applyProtection="1">
      <alignment horizontal="center" vertical="center" wrapText="1"/>
    </xf>
    <xf numFmtId="0" fontId="47" fillId="24" borderId="16" xfId="0" applyFont="1" applyFill="1" applyBorder="1" applyAlignment="1" applyProtection="1">
      <alignment horizontal="center" vertical="center" wrapText="1"/>
    </xf>
    <xf numFmtId="0" fontId="47" fillId="24" borderId="14" xfId="0" applyFont="1" applyFill="1" applyBorder="1" applyAlignment="1" applyProtection="1">
      <alignment horizontal="center" vertical="center" wrapText="1"/>
    </xf>
    <xf numFmtId="0" fontId="47" fillId="37" borderId="15" xfId="0" applyFont="1" applyFill="1" applyBorder="1" applyAlignment="1">
      <alignment horizontal="center" vertical="center" wrapText="1"/>
    </xf>
    <xf numFmtId="0" fontId="47" fillId="37" borderId="16" xfId="0" applyFont="1" applyFill="1" applyBorder="1" applyAlignment="1">
      <alignment horizontal="center" vertical="center" wrapText="1"/>
    </xf>
    <xf numFmtId="0" fontId="47" fillId="37" borderId="14" xfId="0" applyFont="1" applyFill="1" applyBorder="1" applyAlignment="1">
      <alignment horizontal="center" vertical="center" wrapText="1"/>
    </xf>
    <xf numFmtId="0" fontId="64" fillId="43" borderId="1" xfId="0" applyFont="1" applyFill="1" applyBorder="1" applyAlignment="1">
      <alignment horizontal="center" vertical="center" wrapText="1"/>
    </xf>
    <xf numFmtId="0" fontId="6" fillId="36" borderId="16" xfId="0" applyFont="1" applyFill="1" applyBorder="1" applyAlignment="1">
      <alignment horizontal="center"/>
    </xf>
    <xf numFmtId="0" fontId="6" fillId="36" borderId="16" xfId="0" applyFont="1" applyFill="1" applyBorder="1" applyAlignment="1">
      <alignment horizontal="center" vertical="top"/>
    </xf>
    <xf numFmtId="0" fontId="65" fillId="43" borderId="1" xfId="0" applyFont="1" applyFill="1" applyBorder="1" applyAlignment="1">
      <alignment horizontal="center" vertical="center" wrapText="1"/>
    </xf>
    <xf numFmtId="171" fontId="64" fillId="43" borderId="1" xfId="0" applyNumberFormat="1" applyFont="1" applyFill="1" applyBorder="1" applyAlignment="1">
      <alignment horizontal="center" vertical="center" wrapText="1"/>
    </xf>
    <xf numFmtId="0" fontId="64" fillId="43" borderId="17" xfId="0" applyFont="1" applyFill="1" applyBorder="1" applyAlignment="1">
      <alignment horizontal="center" vertical="center" wrapText="1"/>
    </xf>
    <xf numFmtId="0" fontId="64" fillId="43" borderId="2" xfId="0" applyFont="1" applyFill="1" applyBorder="1" applyAlignment="1">
      <alignment horizontal="center" vertical="center" wrapText="1"/>
    </xf>
    <xf numFmtId="171" fontId="0" fillId="24" borderId="17" xfId="0" applyNumberFormat="1" applyFill="1" applyBorder="1" applyAlignment="1">
      <alignment horizontal="center" wrapText="1"/>
    </xf>
    <xf numFmtId="171" fontId="0" fillId="24" borderId="2" xfId="0" applyNumberFormat="1" applyFill="1" applyBorder="1" applyAlignment="1">
      <alignment horizontal="center" wrapText="1"/>
    </xf>
    <xf numFmtId="9" fontId="13" fillId="38" borderId="15" xfId="2" applyFont="1" applyFill="1" applyBorder="1" applyAlignment="1">
      <alignment horizontal="center" vertical="center"/>
    </xf>
    <xf numFmtId="9" fontId="13" fillId="38" borderId="16" xfId="2" applyFont="1" applyFill="1" applyBorder="1" applyAlignment="1">
      <alignment horizontal="center" vertical="center"/>
    </xf>
    <xf numFmtId="0" fontId="0" fillId="24" borderId="1" xfId="0" applyFill="1" applyBorder="1" applyAlignment="1">
      <alignment horizontal="center" wrapText="1"/>
    </xf>
    <xf numFmtId="168" fontId="13" fillId="38" borderId="15" xfId="2" applyNumberFormat="1" applyFont="1" applyFill="1" applyBorder="1" applyAlignment="1">
      <alignment horizontal="center" vertical="center"/>
    </xf>
    <xf numFmtId="168" fontId="13" fillId="38" borderId="16" xfId="2" applyNumberFormat="1" applyFont="1" applyFill="1" applyBorder="1" applyAlignment="1">
      <alignment horizontal="center" vertical="center"/>
    </xf>
    <xf numFmtId="168" fontId="0" fillId="38" borderId="15" xfId="0" applyNumberFormat="1" applyFill="1" applyBorder="1" applyAlignment="1">
      <alignment horizontal="center" vertical="center"/>
    </xf>
    <xf numFmtId="168" fontId="0" fillId="38" borderId="14" xfId="0" applyNumberFormat="1" applyFill="1" applyBorder="1" applyAlignment="1">
      <alignment horizontal="center" vertical="center"/>
    </xf>
    <xf numFmtId="168" fontId="0" fillId="38" borderId="16" xfId="0" applyNumberFormat="1" applyFill="1" applyBorder="1" applyAlignment="1">
      <alignment horizontal="center" vertical="center"/>
    </xf>
    <xf numFmtId="0" fontId="33" fillId="29" borderId="6" xfId="0" applyFont="1" applyFill="1" applyBorder="1" applyAlignment="1">
      <alignment horizontal="center"/>
    </xf>
    <xf numFmtId="0" fontId="33" fillId="29" borderId="0" xfId="0" applyFont="1" applyFill="1" applyBorder="1" applyAlignment="1">
      <alignment horizontal="center"/>
    </xf>
    <xf numFmtId="0" fontId="48" fillId="29" borderId="6" xfId="0" applyFont="1" applyFill="1" applyBorder="1" applyAlignment="1">
      <alignment horizontal="center" vertical="center"/>
    </xf>
    <xf numFmtId="0" fontId="48" fillId="29" borderId="0" xfId="0" applyFont="1" applyFill="1" applyBorder="1" applyAlignment="1">
      <alignment horizontal="center" vertical="center"/>
    </xf>
    <xf numFmtId="0" fontId="0" fillId="24" borderId="1" xfId="0" applyFill="1" applyBorder="1" applyAlignment="1">
      <alignment horizontal="center" vertical="center"/>
    </xf>
    <xf numFmtId="171" fontId="0" fillId="24" borderId="1" xfId="0" applyNumberFormat="1" applyFill="1" applyBorder="1" applyAlignment="1">
      <alignment horizontal="center" vertical="center"/>
    </xf>
    <xf numFmtId="0" fontId="0" fillId="24" borderId="1" xfId="0" applyFill="1" applyBorder="1" applyAlignment="1">
      <alignment horizontal="center" vertical="center" wrapText="1"/>
    </xf>
    <xf numFmtId="0" fontId="68" fillId="48" borderId="1" xfId="0" applyFont="1" applyFill="1" applyBorder="1" applyAlignment="1">
      <alignment horizontal="center" vertical="center" wrapText="1"/>
    </xf>
    <xf numFmtId="0" fontId="13" fillId="17" borderId="15" xfId="0" applyFont="1" applyFill="1" applyBorder="1" applyAlignment="1">
      <alignment horizontal="center"/>
    </xf>
    <xf numFmtId="0" fontId="13" fillId="17" borderId="16" xfId="0" applyFont="1" applyFill="1" applyBorder="1" applyAlignment="1">
      <alignment horizontal="center"/>
    </xf>
    <xf numFmtId="0" fontId="64" fillId="43" borderId="1" xfId="0" applyFont="1" applyFill="1" applyBorder="1" applyAlignment="1">
      <alignment horizontal="center" vertical="center"/>
    </xf>
    <xf numFmtId="0" fontId="0" fillId="38" borderId="17" xfId="0" applyFill="1" applyBorder="1" applyAlignment="1">
      <alignment horizontal="center" vertical="center"/>
    </xf>
    <xf numFmtId="0" fontId="0" fillId="38" borderId="2" xfId="0" applyFill="1" applyBorder="1" applyAlignment="1">
      <alignment horizontal="center" vertical="center"/>
    </xf>
    <xf numFmtId="0" fontId="0" fillId="24" borderId="19" xfId="0" applyFill="1" applyBorder="1" applyAlignment="1">
      <alignment horizontal="center" wrapText="1"/>
    </xf>
    <xf numFmtId="0" fontId="0" fillId="24" borderId="21" xfId="0" applyFill="1" applyBorder="1" applyAlignment="1">
      <alignment horizontal="center" wrapText="1"/>
    </xf>
    <xf numFmtId="0" fontId="0" fillId="24" borderId="24" xfId="0" applyFill="1" applyBorder="1" applyAlignment="1">
      <alignment horizontal="center" wrapText="1"/>
    </xf>
    <xf numFmtId="0" fontId="0" fillId="24" borderId="25" xfId="0" applyFill="1" applyBorder="1" applyAlignment="1">
      <alignment horizontal="center" wrapText="1"/>
    </xf>
    <xf numFmtId="0" fontId="1" fillId="0" borderId="1" xfId="0" applyFont="1" applyBorder="1" applyAlignment="1">
      <alignment horizontal="center" vertical="center" textRotation="90"/>
    </xf>
    <xf numFmtId="0" fontId="0" fillId="38" borderId="1" xfId="0" applyFill="1" applyBorder="1" applyAlignment="1">
      <alignment horizontal="center" vertical="center"/>
    </xf>
    <xf numFmtId="0" fontId="0" fillId="24" borderId="17" xfId="0" applyFill="1" applyBorder="1" applyAlignment="1">
      <alignment horizontal="center" vertical="center" wrapText="1"/>
    </xf>
    <xf numFmtId="0" fontId="0" fillId="24" borderId="2" xfId="0" applyFill="1" applyBorder="1" applyAlignment="1">
      <alignment horizontal="center" vertical="center" wrapText="1"/>
    </xf>
    <xf numFmtId="171" fontId="0" fillId="24" borderId="17" xfId="0" applyNumberFormat="1" applyFill="1" applyBorder="1" applyAlignment="1">
      <alignment horizontal="center" vertical="center" wrapText="1"/>
    </xf>
    <xf numFmtId="171" fontId="0" fillId="24" borderId="2" xfId="0" applyNumberFormat="1" applyFill="1" applyBorder="1" applyAlignment="1">
      <alignment horizontal="center" vertical="center" wrapText="1"/>
    </xf>
    <xf numFmtId="0" fontId="0" fillId="24" borderId="19" xfId="0" applyFill="1" applyBorder="1" applyAlignment="1">
      <alignment horizontal="center" vertical="center" wrapText="1"/>
    </xf>
    <xf numFmtId="0" fontId="0" fillId="24" borderId="21" xfId="0" applyFill="1" applyBorder="1" applyAlignment="1">
      <alignment horizontal="center" vertical="center" wrapText="1"/>
    </xf>
    <xf numFmtId="0" fontId="0" fillId="24" borderId="24" xfId="0" applyFill="1" applyBorder="1" applyAlignment="1">
      <alignment horizontal="center" vertical="center" wrapText="1"/>
    </xf>
    <xf numFmtId="0" fontId="0" fillId="24" borderId="25" xfId="0" applyFill="1" applyBorder="1" applyAlignment="1">
      <alignment horizontal="center" vertical="center" wrapText="1"/>
    </xf>
    <xf numFmtId="0" fontId="1" fillId="38" borderId="1" xfId="0" applyFont="1" applyFill="1" applyBorder="1" applyAlignment="1">
      <alignment horizontal="center" vertical="center"/>
    </xf>
    <xf numFmtId="0" fontId="53" fillId="38" borderId="17" xfId="0" applyFont="1" applyFill="1" applyBorder="1" applyAlignment="1">
      <alignment horizontal="center" vertical="center" wrapText="1"/>
    </xf>
    <xf numFmtId="0" fontId="53" fillId="38" borderId="2" xfId="0" applyFont="1" applyFill="1" applyBorder="1" applyAlignment="1">
      <alignment horizontal="center" vertical="center" wrapText="1"/>
    </xf>
    <xf numFmtId="0" fontId="4" fillId="24" borderId="1" xfId="0" applyFont="1" applyFill="1" applyBorder="1" applyAlignment="1">
      <alignment horizontal="center" vertical="center"/>
    </xf>
    <xf numFmtId="0" fontId="0" fillId="24" borderId="17" xfId="0" applyFill="1" applyBorder="1" applyAlignment="1">
      <alignment horizontal="center" wrapText="1"/>
    </xf>
    <xf numFmtId="0" fontId="0" fillId="24" borderId="2" xfId="0" applyFill="1" applyBorder="1" applyAlignment="1">
      <alignment horizontal="center" wrapText="1"/>
    </xf>
    <xf numFmtId="0" fontId="53" fillId="38" borderId="1" xfId="0" applyFont="1" applyFill="1" applyBorder="1" applyAlignment="1">
      <alignment horizontal="center" vertical="center" wrapText="1"/>
    </xf>
    <xf numFmtId="0" fontId="67" fillId="47" borderId="1" xfId="0" applyFont="1" applyFill="1" applyBorder="1" applyAlignment="1">
      <alignment horizontal="center"/>
    </xf>
    <xf numFmtId="0" fontId="6" fillId="36" borderId="1" xfId="0" applyFont="1" applyFill="1" applyBorder="1" applyAlignment="1">
      <alignment horizontal="center" vertical="center"/>
    </xf>
    <xf numFmtId="0" fontId="0" fillId="24" borderId="20" xfId="0" applyFill="1" applyBorder="1" applyAlignment="1">
      <alignment horizontal="center" wrapText="1"/>
    </xf>
    <xf numFmtId="0" fontId="0" fillId="24" borderId="12" xfId="0" applyFill="1" applyBorder="1" applyAlignment="1">
      <alignment horizontal="center" wrapText="1"/>
    </xf>
    <xf numFmtId="0" fontId="1" fillId="0" borderId="17" xfId="0" applyFont="1" applyBorder="1" applyAlignment="1">
      <alignment horizontal="center" vertical="center" textRotation="90" wrapText="1"/>
    </xf>
    <xf numFmtId="0" fontId="1" fillId="0" borderId="18"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5" fillId="38" borderId="20" xfId="0" applyFont="1" applyFill="1" applyBorder="1" applyAlignment="1">
      <alignment horizontal="left" vertical="top"/>
    </xf>
    <xf numFmtId="0" fontId="5" fillId="38" borderId="21" xfId="0" applyFont="1" applyFill="1" applyBorder="1" applyAlignment="1">
      <alignment horizontal="left" vertical="top"/>
    </xf>
    <xf numFmtId="0" fontId="5" fillId="24" borderId="15" xfId="0" applyFont="1" applyFill="1" applyBorder="1" applyAlignment="1">
      <alignment horizontal="left" vertical="top" wrapText="1"/>
    </xf>
    <xf numFmtId="0" fontId="5" fillId="24" borderId="14" xfId="0" applyFont="1" applyFill="1" applyBorder="1" applyAlignment="1">
      <alignment horizontal="left" vertical="top" wrapText="1"/>
    </xf>
    <xf numFmtId="0" fontId="5" fillId="24" borderId="16" xfId="0" applyFont="1" applyFill="1" applyBorder="1" applyAlignment="1">
      <alignment horizontal="left" vertical="top" wrapText="1"/>
    </xf>
    <xf numFmtId="0" fontId="1" fillId="38" borderId="20" xfId="0" applyFont="1" applyFill="1" applyBorder="1" applyAlignment="1">
      <alignment horizontal="left" vertical="top"/>
    </xf>
    <xf numFmtId="0" fontId="6" fillId="4" borderId="125" xfId="0" applyFont="1" applyFill="1" applyBorder="1" applyAlignment="1">
      <alignment horizontal="center"/>
    </xf>
    <xf numFmtId="0" fontId="6" fillId="4" borderId="14" xfId="0" applyFont="1" applyFill="1" applyBorder="1" applyAlignment="1">
      <alignment horizontal="center"/>
    </xf>
    <xf numFmtId="0" fontId="6" fillId="4" borderId="16" xfId="0" applyFont="1" applyFill="1" applyBorder="1" applyAlignment="1">
      <alignment horizontal="center"/>
    </xf>
    <xf numFmtId="0" fontId="6" fillId="4" borderId="126" xfId="0" applyFont="1" applyFill="1" applyBorder="1" applyAlignment="1">
      <alignment horizontal="center"/>
    </xf>
    <xf numFmtId="0" fontId="6" fillId="4" borderId="27" xfId="0" applyFont="1" applyFill="1" applyBorder="1" applyAlignment="1">
      <alignment horizontal="center"/>
    </xf>
    <xf numFmtId="0" fontId="6" fillId="4" borderId="127" xfId="0" applyFont="1" applyFill="1" applyBorder="1" applyAlignment="1">
      <alignment horizontal="center"/>
    </xf>
    <xf numFmtId="0" fontId="5" fillId="24" borderId="15" xfId="0" applyFont="1" applyFill="1" applyBorder="1" applyAlignment="1">
      <alignment horizontal="left" vertical="top"/>
    </xf>
    <xf numFmtId="0" fontId="5" fillId="24" borderId="14" xfId="0" applyFont="1" applyFill="1" applyBorder="1" applyAlignment="1">
      <alignment horizontal="left" vertical="top"/>
    </xf>
    <xf numFmtId="0" fontId="5" fillId="24" borderId="16" xfId="0" applyFont="1" applyFill="1" applyBorder="1" applyAlignment="1">
      <alignment horizontal="left" vertical="top"/>
    </xf>
    <xf numFmtId="0" fontId="1" fillId="0" borderId="15" xfId="0" applyFont="1" applyBorder="1" applyAlignment="1">
      <alignment horizontal="center"/>
    </xf>
    <xf numFmtId="0" fontId="1" fillId="0" borderId="16" xfId="0" applyFont="1"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xf numFmtId="0" fontId="31" fillId="29" borderId="0" xfId="0" applyFont="1" applyFill="1" applyBorder="1" applyAlignment="1">
      <alignment horizontal="left" vertical="center" wrapText="1"/>
    </xf>
    <xf numFmtId="0" fontId="63" fillId="43" borderId="24" xfId="0" applyFont="1" applyFill="1" applyBorder="1" applyAlignment="1">
      <alignment horizontal="center" vertical="center" wrapText="1"/>
    </xf>
    <xf numFmtId="0" fontId="63" fillId="43" borderId="12" xfId="0" applyFont="1" applyFill="1" applyBorder="1" applyAlignment="1">
      <alignment horizontal="center" vertical="center" wrapText="1"/>
    </xf>
    <xf numFmtId="0" fontId="63" fillId="43" borderId="25" xfId="0" applyFont="1" applyFill="1" applyBorder="1" applyAlignment="1">
      <alignment horizontal="center" vertical="center" wrapText="1"/>
    </xf>
    <xf numFmtId="0" fontId="67" fillId="49" borderId="15" xfId="0" applyFont="1" applyFill="1" applyBorder="1" applyAlignment="1">
      <alignment horizontal="center" vertical="center" wrapText="1"/>
    </xf>
    <xf numFmtId="0" fontId="67" fillId="49" borderId="16" xfId="0" applyFont="1" applyFill="1" applyBorder="1" applyAlignment="1">
      <alignment horizontal="center" vertical="center" wrapText="1"/>
    </xf>
    <xf numFmtId="0" fontId="28" fillId="29" borderId="8" xfId="0" applyFont="1" applyFill="1" applyBorder="1" applyAlignment="1">
      <alignment horizontal="center" vertical="center"/>
    </xf>
    <xf numFmtId="0" fontId="28" fillId="29" borderId="9" xfId="0" applyFont="1" applyFill="1" applyBorder="1" applyAlignment="1">
      <alignment horizontal="center" vertical="center"/>
    </xf>
    <xf numFmtId="0" fontId="28" fillId="29" borderId="10" xfId="0" applyFont="1" applyFill="1" applyBorder="1" applyAlignment="1">
      <alignment horizontal="center" vertical="center"/>
    </xf>
    <xf numFmtId="0" fontId="1" fillId="3" borderId="22" xfId="0" applyFont="1" applyFill="1" applyBorder="1" applyAlignment="1">
      <alignment horizontal="center" vertical="center" wrapText="1"/>
    </xf>
    <xf numFmtId="0" fontId="1" fillId="3" borderId="23" xfId="0" applyFont="1" applyFill="1" applyBorder="1" applyAlignment="1">
      <alignment horizontal="center" vertical="center" wrapText="1"/>
    </xf>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18" xfId="0" applyFont="1" applyBorder="1" applyAlignment="1">
      <alignment horizontal="center" vertical="center" textRotation="90" wrapText="1"/>
    </xf>
    <xf numFmtId="0" fontId="5" fillId="0" borderId="2" xfId="0" applyFont="1" applyBorder="1" applyAlignment="1">
      <alignment horizontal="center" vertical="center" textRotation="90" wrapText="1"/>
    </xf>
    <xf numFmtId="0" fontId="13" fillId="0" borderId="1" xfId="0" applyFont="1" applyBorder="1" applyAlignment="1">
      <alignment horizontal="left" vertical="center" wrapText="1"/>
    </xf>
    <xf numFmtId="0" fontId="6" fillId="6" borderId="15" xfId="0" applyFont="1" applyFill="1" applyBorder="1" applyAlignment="1">
      <alignment horizontal="center"/>
    </xf>
    <xf numFmtId="0" fontId="6" fillId="6" borderId="14" xfId="0" applyFont="1" applyFill="1" applyBorder="1" applyAlignment="1">
      <alignment horizontal="center"/>
    </xf>
    <xf numFmtId="0" fontId="6" fillId="6" borderId="173" xfId="0" applyFont="1" applyFill="1" applyBorder="1" applyAlignment="1">
      <alignment horizontal="center"/>
    </xf>
    <xf numFmtId="0" fontId="5" fillId="38" borderId="20" xfId="0" applyFont="1" applyFill="1" applyBorder="1" applyAlignment="1">
      <alignment horizontal="center" vertical="top"/>
    </xf>
    <xf numFmtId="0" fontId="5" fillId="38" borderId="21" xfId="0" applyFont="1" applyFill="1" applyBorder="1" applyAlignment="1">
      <alignment horizontal="center"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6" fillId="6" borderId="33" xfId="0" applyFont="1" applyFill="1" applyBorder="1" applyAlignment="1">
      <alignment horizontal="center"/>
    </xf>
    <xf numFmtId="0" fontId="6" fillId="6" borderId="27" xfId="0" applyFont="1" applyFill="1" applyBorder="1" applyAlignment="1">
      <alignment horizontal="center"/>
    </xf>
    <xf numFmtId="0" fontId="68" fillId="0" borderId="4" xfId="0" applyFont="1" applyBorder="1" applyAlignment="1">
      <alignment horizontal="center" vertical="center"/>
    </xf>
    <xf numFmtId="0" fontId="3" fillId="0" borderId="4" xfId="0" applyFont="1" applyBorder="1" applyAlignment="1">
      <alignment horizontal="left" vertical="center"/>
    </xf>
    <xf numFmtId="0" fontId="1" fillId="3" borderId="22"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23" xfId="0" applyFont="1" applyFill="1" applyBorder="1" applyAlignment="1">
      <alignment horizontal="left" vertical="center" wrapText="1"/>
    </xf>
    <xf numFmtId="0" fontId="5" fillId="24" borderId="13" xfId="0" applyFont="1" applyFill="1" applyBorder="1" applyAlignment="1">
      <alignment horizontal="left" vertical="top" wrapText="1"/>
    </xf>
    <xf numFmtId="0" fontId="5" fillId="0" borderId="17" xfId="0" applyFont="1" applyBorder="1" applyAlignment="1">
      <alignment horizontal="center" vertical="center" textRotation="90"/>
    </xf>
    <xf numFmtId="0" fontId="5" fillId="0" borderId="18" xfId="0" applyFont="1" applyBorder="1" applyAlignment="1">
      <alignment horizontal="center" vertical="center" textRotation="90"/>
    </xf>
    <xf numFmtId="0" fontId="5" fillId="0" borderId="2" xfId="0" applyFont="1" applyBorder="1" applyAlignment="1">
      <alignment horizontal="center" vertical="center" textRotation="90"/>
    </xf>
    <xf numFmtId="0" fontId="5" fillId="0" borderId="22" xfId="0" applyFont="1" applyBorder="1" applyAlignment="1">
      <alignment horizontal="center" vertical="center" textRotation="90"/>
    </xf>
    <xf numFmtId="0" fontId="5" fillId="0" borderId="23" xfId="0" applyFont="1" applyBorder="1" applyAlignment="1">
      <alignment horizontal="center" vertical="center" textRotation="90"/>
    </xf>
    <xf numFmtId="0" fontId="1" fillId="38" borderId="19" xfId="0" applyFont="1" applyFill="1" applyBorder="1" applyAlignment="1">
      <alignment horizontal="left" vertical="top" wrapText="1"/>
    </xf>
    <xf numFmtId="0" fontId="5" fillId="38" borderId="20" xfId="0" applyFont="1" applyFill="1" applyBorder="1" applyAlignment="1">
      <alignment horizontal="left" vertical="top" wrapText="1"/>
    </xf>
    <xf numFmtId="0" fontId="5" fillId="38" borderId="22" xfId="0" applyFont="1" applyFill="1" applyBorder="1" applyAlignment="1">
      <alignment horizontal="left" vertical="top" wrapText="1"/>
    </xf>
    <xf numFmtId="0" fontId="5" fillId="38" borderId="0" xfId="0" applyFont="1" applyFill="1" applyBorder="1" applyAlignment="1">
      <alignment horizontal="left" vertical="top" wrapText="1"/>
    </xf>
    <xf numFmtId="0" fontId="1" fillId="38" borderId="20" xfId="0" applyFont="1" applyFill="1" applyBorder="1" applyAlignment="1">
      <alignment horizontal="left" vertical="top" wrapText="1"/>
    </xf>
    <xf numFmtId="0" fontId="5" fillId="38" borderId="21" xfId="0" applyFont="1" applyFill="1" applyBorder="1" applyAlignment="1">
      <alignment horizontal="left" vertical="top" wrapText="1"/>
    </xf>
    <xf numFmtId="0" fontId="5" fillId="38" borderId="23" xfId="0" applyFont="1" applyFill="1" applyBorder="1" applyAlignment="1">
      <alignment horizontal="left" vertical="top" wrapText="1"/>
    </xf>
    <xf numFmtId="0" fontId="5" fillId="38" borderId="9" xfId="0" applyFont="1" applyFill="1" applyBorder="1" applyAlignment="1">
      <alignment horizontal="left" vertical="top" wrapText="1"/>
    </xf>
    <xf numFmtId="0" fontId="5" fillId="38" borderId="34" xfId="0" applyFont="1" applyFill="1" applyBorder="1" applyAlignment="1">
      <alignment horizontal="left" vertical="top" wrapText="1"/>
    </xf>
    <xf numFmtId="0" fontId="5" fillId="0" borderId="20" xfId="0" applyFont="1" applyBorder="1" applyAlignment="1">
      <alignment horizontal="left" vertical="top"/>
    </xf>
    <xf numFmtId="0" fontId="5" fillId="0" borderId="21" xfId="0" applyFont="1" applyBorder="1" applyAlignment="1">
      <alignment horizontal="left" vertical="top"/>
    </xf>
    <xf numFmtId="0" fontId="5" fillId="0" borderId="15" xfId="0" applyFont="1" applyBorder="1" applyAlignment="1">
      <alignment horizontal="center" vertical="top"/>
    </xf>
    <xf numFmtId="0" fontId="5" fillId="0" borderId="14" xfId="0" applyFont="1" applyBorder="1" applyAlignment="1">
      <alignment horizontal="center" vertical="top"/>
    </xf>
    <xf numFmtId="0" fontId="5" fillId="0" borderId="19" xfId="0" applyFont="1" applyBorder="1" applyAlignment="1">
      <alignment horizontal="left" vertical="top" textRotation="90"/>
    </xf>
    <xf numFmtId="0" fontId="5" fillId="0" borderId="20" xfId="0" applyFont="1" applyBorder="1" applyAlignment="1">
      <alignment horizontal="left" vertical="top" textRotation="90"/>
    </xf>
    <xf numFmtId="0" fontId="1" fillId="0" borderId="17" xfId="0" applyFont="1" applyBorder="1" applyAlignment="1">
      <alignment horizontal="center" vertical="center"/>
    </xf>
    <xf numFmtId="0" fontId="5" fillId="0" borderId="18" xfId="0" applyFont="1" applyBorder="1" applyAlignment="1">
      <alignment horizontal="center" vertical="center"/>
    </xf>
    <xf numFmtId="0" fontId="5" fillId="0" borderId="2" xfId="0" applyFont="1" applyBorder="1" applyAlignment="1">
      <alignment horizontal="center" vertical="center"/>
    </xf>
    <xf numFmtId="0" fontId="1" fillId="38" borderId="20" xfId="0" applyFont="1" applyFill="1" applyBorder="1" applyAlignment="1">
      <alignment horizontal="center" vertical="top" wrapText="1"/>
    </xf>
    <xf numFmtId="0" fontId="5" fillId="38" borderId="20" xfId="0" applyFont="1" applyFill="1" applyBorder="1" applyAlignment="1">
      <alignment horizontal="center" vertical="top" wrapText="1"/>
    </xf>
    <xf numFmtId="0" fontId="5" fillId="38" borderId="21" xfId="0" applyFont="1" applyFill="1" applyBorder="1" applyAlignment="1">
      <alignment horizontal="center" vertical="top" wrapText="1"/>
    </xf>
    <xf numFmtId="0" fontId="5" fillId="38" borderId="0" xfId="0" applyFont="1" applyFill="1" applyBorder="1" applyAlignment="1">
      <alignment horizontal="center" vertical="top" wrapText="1"/>
    </xf>
    <xf numFmtId="0" fontId="5" fillId="38" borderId="23" xfId="0" applyFont="1" applyFill="1" applyBorder="1" applyAlignment="1">
      <alignment horizontal="center" vertical="top" wrapText="1"/>
    </xf>
    <xf numFmtId="0" fontId="5" fillId="38" borderId="9" xfId="0" applyFont="1" applyFill="1" applyBorder="1" applyAlignment="1">
      <alignment horizontal="center" vertical="top" wrapText="1"/>
    </xf>
    <xf numFmtId="0" fontId="5" fillId="38" borderId="34" xfId="0" applyFont="1" applyFill="1" applyBorder="1" applyAlignment="1">
      <alignment horizontal="center" vertical="top" wrapText="1"/>
    </xf>
    <xf numFmtId="0" fontId="1" fillId="0" borderId="22" xfId="0" applyFont="1" applyBorder="1" applyAlignment="1">
      <alignment horizontal="center" vertical="center" textRotation="90"/>
    </xf>
    <xf numFmtId="0" fontId="1" fillId="0" borderId="7" xfId="0" applyFont="1" applyBorder="1" applyAlignment="1">
      <alignment horizontal="center" vertical="center" textRotation="90"/>
    </xf>
    <xf numFmtId="0" fontId="1" fillId="0" borderId="19" xfId="0" applyFont="1" applyBorder="1" applyAlignment="1">
      <alignment horizontal="center" vertical="center" textRotation="90"/>
    </xf>
    <xf numFmtId="0" fontId="5" fillId="0" borderId="21" xfId="0" applyFont="1" applyBorder="1" applyAlignment="1">
      <alignment horizontal="center" vertical="center" textRotation="90"/>
    </xf>
    <xf numFmtId="0" fontId="5" fillId="0" borderId="1" xfId="0" applyFont="1" applyBorder="1" applyAlignment="1">
      <alignment horizontal="left" vertical="top"/>
    </xf>
    <xf numFmtId="0" fontId="1" fillId="38" borderId="19" xfId="0" applyFont="1" applyFill="1" applyBorder="1" applyAlignment="1">
      <alignment horizontal="center" vertical="top" wrapText="1"/>
    </xf>
    <xf numFmtId="0" fontId="5" fillId="38" borderId="22" xfId="0" applyFont="1" applyFill="1" applyBorder="1" applyAlignment="1">
      <alignment horizontal="center" vertical="top" wrapText="1"/>
    </xf>
    <xf numFmtId="0" fontId="5" fillId="38" borderId="24" xfId="0" applyFont="1" applyFill="1" applyBorder="1" applyAlignment="1">
      <alignment horizontal="center" vertical="top" wrapText="1"/>
    </xf>
    <xf numFmtId="0" fontId="5" fillId="38" borderId="12" xfId="0" applyFont="1" applyFill="1" applyBorder="1" applyAlignment="1">
      <alignment horizontal="center" vertical="top" wrapText="1"/>
    </xf>
    <xf numFmtId="0" fontId="5" fillId="38" borderId="25" xfId="0" applyFont="1" applyFill="1" applyBorder="1" applyAlignment="1">
      <alignment horizontal="center" vertical="top" wrapText="1"/>
    </xf>
    <xf numFmtId="0" fontId="1" fillId="38" borderId="20" xfId="0" applyFont="1" applyFill="1" applyBorder="1" applyAlignment="1">
      <alignment horizontal="center" vertical="top"/>
    </xf>
    <xf numFmtId="0" fontId="1"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5" fillId="0" borderId="15" xfId="0" applyFont="1" applyBorder="1" applyAlignment="1">
      <alignment horizontal="left"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1" fillId="0" borderId="19" xfId="0" applyFont="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1" fillId="0" borderId="3" xfId="0" applyFont="1" applyBorder="1" applyAlignment="1">
      <alignment horizontal="left" vertical="top"/>
    </xf>
    <xf numFmtId="0" fontId="5" fillId="0" borderId="4" xfId="0" applyFont="1" applyBorder="1" applyAlignment="1">
      <alignment horizontal="left" vertical="top"/>
    </xf>
    <xf numFmtId="0" fontId="5" fillId="0" borderId="5" xfId="0" applyFont="1" applyBorder="1" applyAlignment="1">
      <alignment horizontal="left" vertical="top"/>
    </xf>
    <xf numFmtId="0" fontId="1" fillId="38" borderId="14" xfId="0" applyFont="1" applyFill="1" applyBorder="1" applyAlignment="1">
      <alignment horizontal="center" vertical="center" wrapText="1"/>
    </xf>
    <xf numFmtId="0" fontId="5" fillId="38" borderId="14" xfId="0" applyFont="1" applyFill="1" applyBorder="1" applyAlignment="1">
      <alignment horizontal="center" vertical="center" wrapText="1"/>
    </xf>
    <xf numFmtId="0" fontId="5" fillId="38" borderId="16" xfId="0" applyFont="1" applyFill="1" applyBorder="1" applyAlignment="1">
      <alignment horizontal="center" vertical="center" wrapText="1"/>
    </xf>
    <xf numFmtId="0" fontId="1" fillId="38" borderId="15" xfId="0" applyFont="1" applyFill="1" applyBorder="1" applyAlignment="1">
      <alignment horizontal="left" vertical="top" wrapText="1"/>
    </xf>
    <xf numFmtId="0" fontId="5" fillId="38" borderId="14" xfId="0" applyFont="1" applyFill="1" applyBorder="1" applyAlignment="1">
      <alignment horizontal="left" vertical="top" wrapText="1"/>
    </xf>
    <xf numFmtId="0" fontId="5" fillId="38" borderId="16" xfId="0" applyFont="1" applyFill="1" applyBorder="1" applyAlignment="1">
      <alignment horizontal="left" vertical="top" wrapText="1"/>
    </xf>
    <xf numFmtId="0" fontId="1" fillId="38" borderId="15" xfId="0" applyFont="1" applyFill="1" applyBorder="1" applyAlignment="1" applyProtection="1">
      <alignment horizontal="left" vertical="top"/>
    </xf>
    <xf numFmtId="0" fontId="5" fillId="38" borderId="14" xfId="0" applyFont="1" applyFill="1" applyBorder="1" applyAlignment="1" applyProtection="1">
      <alignment horizontal="left" vertical="top"/>
    </xf>
    <xf numFmtId="0" fontId="5" fillId="38" borderId="16" xfId="0" applyFont="1" applyFill="1" applyBorder="1" applyAlignment="1" applyProtection="1">
      <alignment horizontal="left" vertical="top"/>
    </xf>
    <xf numFmtId="0" fontId="1" fillId="38" borderId="15" xfId="0" applyFont="1" applyFill="1" applyBorder="1" applyAlignment="1" applyProtection="1">
      <alignment horizontal="left" vertical="top" wrapText="1"/>
    </xf>
    <xf numFmtId="0" fontId="5" fillId="38" borderId="14" xfId="0" applyFont="1" applyFill="1" applyBorder="1" applyAlignment="1" applyProtection="1">
      <alignment horizontal="left" vertical="top" wrapText="1"/>
    </xf>
    <xf numFmtId="0" fontId="5" fillId="38" borderId="16" xfId="0" applyFont="1" applyFill="1" applyBorder="1" applyAlignment="1" applyProtection="1">
      <alignment horizontal="left" vertical="top" wrapText="1"/>
    </xf>
    <xf numFmtId="0" fontId="5" fillId="0" borderId="15" xfId="0" applyFont="1" applyBorder="1" applyAlignment="1">
      <alignment horizontal="left" vertical="top" textRotation="90"/>
    </xf>
    <xf numFmtId="0" fontId="5" fillId="0" borderId="14" xfId="0" applyFont="1" applyBorder="1" applyAlignment="1">
      <alignment horizontal="left" vertical="top" textRotation="90"/>
    </xf>
    <xf numFmtId="0" fontId="5" fillId="0" borderId="16" xfId="0" applyFont="1" applyBorder="1" applyAlignment="1">
      <alignment horizontal="left" vertical="top" textRotation="90"/>
    </xf>
    <xf numFmtId="0" fontId="5" fillId="38" borderId="15" xfId="0" applyFont="1" applyFill="1" applyBorder="1" applyAlignment="1">
      <alignment horizontal="left" vertical="top"/>
    </xf>
    <xf numFmtId="0" fontId="1" fillId="0" borderId="17" xfId="0" applyFont="1" applyBorder="1" applyAlignment="1">
      <alignment horizontal="left"/>
    </xf>
    <xf numFmtId="0" fontId="5" fillId="0" borderId="18" xfId="0" applyFont="1" applyBorder="1" applyAlignment="1">
      <alignment horizontal="left"/>
    </xf>
    <xf numFmtId="0" fontId="5" fillId="0" borderId="2" xfId="0" applyFont="1" applyBorder="1" applyAlignment="1">
      <alignment horizontal="left"/>
    </xf>
    <xf numFmtId="0" fontId="1" fillId="0" borderId="19" xfId="0" applyFont="1" applyBorder="1" applyAlignment="1">
      <alignment horizontal="center" vertical="center"/>
    </xf>
    <xf numFmtId="0" fontId="5" fillId="0" borderId="21" xfId="0" applyFont="1" applyBorder="1" applyAlignment="1">
      <alignment horizontal="center" vertical="center"/>
    </xf>
    <xf numFmtId="0" fontId="5" fillId="0" borderId="24" xfId="0" applyFont="1" applyBorder="1" applyAlignment="1">
      <alignment horizontal="center" vertical="center"/>
    </xf>
    <xf numFmtId="0" fontId="5" fillId="0" borderId="25" xfId="0" applyFont="1" applyBorder="1" applyAlignment="1">
      <alignment horizontal="center" vertical="center"/>
    </xf>
    <xf numFmtId="0" fontId="5" fillId="0" borderId="19" xfId="0" applyFont="1" applyBorder="1" applyAlignment="1">
      <alignment horizontal="center"/>
    </xf>
    <xf numFmtId="0" fontId="21" fillId="17" borderId="29" xfId="0" applyFont="1" applyFill="1" applyBorder="1" applyAlignment="1">
      <alignment horizontal="center" vertical="center" wrapText="1"/>
    </xf>
    <xf numFmtId="0" fontId="21" fillId="17" borderId="36" xfId="0" applyFont="1" applyFill="1" applyBorder="1" applyAlignment="1">
      <alignment horizontal="center" vertical="center" wrapText="1"/>
    </xf>
    <xf numFmtId="0" fontId="21" fillId="17" borderId="37" xfId="0" applyFont="1" applyFill="1" applyBorder="1" applyAlignment="1">
      <alignment horizontal="center" vertical="center" wrapText="1"/>
    </xf>
    <xf numFmtId="0" fontId="16" fillId="17" borderId="3"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6" fillId="17" borderId="5" xfId="0" applyFont="1" applyFill="1" applyBorder="1" applyAlignment="1">
      <alignment horizontal="center" vertical="center" wrapText="1"/>
    </xf>
    <xf numFmtId="0" fontId="16" fillId="17" borderId="29" xfId="0" applyFont="1" applyFill="1" applyBorder="1" applyAlignment="1">
      <alignment horizontal="center" vertical="center" wrapText="1"/>
    </xf>
    <xf numFmtId="0" fontId="16" fillId="17" borderId="36"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9" fillId="9" borderId="6" xfId="0" applyFont="1" applyFill="1" applyBorder="1" applyAlignment="1">
      <alignment horizontal="left" vertical="center" wrapText="1"/>
    </xf>
    <xf numFmtId="0" fontId="19" fillId="9" borderId="0" xfId="0" applyFont="1" applyFill="1" applyBorder="1" applyAlignment="1">
      <alignment horizontal="left" vertical="center" wrapText="1"/>
    </xf>
    <xf numFmtId="0" fontId="19" fillId="9" borderId="7" xfId="0" applyFont="1" applyFill="1" applyBorder="1" applyAlignment="1">
      <alignment horizontal="left" vertical="center" wrapText="1"/>
    </xf>
    <xf numFmtId="0" fontId="19" fillId="0" borderId="11" xfId="0" applyFont="1" applyBorder="1" applyAlignment="1">
      <alignment horizontal="center" vertical="center" wrapText="1"/>
    </xf>
    <xf numFmtId="0" fontId="19" fillId="0" borderId="12"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4" xfId="0" applyFont="1" applyBorder="1" applyAlignment="1">
      <alignment horizontal="center" vertical="center" wrapText="1"/>
    </xf>
    <xf numFmtId="170" fontId="4" fillId="24" borderId="14" xfId="0" applyNumberFormat="1" applyFont="1" applyFill="1" applyBorder="1" applyAlignment="1">
      <alignment horizontal="center"/>
    </xf>
    <xf numFmtId="0" fontId="26" fillId="29" borderId="6" xfId="0" applyFont="1" applyFill="1" applyBorder="1" applyAlignment="1">
      <alignment horizontal="center" vertical="center"/>
    </xf>
    <xf numFmtId="0" fontId="26" fillId="29" borderId="0" xfId="0" applyFont="1" applyFill="1" applyBorder="1" applyAlignment="1">
      <alignment horizontal="center" vertical="center"/>
    </xf>
    <xf numFmtId="0" fontId="19" fillId="9" borderId="8" xfId="0" applyFont="1" applyFill="1" applyBorder="1" applyAlignment="1">
      <alignment horizontal="left" vertical="center" wrapText="1"/>
    </xf>
    <xf numFmtId="0" fontId="19" fillId="9" borderId="9" xfId="0" applyFont="1" applyFill="1" applyBorder="1" applyAlignment="1">
      <alignment horizontal="left" vertical="center" wrapText="1"/>
    </xf>
    <xf numFmtId="1" fontId="0" fillId="37" borderId="138" xfId="0" applyNumberFormat="1" applyFill="1" applyBorder="1" applyAlignment="1" applyProtection="1">
      <alignment horizontal="center"/>
      <protection locked="0"/>
    </xf>
    <xf numFmtId="1" fontId="0" fillId="37" borderId="139" xfId="0" applyNumberFormat="1" applyFill="1" applyBorder="1" applyAlignment="1" applyProtection="1">
      <alignment horizontal="center"/>
      <protection locked="0"/>
    </xf>
    <xf numFmtId="1" fontId="0" fillId="37" borderId="140" xfId="0" applyNumberFormat="1" applyFill="1" applyBorder="1" applyAlignment="1" applyProtection="1">
      <alignment horizontal="center"/>
      <protection locked="0"/>
    </xf>
    <xf numFmtId="0" fontId="0" fillId="35" borderId="93" xfId="0" applyFill="1" applyBorder="1" applyAlignment="1">
      <alignment horizontal="center"/>
    </xf>
    <xf numFmtId="0" fontId="0" fillId="35" borderId="36" xfId="0" applyFill="1" applyBorder="1" applyAlignment="1">
      <alignment horizontal="center"/>
    </xf>
    <xf numFmtId="0" fontId="0" fillId="35" borderId="101" xfId="0" applyFill="1" applyBorder="1" applyAlignment="1">
      <alignment horizontal="center"/>
    </xf>
    <xf numFmtId="0" fontId="19" fillId="9" borderId="3" xfId="0" applyFont="1" applyFill="1" applyBorder="1" applyAlignment="1">
      <alignment horizontal="left" vertical="center" wrapText="1"/>
    </xf>
    <xf numFmtId="0" fontId="19" fillId="9" borderId="4" xfId="0" applyFont="1" applyFill="1" applyBorder="1" applyAlignment="1">
      <alignment horizontal="left" vertical="center" wrapText="1"/>
    </xf>
    <xf numFmtId="0" fontId="19" fillId="9" borderId="5" xfId="0" applyFont="1" applyFill="1" applyBorder="1" applyAlignment="1">
      <alignment horizontal="left" vertical="center" wrapText="1"/>
    </xf>
    <xf numFmtId="0" fontId="49" fillId="17" borderId="29" xfId="0" applyFont="1" applyFill="1" applyBorder="1" applyAlignment="1">
      <alignment horizontal="center" vertical="center" wrapText="1"/>
    </xf>
    <xf numFmtId="0" fontId="49" fillId="17" borderId="36" xfId="0" applyFont="1" applyFill="1" applyBorder="1" applyAlignment="1">
      <alignment horizontal="center" vertical="center" wrapText="1"/>
    </xf>
    <xf numFmtId="0" fontId="19" fillId="39" borderId="1" xfId="0" applyFont="1" applyFill="1" applyBorder="1" applyAlignment="1">
      <alignment horizontal="center" vertical="center" wrapText="1"/>
    </xf>
    <xf numFmtId="1" fontId="0" fillId="38" borderId="15" xfId="0" applyNumberFormat="1" applyFill="1" applyBorder="1" applyAlignment="1" applyProtection="1">
      <alignment horizontal="center"/>
      <protection locked="0"/>
    </xf>
    <xf numFmtId="1" fontId="0" fillId="38" borderId="14" xfId="0" applyNumberFormat="1" applyFill="1" applyBorder="1" applyAlignment="1" applyProtection="1">
      <alignment horizontal="center"/>
      <protection locked="0"/>
    </xf>
    <xf numFmtId="1" fontId="0" fillId="38" borderId="16" xfId="0" applyNumberFormat="1" applyFill="1" applyBorder="1" applyAlignment="1" applyProtection="1">
      <alignment horizontal="center"/>
      <protection locked="0"/>
    </xf>
    <xf numFmtId="0" fontId="19" fillId="9" borderId="29" xfId="0" applyFont="1" applyFill="1" applyBorder="1" applyAlignment="1">
      <alignment horizontal="center" vertical="center" wrapText="1"/>
    </xf>
    <xf numFmtId="0" fontId="19" fillId="9" borderId="36" xfId="0" applyFont="1" applyFill="1" applyBorder="1" applyAlignment="1">
      <alignment horizontal="center" vertical="center" wrapText="1"/>
    </xf>
    <xf numFmtId="0" fontId="19" fillId="9" borderId="37" xfId="0" applyFont="1" applyFill="1" applyBorder="1" applyAlignment="1">
      <alignment horizontal="center" vertical="center" wrapText="1"/>
    </xf>
    <xf numFmtId="0" fontId="18" fillId="0" borderId="134" xfId="0" applyFont="1" applyBorder="1" applyAlignment="1">
      <alignment horizontal="left" vertical="center" wrapText="1"/>
    </xf>
    <xf numFmtId="0" fontId="18" fillId="0" borderId="135" xfId="0" applyFont="1" applyBorder="1" applyAlignment="1">
      <alignment horizontal="left" vertical="center" wrapText="1"/>
    </xf>
    <xf numFmtId="0" fontId="19" fillId="9" borderId="29" xfId="0" applyFont="1" applyFill="1" applyBorder="1" applyAlignment="1">
      <alignment horizontal="left" vertical="center" wrapText="1"/>
    </xf>
    <xf numFmtId="0" fontId="19" fillId="9" borderId="36" xfId="0" applyFont="1" applyFill="1" applyBorder="1" applyAlignment="1">
      <alignment horizontal="left" vertical="center" wrapText="1"/>
    </xf>
    <xf numFmtId="0" fontId="15" fillId="38" borderId="3" xfId="0" applyFont="1" applyFill="1" applyBorder="1" applyAlignment="1" applyProtection="1">
      <alignment horizontal="center" vertical="center" wrapText="1"/>
    </xf>
    <xf numFmtId="0" fontId="15" fillId="38" borderId="4" xfId="0" applyFont="1" applyFill="1" applyBorder="1" applyAlignment="1" applyProtection="1">
      <alignment horizontal="center" vertical="center" wrapText="1"/>
    </xf>
    <xf numFmtId="0" fontId="15" fillId="38" borderId="5" xfId="0" applyFont="1" applyFill="1" applyBorder="1" applyAlignment="1" applyProtection="1">
      <alignment horizontal="center" vertical="center" wrapText="1"/>
    </xf>
    <xf numFmtId="0" fontId="15" fillId="38" borderId="6" xfId="0" applyFont="1" applyFill="1" applyBorder="1" applyAlignment="1" applyProtection="1">
      <alignment horizontal="center" vertical="center" wrapText="1"/>
    </xf>
    <xf numFmtId="0" fontId="15" fillId="38" borderId="0" xfId="0" applyFont="1" applyFill="1" applyBorder="1" applyAlignment="1" applyProtection="1">
      <alignment horizontal="center" vertical="center" wrapText="1"/>
    </xf>
    <xf numFmtId="0" fontId="15" fillId="38" borderId="7" xfId="0" applyFont="1" applyFill="1" applyBorder="1" applyAlignment="1" applyProtection="1">
      <alignment horizontal="center" vertical="center" wrapText="1"/>
    </xf>
    <xf numFmtId="0" fontId="15" fillId="38" borderId="8" xfId="0" applyFont="1" applyFill="1" applyBorder="1" applyAlignment="1" applyProtection="1">
      <alignment horizontal="center" vertical="center" wrapText="1"/>
    </xf>
    <xf numFmtId="0" fontId="15" fillId="38" borderId="9" xfId="0" applyFont="1" applyFill="1" applyBorder="1" applyAlignment="1" applyProtection="1">
      <alignment horizontal="center" vertical="center" wrapText="1"/>
    </xf>
    <xf numFmtId="0" fontId="15" fillId="38" borderId="10" xfId="0" applyFont="1" applyFill="1" applyBorder="1" applyAlignment="1" applyProtection="1">
      <alignment horizontal="center" vertical="center" wrapText="1"/>
    </xf>
    <xf numFmtId="168" fontId="13" fillId="38" borderId="14" xfId="2" applyNumberFormat="1" applyFont="1" applyFill="1" applyBorder="1" applyAlignment="1">
      <alignment horizontal="center" vertical="center"/>
    </xf>
    <xf numFmtId="0" fontId="56" fillId="38" borderId="3" xfId="0" applyFont="1" applyFill="1" applyBorder="1" applyAlignment="1" applyProtection="1">
      <alignment horizontal="center" vertical="center" wrapText="1"/>
    </xf>
    <xf numFmtId="0" fontId="56" fillId="38" borderId="4" xfId="0" applyFont="1" applyFill="1" applyBorder="1" applyAlignment="1" applyProtection="1">
      <alignment horizontal="center" vertical="center" wrapText="1"/>
    </xf>
    <xf numFmtId="0" fontId="56" fillId="38" borderId="5" xfId="0" applyFont="1" applyFill="1" applyBorder="1" applyAlignment="1" applyProtection="1">
      <alignment horizontal="center" vertical="center" wrapText="1"/>
    </xf>
    <xf numFmtId="0" fontId="56" fillId="38" borderId="6" xfId="0" applyFont="1" applyFill="1" applyBorder="1" applyAlignment="1" applyProtection="1">
      <alignment horizontal="center" vertical="center" wrapText="1"/>
    </xf>
    <xf numFmtId="0" fontId="56" fillId="38" borderId="0" xfId="0" applyFont="1" applyFill="1" applyBorder="1" applyAlignment="1" applyProtection="1">
      <alignment horizontal="center" vertical="center" wrapText="1"/>
    </xf>
    <xf numFmtId="0" fontId="56" fillId="38" borderId="7" xfId="0" applyFont="1" applyFill="1" applyBorder="1" applyAlignment="1" applyProtection="1">
      <alignment horizontal="center" vertical="center" wrapText="1"/>
    </xf>
    <xf numFmtId="0" fontId="17" fillId="38" borderId="0" xfId="0" applyFont="1" applyFill="1" applyBorder="1" applyAlignment="1" applyProtection="1">
      <alignment horizontal="center" vertical="center" wrapText="1"/>
    </xf>
    <xf numFmtId="0" fontId="17" fillId="38" borderId="6" xfId="0" applyFont="1" applyFill="1" applyBorder="1" applyAlignment="1" applyProtection="1">
      <alignment horizontal="center" vertical="center" wrapText="1"/>
    </xf>
    <xf numFmtId="0" fontId="17" fillId="38" borderId="8" xfId="0" applyFont="1" applyFill="1" applyBorder="1" applyAlignment="1" applyProtection="1">
      <alignment horizontal="center" vertical="center" wrapText="1"/>
    </xf>
    <xf numFmtId="0" fontId="17" fillId="38" borderId="9" xfId="0" applyFont="1" applyFill="1" applyBorder="1" applyAlignment="1" applyProtection="1">
      <alignment horizontal="center" vertical="center" wrapText="1"/>
    </xf>
    <xf numFmtId="0" fontId="17" fillId="38" borderId="7" xfId="0" applyFont="1" applyFill="1" applyBorder="1" applyAlignment="1" applyProtection="1">
      <alignment horizontal="center" vertical="center" wrapText="1"/>
    </xf>
    <xf numFmtId="0" fontId="17" fillId="38" borderId="10" xfId="0" applyFont="1" applyFill="1" applyBorder="1" applyAlignment="1" applyProtection="1">
      <alignment horizontal="center" vertical="center" wrapText="1"/>
    </xf>
    <xf numFmtId="0" fontId="15" fillId="38" borderId="0" xfId="0" applyFont="1" applyFill="1" applyBorder="1" applyAlignment="1" applyProtection="1">
      <alignment horizontal="center" wrapText="1"/>
    </xf>
    <xf numFmtId="0" fontId="15" fillId="38" borderId="7" xfId="0" applyFont="1" applyFill="1" applyBorder="1" applyAlignment="1" applyProtection="1">
      <alignment horizontal="center" wrapText="1"/>
    </xf>
    <xf numFmtId="0" fontId="13" fillId="17" borderId="5" xfId="0" applyFont="1" applyFill="1" applyBorder="1" applyAlignment="1">
      <alignment horizontal="center"/>
    </xf>
    <xf numFmtId="0" fontId="13" fillId="17" borderId="10" xfId="0" applyFont="1" applyFill="1" applyBorder="1" applyAlignment="1">
      <alignment horizontal="center"/>
    </xf>
    <xf numFmtId="0" fontId="2" fillId="0" borderId="88" xfId="0" applyFont="1" applyBorder="1" applyAlignment="1">
      <alignment horizontal="center" vertical="center"/>
    </xf>
    <xf numFmtId="0" fontId="2" fillId="0" borderId="169" xfId="0" applyFont="1" applyBorder="1" applyAlignment="1">
      <alignment horizontal="center" vertical="center"/>
    </xf>
    <xf numFmtId="0" fontId="2" fillId="0" borderId="170" xfId="0" applyFont="1" applyBorder="1" applyAlignment="1">
      <alignment horizontal="center" vertical="center"/>
    </xf>
    <xf numFmtId="0" fontId="2" fillId="18" borderId="1" xfId="0" applyFont="1" applyFill="1" applyBorder="1" applyAlignment="1">
      <alignment horizontal="center" vertical="center" wrapText="1"/>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15" fillId="0" borderId="0" xfId="0" applyFont="1" applyBorder="1" applyAlignment="1">
      <alignment horizontal="center" vertical="center" textRotation="90"/>
    </xf>
    <xf numFmtId="0" fontId="15" fillId="0" borderId="7" xfId="0" applyFont="1" applyBorder="1" applyAlignment="1">
      <alignment horizontal="center" vertical="center" textRotation="90"/>
    </xf>
    <xf numFmtId="0" fontId="19" fillId="0" borderId="6" xfId="0" applyFont="1" applyBorder="1" applyAlignment="1">
      <alignment horizontal="center" vertical="center" wrapText="1"/>
    </xf>
    <xf numFmtId="0" fontId="19" fillId="0" borderId="7" xfId="0" applyFont="1" applyBorder="1" applyAlignment="1">
      <alignment horizontal="center" vertical="center" wrapText="1"/>
    </xf>
    <xf numFmtId="0" fontId="15" fillId="0" borderId="7" xfId="0" applyFont="1" applyBorder="1" applyAlignment="1">
      <alignment horizontal="center" vertical="top" textRotation="90"/>
    </xf>
    <xf numFmtId="0" fontId="15" fillId="0" borderId="0" xfId="0" applyFont="1" applyBorder="1" applyAlignment="1">
      <alignment horizontal="center" vertical="top" textRotation="90"/>
    </xf>
    <xf numFmtId="0" fontId="18" fillId="0" borderId="6" xfId="0" applyFont="1" applyBorder="1" applyAlignment="1">
      <alignment horizontal="left" vertical="center" wrapText="1"/>
    </xf>
    <xf numFmtId="0" fontId="18" fillId="0" borderId="0" xfId="0" applyFont="1" applyBorder="1" applyAlignment="1">
      <alignment horizontal="left" vertical="center" wrapText="1"/>
    </xf>
    <xf numFmtId="0" fontId="18" fillId="0" borderId="8" xfId="0" applyFont="1" applyBorder="1" applyAlignment="1">
      <alignment horizontal="left" vertical="center" wrapText="1"/>
    </xf>
    <xf numFmtId="0" fontId="18" fillId="0" borderId="9" xfId="0" applyFont="1" applyBorder="1" applyAlignment="1">
      <alignment horizontal="left" vertical="center" wrapText="1"/>
    </xf>
    <xf numFmtId="0" fontId="18" fillId="0" borderId="3" xfId="0" applyFont="1" applyBorder="1" applyAlignment="1">
      <alignment horizontal="left" vertical="center" wrapText="1"/>
    </xf>
    <xf numFmtId="0" fontId="18" fillId="0" borderId="5" xfId="0" applyFont="1" applyBorder="1" applyAlignment="1">
      <alignment horizontal="left" vertical="center" wrapText="1"/>
    </xf>
    <xf numFmtId="0" fontId="18" fillId="0" borderId="10" xfId="0" applyFont="1" applyBorder="1" applyAlignment="1">
      <alignment horizontal="left" vertical="center" wrapText="1"/>
    </xf>
    <xf numFmtId="0" fontId="18" fillId="0" borderId="7" xfId="0" applyFont="1" applyBorder="1" applyAlignment="1">
      <alignment horizontal="left" vertical="center" wrapText="1"/>
    </xf>
    <xf numFmtId="0" fontId="9" fillId="0" borderId="6" xfId="0" applyFont="1" applyBorder="1" applyAlignment="1">
      <alignment horizontal="left" vertical="center" wrapText="1"/>
    </xf>
    <xf numFmtId="0" fontId="9" fillId="0" borderId="0"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19" fillId="9" borderId="6" xfId="0" applyFont="1" applyFill="1" applyBorder="1" applyAlignment="1">
      <alignment horizontal="center" vertical="center" wrapText="1"/>
    </xf>
    <xf numFmtId="0" fontId="19" fillId="9" borderId="0" xfId="0" applyFont="1" applyFill="1" applyBorder="1" applyAlignment="1">
      <alignment horizontal="center" vertical="center" wrapText="1"/>
    </xf>
    <xf numFmtId="0" fontId="19" fillId="9" borderId="7" xfId="0" applyFont="1" applyFill="1" applyBorder="1" applyAlignment="1">
      <alignment horizontal="center" vertical="center" wrapText="1"/>
    </xf>
    <xf numFmtId="0" fontId="49" fillId="17" borderId="6" xfId="0" applyFont="1" applyFill="1" applyBorder="1" applyAlignment="1">
      <alignment horizontal="center" vertical="center" wrapText="1"/>
    </xf>
    <xf numFmtId="0" fontId="49" fillId="17" borderId="0" xfId="0" applyFont="1" applyFill="1" applyBorder="1" applyAlignment="1">
      <alignment horizontal="center" vertical="center" wrapText="1"/>
    </xf>
    <xf numFmtId="0" fontId="49" fillId="17" borderId="7" xfId="0" applyFont="1" applyFill="1" applyBorder="1" applyAlignment="1">
      <alignment horizontal="center" vertical="center" wrapText="1"/>
    </xf>
    <xf numFmtId="0" fontId="17" fillId="38" borderId="4" xfId="0" applyFont="1" applyFill="1" applyBorder="1" applyAlignment="1" applyProtection="1">
      <alignment horizontal="center" vertical="center" wrapText="1"/>
    </xf>
    <xf numFmtId="0" fontId="17" fillId="38" borderId="5" xfId="0" applyFont="1" applyFill="1" applyBorder="1" applyAlignment="1" applyProtection="1">
      <alignment horizontal="center" vertical="center" wrapText="1"/>
    </xf>
    <xf numFmtId="0" fontId="19" fillId="9" borderId="37" xfId="0" applyFont="1" applyFill="1" applyBorder="1" applyAlignment="1">
      <alignment horizontal="left" vertical="center" wrapText="1"/>
    </xf>
    <xf numFmtId="0" fontId="21" fillId="37" borderId="29" xfId="0" applyFont="1" applyFill="1" applyBorder="1" applyAlignment="1">
      <alignment horizontal="left" vertical="center" wrapText="1"/>
    </xf>
    <xf numFmtId="0" fontId="21" fillId="37" borderId="36" xfId="0" applyFont="1" applyFill="1" applyBorder="1" applyAlignment="1">
      <alignment horizontal="left" vertical="center" wrapText="1"/>
    </xf>
    <xf numFmtId="0" fontId="21" fillId="37" borderId="37" xfId="0" applyFont="1" applyFill="1" applyBorder="1" applyAlignment="1">
      <alignment horizontal="left" vertical="center" wrapText="1"/>
    </xf>
    <xf numFmtId="0" fontId="18" fillId="0" borderId="132" xfId="0" applyFont="1" applyBorder="1" applyAlignment="1">
      <alignment horizontal="left" vertical="center" wrapText="1"/>
    </xf>
    <xf numFmtId="0" fontId="18" fillId="0" borderId="1" xfId="0" applyFont="1" applyBorder="1" applyAlignment="1">
      <alignment horizontal="left" vertical="center" wrapText="1"/>
    </xf>
    <xf numFmtId="0" fontId="18" fillId="0" borderId="102" xfId="0" applyFont="1" applyBorder="1" applyAlignment="1">
      <alignment horizontal="left" vertical="center" wrapText="1"/>
    </xf>
    <xf numFmtId="0" fontId="18" fillId="0" borderId="91" xfId="0" applyFont="1" applyBorder="1" applyAlignment="1">
      <alignment horizontal="left" vertical="center" wrapText="1"/>
    </xf>
    <xf numFmtId="0" fontId="56" fillId="38" borderId="8" xfId="0" applyFont="1" applyFill="1" applyBorder="1" applyAlignment="1" applyProtection="1">
      <alignment horizontal="center" vertical="center" wrapText="1"/>
    </xf>
    <xf numFmtId="0" fontId="56" fillId="38" borderId="9" xfId="0" applyFont="1" applyFill="1" applyBorder="1" applyAlignment="1" applyProtection="1">
      <alignment horizontal="center" vertical="center" wrapText="1"/>
    </xf>
    <xf numFmtId="0" fontId="56" fillId="38" borderId="10" xfId="0" applyFont="1" applyFill="1" applyBorder="1" applyAlignment="1" applyProtection="1">
      <alignment horizontal="center" vertical="center" wrapText="1"/>
    </xf>
    <xf numFmtId="1" fontId="0" fillId="37" borderId="17" xfId="0" applyNumberFormat="1" applyFill="1" applyBorder="1" applyAlignment="1" applyProtection="1">
      <alignment horizontal="center"/>
      <protection locked="0"/>
    </xf>
    <xf numFmtId="1" fontId="0" fillId="37" borderId="18" xfId="0" applyNumberFormat="1" applyFill="1" applyBorder="1" applyAlignment="1" applyProtection="1">
      <alignment horizontal="center"/>
      <protection locked="0"/>
    </xf>
    <xf numFmtId="1" fontId="0" fillId="37" borderId="2" xfId="0" applyNumberFormat="1" applyFill="1" applyBorder="1" applyAlignment="1" applyProtection="1">
      <alignment horizontal="center"/>
      <protection locked="0"/>
    </xf>
    <xf numFmtId="0" fontId="18" fillId="0" borderId="4" xfId="0" applyFont="1" applyBorder="1" applyAlignment="1">
      <alignment horizontal="left" vertical="center" wrapText="1"/>
    </xf>
    <xf numFmtId="0" fontId="15" fillId="38" borderId="3" xfId="0" applyFont="1" applyFill="1" applyBorder="1" applyAlignment="1" applyProtection="1">
      <alignment horizontal="center" wrapText="1"/>
    </xf>
    <xf numFmtId="0" fontId="15" fillId="38" borderId="4" xfId="0" applyFont="1" applyFill="1" applyBorder="1" applyAlignment="1" applyProtection="1">
      <alignment horizontal="center" wrapText="1"/>
    </xf>
    <xf numFmtId="0" fontId="15" fillId="38" borderId="5" xfId="0" applyFont="1" applyFill="1" applyBorder="1" applyAlignment="1" applyProtection="1">
      <alignment horizontal="center" wrapText="1"/>
    </xf>
    <xf numFmtId="0" fontId="15" fillId="38" borderId="8" xfId="0" applyFont="1" applyFill="1" applyBorder="1" applyAlignment="1" applyProtection="1">
      <alignment horizontal="center" wrapText="1"/>
    </xf>
    <xf numFmtId="0" fontId="15" fillId="38" borderId="9" xfId="0" applyFont="1" applyFill="1" applyBorder="1" applyAlignment="1" applyProtection="1">
      <alignment horizontal="center" wrapText="1"/>
    </xf>
    <xf numFmtId="0" fontId="15" fillId="38" borderId="10" xfId="0" applyFont="1" applyFill="1" applyBorder="1" applyAlignment="1" applyProtection="1">
      <alignment horizontal="center" wrapText="1"/>
    </xf>
    <xf numFmtId="0" fontId="59" fillId="38" borderId="4" xfId="0" applyFont="1" applyFill="1" applyBorder="1" applyAlignment="1" applyProtection="1">
      <alignment horizontal="center" vertical="center" wrapText="1"/>
    </xf>
    <xf numFmtId="0" fontId="59" fillId="38" borderId="5" xfId="0" applyFont="1" applyFill="1" applyBorder="1" applyAlignment="1" applyProtection="1">
      <alignment horizontal="center" vertical="center" wrapText="1"/>
    </xf>
    <xf numFmtId="0" fontId="59" fillId="38" borderId="6" xfId="0" applyFont="1" applyFill="1" applyBorder="1" applyAlignment="1" applyProtection="1">
      <alignment horizontal="center" vertical="center" wrapText="1"/>
    </xf>
    <xf numFmtId="0" fontId="59" fillId="38" borderId="0" xfId="0" applyFont="1" applyFill="1" applyBorder="1" applyAlignment="1" applyProtection="1">
      <alignment horizontal="center" vertical="center" wrapText="1"/>
    </xf>
    <xf numFmtId="0" fontId="59" fillId="38" borderId="7" xfId="0" applyFont="1" applyFill="1" applyBorder="1" applyAlignment="1" applyProtection="1">
      <alignment horizontal="center" vertical="center" wrapText="1"/>
    </xf>
    <xf numFmtId="0" fontId="59" fillId="38" borderId="8" xfId="0" applyFont="1" applyFill="1" applyBorder="1" applyAlignment="1" applyProtection="1">
      <alignment horizontal="center" vertical="center" wrapText="1"/>
    </xf>
    <xf numFmtId="0" fontId="59" fillId="38" borderId="9" xfId="0" applyFont="1" applyFill="1" applyBorder="1" applyAlignment="1" applyProtection="1">
      <alignment horizontal="center" vertical="center" wrapText="1"/>
    </xf>
    <xf numFmtId="0" fontId="59" fillId="38" borderId="10" xfId="0" applyFont="1" applyFill="1" applyBorder="1" applyAlignment="1" applyProtection="1">
      <alignment horizontal="center" vertical="center" wrapText="1"/>
    </xf>
    <xf numFmtId="0" fontId="19" fillId="9" borderId="137" xfId="0" applyFont="1" applyFill="1" applyBorder="1" applyAlignment="1">
      <alignment horizontal="left" vertical="center" wrapText="1"/>
    </xf>
    <xf numFmtId="0" fontId="19" fillId="9" borderId="136" xfId="0" applyFont="1" applyFill="1" applyBorder="1" applyAlignment="1">
      <alignment horizontal="left" vertical="center" wrapText="1"/>
    </xf>
    <xf numFmtId="0" fontId="56" fillId="38" borderId="3" xfId="0" quotePrefix="1" applyFont="1" applyFill="1" applyBorder="1" applyAlignment="1" applyProtection="1">
      <alignment horizontal="center" vertical="center" wrapText="1"/>
    </xf>
    <xf numFmtId="0" fontId="21" fillId="37" borderId="6" xfId="0" applyFont="1" applyFill="1" applyBorder="1" applyAlignment="1">
      <alignment horizontal="left" vertical="center" wrapText="1"/>
    </xf>
    <xf numFmtId="0" fontId="21" fillId="37" borderId="0" xfId="0" applyFont="1" applyFill="1" applyBorder="1" applyAlignment="1">
      <alignment horizontal="left" vertical="center" wrapText="1"/>
    </xf>
    <xf numFmtId="0" fontId="21" fillId="37" borderId="7" xfId="0" applyFont="1" applyFill="1" applyBorder="1" applyAlignment="1">
      <alignment horizontal="left" vertical="center" wrapText="1"/>
    </xf>
    <xf numFmtId="0" fontId="2" fillId="0" borderId="137" xfId="0" applyFont="1" applyBorder="1" applyAlignment="1">
      <alignment horizontal="center" vertical="center"/>
    </xf>
    <xf numFmtId="0" fontId="18" fillId="37" borderId="0" xfId="0" applyFont="1" applyFill="1" applyBorder="1" applyAlignment="1">
      <alignment horizontal="center" vertical="center" wrapText="1"/>
    </xf>
    <xf numFmtId="0" fontId="18" fillId="37" borderId="23" xfId="0" applyFont="1" applyFill="1" applyBorder="1" applyAlignment="1">
      <alignment horizontal="center" vertical="center" wrapText="1"/>
    </xf>
    <xf numFmtId="0" fontId="19" fillId="37" borderId="3" xfId="0" applyFont="1" applyFill="1" applyBorder="1" applyAlignment="1">
      <alignment horizontal="center" vertical="center" wrapText="1"/>
    </xf>
    <xf numFmtId="0" fontId="19" fillId="37" borderId="4" xfId="0" applyFont="1" applyFill="1" applyBorder="1" applyAlignment="1">
      <alignment horizontal="center" vertical="center" wrapText="1"/>
    </xf>
    <xf numFmtId="0" fontId="19" fillId="37" borderId="6" xfId="0" applyFont="1" applyFill="1" applyBorder="1" applyAlignment="1">
      <alignment horizontal="center" vertical="center" wrapText="1"/>
    </xf>
    <xf numFmtId="0" fontId="19" fillId="37" borderId="0" xfId="0" applyFont="1" applyFill="1" applyBorder="1" applyAlignment="1">
      <alignment horizontal="center" vertical="center" wrapText="1"/>
    </xf>
    <xf numFmtId="0" fontId="19" fillId="37" borderId="8" xfId="0" applyFont="1" applyFill="1" applyBorder="1" applyAlignment="1">
      <alignment horizontal="center" vertical="center" wrapText="1"/>
    </xf>
    <xf numFmtId="0" fontId="19" fillId="37" borderId="9" xfId="0" applyFont="1" applyFill="1" applyBorder="1" applyAlignment="1">
      <alignment horizontal="center" vertical="center" wrapText="1"/>
    </xf>
    <xf numFmtId="0" fontId="19" fillId="37" borderId="12" xfId="0" applyFont="1" applyFill="1" applyBorder="1" applyAlignment="1">
      <alignment horizontal="center" vertical="center" wrapText="1"/>
    </xf>
    <xf numFmtId="0" fontId="18" fillId="37" borderId="93" xfId="0" applyFont="1" applyFill="1" applyBorder="1" applyAlignment="1">
      <alignment horizontal="center" vertical="center" wrapText="1"/>
    </xf>
    <xf numFmtId="0" fontId="18" fillId="37" borderId="36" xfId="0" applyFont="1" applyFill="1" applyBorder="1" applyAlignment="1">
      <alignment horizontal="center" vertical="center" wrapText="1"/>
    </xf>
    <xf numFmtId="0" fontId="18" fillId="37" borderId="101" xfId="0" applyFont="1" applyFill="1" applyBorder="1" applyAlignment="1">
      <alignment horizontal="center" vertical="center" wrapText="1"/>
    </xf>
    <xf numFmtId="0" fontId="18" fillId="37" borderId="4" xfId="0" applyFont="1" applyFill="1" applyBorder="1" applyAlignment="1">
      <alignment horizontal="center" vertical="center" wrapText="1"/>
    </xf>
    <xf numFmtId="0" fontId="21" fillId="37" borderId="6" xfId="0" applyFont="1" applyFill="1" applyBorder="1" applyAlignment="1">
      <alignment horizontal="center" vertical="center" wrapText="1"/>
    </xf>
    <xf numFmtId="0" fontId="21" fillId="37" borderId="0" xfId="0" applyFont="1" applyFill="1" applyBorder="1" applyAlignment="1">
      <alignment horizontal="center" vertical="center" wrapText="1"/>
    </xf>
    <xf numFmtId="0" fontId="18" fillId="37" borderId="171" xfId="0" applyFont="1" applyFill="1" applyBorder="1" applyAlignment="1">
      <alignment horizontal="center" vertical="center" wrapText="1"/>
    </xf>
    <xf numFmtId="0" fontId="18" fillId="37" borderId="20" xfId="0" applyFont="1" applyFill="1" applyBorder="1" applyAlignment="1">
      <alignment horizontal="center" vertical="center" wrapText="1"/>
    </xf>
    <xf numFmtId="0" fontId="18" fillId="37" borderId="21" xfId="0" applyFont="1" applyFill="1" applyBorder="1" applyAlignment="1">
      <alignment horizontal="center" vertical="center" wrapText="1"/>
    </xf>
    <xf numFmtId="0" fontId="18" fillId="37" borderId="6" xfId="0" applyFont="1" applyFill="1" applyBorder="1" applyAlignment="1">
      <alignment horizontal="center" vertical="center" wrapText="1"/>
    </xf>
    <xf numFmtId="0" fontId="18" fillId="37" borderId="11" xfId="0" applyFont="1" applyFill="1" applyBorder="1" applyAlignment="1">
      <alignment horizontal="center" vertical="center" wrapText="1"/>
    </xf>
    <xf numFmtId="0" fontId="18" fillId="37" borderId="12" xfId="0" applyFont="1" applyFill="1" applyBorder="1" applyAlignment="1">
      <alignment horizontal="center" vertical="center" wrapText="1"/>
    </xf>
    <xf numFmtId="0" fontId="18" fillId="37" borderId="25" xfId="0" applyFont="1" applyFill="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8" fillId="0" borderId="88" xfId="0" applyFont="1" applyBorder="1" applyAlignment="1">
      <alignment horizontal="center" vertical="center" wrapText="1"/>
    </xf>
    <xf numFmtId="0" fontId="18" fillId="0" borderId="136" xfId="0" applyFont="1" applyBorder="1" applyAlignment="1">
      <alignment horizontal="center" vertical="center" wrapText="1"/>
    </xf>
    <xf numFmtId="0" fontId="18" fillId="0" borderId="169" xfId="0" applyFont="1" applyBorder="1" applyAlignment="1">
      <alignment horizontal="center" vertical="center" wrapText="1"/>
    </xf>
    <xf numFmtId="0" fontId="18" fillId="37" borderId="5" xfId="0" applyFont="1" applyFill="1" applyBorder="1" applyAlignment="1">
      <alignment horizontal="center" vertical="center" wrapText="1"/>
    </xf>
    <xf numFmtId="0" fontId="18" fillId="37" borderId="7" xfId="0" applyFont="1" applyFill="1" applyBorder="1" applyAlignment="1">
      <alignment horizontal="center" vertical="center" wrapText="1"/>
    </xf>
    <xf numFmtId="0" fontId="4" fillId="24" borderId="14" xfId="0" applyNumberFormat="1" applyFont="1" applyFill="1" applyBorder="1" applyAlignment="1">
      <alignment horizontal="center"/>
    </xf>
    <xf numFmtId="167" fontId="4" fillId="24" borderId="14" xfId="0" applyNumberFormat="1" applyFont="1" applyFill="1" applyBorder="1" applyAlignment="1">
      <alignment horizontal="center"/>
    </xf>
    <xf numFmtId="0" fontId="68" fillId="52" borderId="52" xfId="0" applyFont="1" applyFill="1" applyBorder="1" applyAlignment="1">
      <alignment horizontal="center" vertical="center" wrapText="1"/>
    </xf>
    <xf numFmtId="0" fontId="68" fillId="52" borderId="48" xfId="0" applyFont="1" applyFill="1" applyBorder="1" applyAlignment="1">
      <alignment horizontal="center" vertical="center" wrapText="1"/>
    </xf>
    <xf numFmtId="0" fontId="68" fillId="52" borderId="49" xfId="0" applyFont="1" applyFill="1" applyBorder="1" applyAlignment="1">
      <alignment horizontal="center" vertical="center" wrapText="1"/>
    </xf>
    <xf numFmtId="0" fontId="68" fillId="52" borderId="53" xfId="0" applyFont="1" applyFill="1" applyBorder="1" applyAlignment="1">
      <alignment horizontal="center" vertical="center" wrapText="1"/>
    </xf>
    <xf numFmtId="0" fontId="68" fillId="52" borderId="54" xfId="0" applyFont="1" applyFill="1" applyBorder="1" applyAlignment="1">
      <alignment horizontal="center" vertical="center" wrapText="1"/>
    </xf>
    <xf numFmtId="17" fontId="4" fillId="24" borderId="14" xfId="0" applyNumberFormat="1" applyFont="1" applyFill="1" applyBorder="1" applyAlignment="1">
      <alignment horizontal="center"/>
    </xf>
    <xf numFmtId="0" fontId="68" fillId="51" borderId="41" xfId="0" applyFont="1" applyFill="1" applyBorder="1" applyAlignment="1">
      <alignment horizontal="center" vertical="center" wrapText="1"/>
    </xf>
    <xf numFmtId="0" fontId="68" fillId="51" borderId="42" xfId="0" applyFont="1" applyFill="1" applyBorder="1" applyAlignment="1">
      <alignment horizontal="center" vertical="center" wrapText="1"/>
    </xf>
    <xf numFmtId="0" fontId="68" fillId="51" borderId="47" xfId="0" applyFont="1" applyFill="1" applyBorder="1" applyAlignment="1">
      <alignment horizontal="center" vertical="center" wrapText="1"/>
    </xf>
    <xf numFmtId="0" fontId="68" fillId="51" borderId="48" xfId="0" applyFont="1" applyFill="1" applyBorder="1" applyAlignment="1">
      <alignment horizontal="center" vertical="center" wrapText="1"/>
    </xf>
    <xf numFmtId="0" fontId="68" fillId="52" borderId="50" xfId="0" applyFont="1" applyFill="1" applyBorder="1" applyAlignment="1">
      <alignment horizontal="center" vertical="center" wrapText="1"/>
    </xf>
    <xf numFmtId="0" fontId="68" fillId="52" borderId="45" xfId="0" applyFont="1" applyFill="1" applyBorder="1" applyAlignment="1">
      <alignment horizontal="center" vertical="center" wrapText="1"/>
    </xf>
    <xf numFmtId="0" fontId="68" fillId="52" borderId="44" xfId="0" applyFont="1" applyFill="1" applyBorder="1" applyAlignment="1">
      <alignment horizontal="center" vertical="center" wrapText="1"/>
    </xf>
    <xf numFmtId="0" fontId="71" fillId="47" borderId="107" xfId="0" applyFont="1" applyFill="1" applyBorder="1" applyAlignment="1">
      <alignment horizontal="center" vertical="center" wrapText="1"/>
    </xf>
    <xf numFmtId="0" fontId="71" fillId="47" borderId="0" xfId="0" applyFont="1" applyFill="1" applyAlignment="1">
      <alignment horizontal="center" vertical="center" wrapText="1"/>
    </xf>
    <xf numFmtId="0" fontId="71" fillId="47" borderId="122" xfId="0" applyFont="1" applyFill="1" applyBorder="1" applyAlignment="1">
      <alignment horizontal="center" vertical="center" wrapText="1"/>
    </xf>
    <xf numFmtId="0" fontId="68" fillId="47" borderId="113" xfId="0" applyFont="1" applyFill="1" applyBorder="1" applyAlignment="1">
      <alignment horizontal="center" vertical="center" wrapText="1"/>
    </xf>
    <xf numFmtId="0" fontId="68" fillId="47" borderId="114" xfId="0" applyFont="1" applyFill="1" applyBorder="1" applyAlignment="1">
      <alignment horizontal="center" vertical="center" wrapText="1"/>
    </xf>
    <xf numFmtId="0" fontId="68" fillId="47" borderId="119" xfId="0" applyFont="1" applyFill="1" applyBorder="1" applyAlignment="1">
      <alignment horizontal="center" vertical="center" wrapText="1"/>
    </xf>
    <xf numFmtId="0" fontId="68" fillId="47" borderId="121" xfId="0" applyFont="1" applyFill="1" applyBorder="1" applyAlignment="1">
      <alignment horizontal="center" vertical="center" wrapText="1"/>
    </xf>
    <xf numFmtId="0" fontId="68" fillId="47" borderId="0" xfId="0" applyFont="1" applyFill="1" applyAlignment="1">
      <alignment horizontal="center" vertical="center" wrapText="1"/>
    </xf>
    <xf numFmtId="0" fontId="68" fillId="47" borderId="129" xfId="0" applyFont="1" applyFill="1" applyBorder="1" applyAlignment="1">
      <alignment horizontal="center" vertical="center" wrapText="1"/>
    </xf>
    <xf numFmtId="0" fontId="64" fillId="0" borderId="106" xfId="0" applyFont="1" applyBorder="1" applyAlignment="1">
      <alignment horizontal="center"/>
    </xf>
    <xf numFmtId="0" fontId="64" fillId="0" borderId="107" xfId="0" applyFont="1" applyBorder="1" applyAlignment="1">
      <alignment horizontal="center"/>
    </xf>
    <xf numFmtId="0" fontId="68" fillId="47" borderId="116" xfId="0" applyFont="1" applyFill="1" applyBorder="1" applyAlignment="1">
      <alignment horizontal="center" vertical="center" wrapText="1"/>
    </xf>
    <xf numFmtId="0" fontId="68" fillId="47" borderId="117" xfId="0" applyFont="1" applyFill="1" applyBorder="1" applyAlignment="1">
      <alignment horizontal="center" vertical="center" wrapText="1"/>
    </xf>
    <xf numFmtId="0" fontId="68" fillId="47" borderId="120" xfId="0" applyFont="1" applyFill="1" applyBorder="1" applyAlignment="1">
      <alignment horizontal="center" vertical="center" wrapText="1"/>
    </xf>
    <xf numFmtId="0" fontId="5" fillId="18" borderId="108" xfId="0" applyFont="1" applyFill="1" applyBorder="1" applyAlignment="1">
      <alignment horizontal="center" vertical="center" wrapText="1"/>
    </xf>
    <xf numFmtId="0" fontId="6" fillId="18" borderId="108" xfId="0" applyFont="1" applyFill="1" applyBorder="1" applyAlignment="1">
      <alignment horizontal="center" vertical="center" wrapText="1"/>
    </xf>
    <xf numFmtId="0" fontId="68" fillId="47" borderId="115" xfId="0" applyFont="1" applyFill="1" applyBorder="1" applyAlignment="1">
      <alignment horizontal="center" vertical="center" wrapText="1"/>
    </xf>
    <xf numFmtId="0" fontId="68" fillId="47" borderId="118" xfId="0" applyFont="1" applyFill="1" applyBorder="1" applyAlignment="1">
      <alignment horizontal="center" vertical="center" wrapText="1"/>
    </xf>
    <xf numFmtId="0" fontId="5" fillId="34" borderId="108" xfId="0" applyFont="1" applyFill="1" applyBorder="1" applyAlignment="1">
      <alignment horizontal="center" vertical="center" wrapText="1"/>
    </xf>
    <xf numFmtId="0" fontId="68" fillId="53" borderId="51" xfId="0" applyFont="1" applyFill="1" applyBorder="1" applyAlignment="1">
      <alignment horizontal="center" vertical="center" wrapText="1"/>
    </xf>
    <xf numFmtId="0" fontId="68" fillId="53" borderId="123" xfId="0" applyFont="1" applyFill="1" applyBorder="1" applyAlignment="1">
      <alignment horizontal="center" vertical="center" wrapText="1"/>
    </xf>
    <xf numFmtId="1" fontId="0" fillId="34" borderId="141" xfId="0" applyNumberFormat="1" applyFill="1" applyBorder="1" applyAlignment="1" applyProtection="1">
      <alignment horizontal="center"/>
    </xf>
    <xf numFmtId="1" fontId="0" fillId="34" borderId="124" xfId="0" applyNumberFormat="1" applyFill="1" applyBorder="1" applyAlignment="1" applyProtection="1">
      <alignment horizontal="center"/>
    </xf>
    <xf numFmtId="1" fontId="0" fillId="34" borderId="142" xfId="0" applyNumberFormat="1" applyFill="1" applyBorder="1" applyAlignment="1" applyProtection="1">
      <alignment horizontal="center"/>
    </xf>
    <xf numFmtId="0" fontId="0" fillId="38" borderId="19" xfId="0" applyFill="1" applyBorder="1" applyAlignment="1">
      <alignment horizontal="center" vertical="top" wrapText="1"/>
    </xf>
    <xf numFmtId="0" fontId="0" fillId="38" borderId="20" xfId="0" applyFill="1" applyBorder="1" applyAlignment="1">
      <alignment horizontal="center" vertical="top" wrapText="1"/>
    </xf>
    <xf numFmtId="0" fontId="0" fillId="38" borderId="21" xfId="0" applyFill="1" applyBorder="1" applyAlignment="1">
      <alignment horizontal="center" vertical="top" wrapText="1"/>
    </xf>
    <xf numFmtId="0" fontId="0" fillId="38" borderId="24" xfId="0" applyFill="1" applyBorder="1" applyAlignment="1">
      <alignment horizontal="center" vertical="top" wrapText="1"/>
    </xf>
    <xf numFmtId="0" fontId="0" fillId="38" borderId="12" xfId="0" applyFill="1" applyBorder="1" applyAlignment="1">
      <alignment horizontal="center" vertical="top" wrapText="1"/>
    </xf>
    <xf numFmtId="0" fontId="0" fillId="38" borderId="25" xfId="0" applyFill="1" applyBorder="1" applyAlignment="1">
      <alignment horizontal="center" vertical="top" wrapText="1"/>
    </xf>
    <xf numFmtId="0" fontId="0" fillId="38" borderId="19" xfId="0" applyFill="1" applyBorder="1" applyAlignment="1">
      <alignment horizontal="left" vertical="center" wrapText="1"/>
    </xf>
    <xf numFmtId="0" fontId="0" fillId="38" borderId="20" xfId="0" applyFill="1" applyBorder="1" applyAlignment="1">
      <alignment horizontal="left" vertical="center" wrapText="1"/>
    </xf>
    <xf numFmtId="0" fontId="0" fillId="38" borderId="21" xfId="0" applyFill="1" applyBorder="1" applyAlignment="1">
      <alignment horizontal="left" vertical="center" wrapText="1"/>
    </xf>
    <xf numFmtId="0" fontId="0" fillId="38" borderId="24" xfId="0" applyFill="1" applyBorder="1" applyAlignment="1">
      <alignment horizontal="left" vertical="center" wrapText="1"/>
    </xf>
    <xf numFmtId="0" fontId="0" fillId="38" borderId="12" xfId="0" applyFill="1" applyBorder="1" applyAlignment="1">
      <alignment horizontal="left" vertical="center" wrapText="1"/>
    </xf>
    <xf numFmtId="0" fontId="0" fillId="38" borderId="25" xfId="0" applyFill="1" applyBorder="1" applyAlignment="1">
      <alignment horizontal="left" vertical="center" wrapText="1"/>
    </xf>
    <xf numFmtId="0" fontId="6" fillId="9" borderId="41" xfId="0" applyFont="1" applyFill="1" applyBorder="1" applyAlignment="1">
      <alignment horizontal="center" vertical="center" wrapText="1"/>
    </xf>
    <xf numFmtId="0" fontId="6" fillId="9" borderId="42" xfId="0" applyFont="1" applyFill="1" applyBorder="1" applyAlignment="1">
      <alignment horizontal="center" vertical="center" wrapText="1"/>
    </xf>
    <xf numFmtId="0" fontId="6" fillId="9" borderId="47" xfId="0" applyFont="1" applyFill="1" applyBorder="1" applyAlignment="1">
      <alignment horizontal="center" vertical="center" wrapText="1"/>
    </xf>
    <xf numFmtId="0" fontId="6" fillId="9" borderId="48" xfId="0" applyFont="1" applyFill="1" applyBorder="1" applyAlignment="1">
      <alignment horizontal="center" vertical="center" wrapText="1"/>
    </xf>
    <xf numFmtId="1" fontId="0" fillId="38" borderId="141" xfId="0" applyNumberFormat="1" applyFill="1" applyBorder="1" applyAlignment="1" applyProtection="1">
      <alignment horizontal="center"/>
      <protection locked="0"/>
    </xf>
    <xf numFmtId="1" fontId="0" fillId="38" borderId="124" xfId="0" applyNumberFormat="1" applyFill="1" applyBorder="1" applyAlignment="1" applyProtection="1">
      <alignment horizontal="center"/>
      <protection locked="0"/>
    </xf>
    <xf numFmtId="1" fontId="0" fillId="38" borderId="142" xfId="0" applyNumberFormat="1" applyFill="1" applyBorder="1" applyAlignment="1" applyProtection="1">
      <alignment horizontal="center"/>
      <protection locked="0"/>
    </xf>
    <xf numFmtId="0" fontId="64" fillId="0" borderId="106" xfId="0" applyFont="1" applyBorder="1" applyAlignment="1">
      <alignment horizontal="center" vertical="center"/>
    </xf>
    <xf numFmtId="0" fontId="64" fillId="0" borderId="107" xfId="0" applyFont="1" applyBorder="1" applyAlignment="1">
      <alignment horizontal="center" vertical="center"/>
    </xf>
    <xf numFmtId="0" fontId="44" fillId="32" borderId="29" xfId="0" applyFont="1" applyFill="1" applyBorder="1" applyAlignment="1">
      <alignment horizontal="center" vertical="center" wrapText="1"/>
    </xf>
    <xf numFmtId="0" fontId="44" fillId="32" borderId="36" xfId="0" applyFont="1" applyFill="1" applyBorder="1" applyAlignment="1">
      <alignment horizontal="center" vertical="center" wrapText="1"/>
    </xf>
    <xf numFmtId="0" fontId="44" fillId="32" borderId="37" xfId="0" applyFont="1" applyFill="1" applyBorder="1" applyAlignment="1">
      <alignment horizontal="center" vertical="center" wrapText="1"/>
    </xf>
    <xf numFmtId="0" fontId="55" fillId="40" borderId="151" xfId="0" applyFont="1" applyFill="1" applyBorder="1" applyAlignment="1">
      <alignment horizontal="center" vertical="center" wrapText="1"/>
    </xf>
    <xf numFmtId="0" fontId="55" fillId="40" borderId="152" xfId="0" applyFont="1" applyFill="1" applyBorder="1" applyAlignment="1">
      <alignment horizontal="center" vertical="center" wrapText="1"/>
    </xf>
    <xf numFmtId="0" fontId="55" fillId="40" borderId="153" xfId="0" applyFont="1" applyFill="1" applyBorder="1" applyAlignment="1">
      <alignment horizontal="center" vertical="center" wrapText="1"/>
    </xf>
    <xf numFmtId="0" fontId="55" fillId="40" borderId="98" xfId="0" applyFont="1" applyFill="1" applyBorder="1" applyAlignment="1">
      <alignment horizontal="center" vertical="center" wrapText="1"/>
    </xf>
    <xf numFmtId="0" fontId="55" fillId="40" borderId="99" xfId="0" applyFont="1" applyFill="1" applyBorder="1" applyAlignment="1">
      <alignment horizontal="center" vertical="center" wrapText="1"/>
    </xf>
    <xf numFmtId="0" fontId="4" fillId="21" borderId="67" xfId="0" applyFont="1" applyFill="1" applyBorder="1" applyAlignment="1">
      <alignment horizontal="center" vertical="center" wrapText="1"/>
    </xf>
    <xf numFmtId="0" fontId="4" fillId="21" borderId="71" xfId="0" applyFont="1" applyFill="1" applyBorder="1" applyAlignment="1">
      <alignment horizontal="center" vertical="center" wrapText="1"/>
    </xf>
    <xf numFmtId="0" fontId="4" fillId="21" borderId="105" xfId="0" applyFont="1" applyFill="1" applyBorder="1" applyAlignment="1">
      <alignment horizontal="center" vertical="center" wrapText="1"/>
    </xf>
    <xf numFmtId="0" fontId="22" fillId="21" borderId="65" xfId="0" applyFont="1" applyFill="1" applyBorder="1" applyAlignment="1">
      <alignment horizontal="center" vertical="center" wrapText="1"/>
    </xf>
    <xf numFmtId="0" fontId="22" fillId="21" borderId="70" xfId="0" applyFont="1" applyFill="1" applyBorder="1" applyAlignment="1">
      <alignment horizontal="center" vertical="center" wrapText="1"/>
    </xf>
    <xf numFmtId="0" fontId="22" fillId="21" borderId="104" xfId="0" applyFont="1" applyFill="1" applyBorder="1" applyAlignment="1">
      <alignment horizontal="center" vertical="center" wrapText="1"/>
    </xf>
    <xf numFmtId="0" fontId="6" fillId="20" borderId="60" xfId="0" applyFont="1" applyFill="1" applyBorder="1" applyAlignment="1">
      <alignment horizontal="center" vertical="center" wrapText="1"/>
    </xf>
    <xf numFmtId="0" fontId="6" fillId="20" borderId="58" xfId="0" applyFont="1" applyFill="1" applyBorder="1" applyAlignment="1">
      <alignment horizontal="center" vertical="center" wrapText="1"/>
    </xf>
    <xf numFmtId="0" fontId="4" fillId="20" borderId="62" xfId="0" applyFont="1" applyFill="1" applyBorder="1" applyAlignment="1">
      <alignment horizontal="center" vertical="center" wrapText="1"/>
    </xf>
    <xf numFmtId="0" fontId="4" fillId="20" borderId="63" xfId="0" applyFont="1" applyFill="1" applyBorder="1" applyAlignment="1">
      <alignment horizontal="center" vertical="center" wrapText="1"/>
    </xf>
    <xf numFmtId="0" fontId="4" fillId="20" borderId="64" xfId="0" applyFont="1" applyFill="1" applyBorder="1" applyAlignment="1">
      <alignment horizontal="center" vertical="center" wrapText="1"/>
    </xf>
    <xf numFmtId="0" fontId="4" fillId="20" borderId="69" xfId="0" applyFont="1" applyFill="1" applyBorder="1" applyAlignment="1">
      <alignment horizontal="center" vertical="center" wrapText="1"/>
    </xf>
    <xf numFmtId="0" fontId="4" fillId="20" borderId="0" xfId="0" applyFont="1" applyFill="1" applyBorder="1" applyAlignment="1">
      <alignment horizontal="center" vertical="center" wrapText="1"/>
    </xf>
    <xf numFmtId="0" fontId="4" fillId="20" borderId="66" xfId="0" applyFont="1" applyFill="1" applyBorder="1" applyAlignment="1">
      <alignment horizontal="center" vertical="center" wrapText="1"/>
    </xf>
    <xf numFmtId="0" fontId="44" fillId="51" borderId="55" xfId="0" applyFont="1" applyFill="1" applyBorder="1" applyAlignment="1">
      <alignment horizontal="center" vertical="center" wrapText="1"/>
    </xf>
    <xf numFmtId="0" fontId="44" fillId="51" borderId="56" xfId="0" applyFont="1" applyFill="1" applyBorder="1" applyAlignment="1">
      <alignment horizontal="center" vertical="center" wrapText="1"/>
    </xf>
    <xf numFmtId="0" fontId="6" fillId="19" borderId="57" xfId="0" applyFont="1" applyFill="1" applyBorder="1" applyAlignment="1">
      <alignment horizontal="center" vertical="center" wrapText="1"/>
    </xf>
    <xf numFmtId="0" fontId="6" fillId="19" borderId="58" xfId="0" applyFont="1" applyFill="1" applyBorder="1" applyAlignment="1">
      <alignment horizontal="center" vertical="center" wrapText="1"/>
    </xf>
    <xf numFmtId="0" fontId="6" fillId="19" borderId="59" xfId="0" applyFont="1" applyFill="1" applyBorder="1" applyAlignment="1">
      <alignment horizontal="center" vertical="center" wrapText="1"/>
    </xf>
    <xf numFmtId="0" fontId="4" fillId="19" borderId="69" xfId="0" applyFont="1" applyFill="1" applyBorder="1" applyAlignment="1">
      <alignment horizontal="center" vertical="center" wrapText="1"/>
    </xf>
    <xf numFmtId="0" fontId="4" fillId="19" borderId="0" xfId="0" applyFont="1" applyFill="1" applyAlignment="1">
      <alignment horizontal="center" vertical="center" wrapText="1"/>
    </xf>
    <xf numFmtId="0" fontId="4" fillId="19" borderId="66" xfId="0" applyFont="1" applyFill="1" applyBorder="1" applyAlignment="1">
      <alignment horizontal="center" vertical="center" wrapText="1"/>
    </xf>
    <xf numFmtId="0" fontId="4" fillId="19" borderId="61" xfId="0" applyFont="1" applyFill="1" applyBorder="1" applyAlignment="1">
      <alignment horizontal="center" vertical="center" wrapText="1"/>
    </xf>
    <xf numFmtId="0" fontId="4" fillId="19" borderId="68" xfId="0" applyFont="1" applyFill="1" applyBorder="1" applyAlignment="1">
      <alignment horizontal="center" vertical="center" wrapText="1"/>
    </xf>
    <xf numFmtId="0" fontId="4" fillId="19" borderId="72" xfId="0" applyFont="1" applyFill="1" applyBorder="1" applyAlignment="1">
      <alignment horizontal="center" vertical="center" wrapText="1"/>
    </xf>
    <xf numFmtId="0" fontId="4" fillId="19" borderId="62" xfId="0" applyFont="1" applyFill="1" applyBorder="1" applyAlignment="1">
      <alignment horizontal="center" vertical="center" wrapText="1"/>
    </xf>
    <xf numFmtId="0" fontId="4" fillId="19" borderId="63" xfId="0" applyFont="1" applyFill="1" applyBorder="1" applyAlignment="1">
      <alignment horizontal="center" vertical="center" wrapText="1"/>
    </xf>
    <xf numFmtId="0" fontId="4" fillId="19" borderId="64" xfId="0" applyFont="1" applyFill="1" applyBorder="1" applyAlignment="1">
      <alignment horizontal="center" vertical="center" wrapText="1"/>
    </xf>
    <xf numFmtId="0" fontId="4" fillId="21" borderId="64" xfId="0" applyFont="1" applyFill="1" applyBorder="1" applyAlignment="1">
      <alignment horizontal="center" vertical="center" wrapText="1"/>
    </xf>
    <xf numFmtId="0" fontId="4" fillId="21" borderId="66" xfId="0" applyFont="1" applyFill="1" applyBorder="1" applyAlignment="1">
      <alignment horizontal="center" vertical="center" wrapText="1"/>
    </xf>
    <xf numFmtId="0" fontId="4" fillId="21" borderId="103" xfId="0" applyFont="1" applyFill="1" applyBorder="1" applyAlignment="1">
      <alignment horizontal="center" vertical="center" wrapText="1"/>
    </xf>
    <xf numFmtId="0" fontId="4" fillId="9" borderId="55" xfId="0" applyFont="1" applyFill="1" applyBorder="1" applyAlignment="1">
      <alignment horizontal="center" vertical="center" wrapText="1"/>
    </xf>
    <xf numFmtId="0" fontId="45" fillId="32" borderId="29" xfId="0" applyFont="1" applyFill="1" applyBorder="1" applyAlignment="1">
      <alignment horizontal="center" vertical="center" wrapText="1"/>
    </xf>
    <xf numFmtId="0" fontId="45" fillId="32" borderId="36" xfId="0" applyFont="1" applyFill="1" applyBorder="1" applyAlignment="1">
      <alignment horizontal="center" vertical="center" wrapText="1"/>
    </xf>
    <xf numFmtId="0" fontId="45" fillId="32" borderId="37" xfId="0" applyFont="1" applyFill="1" applyBorder="1" applyAlignment="1">
      <alignment horizontal="center" vertical="center" wrapText="1"/>
    </xf>
    <xf numFmtId="0" fontId="11" fillId="0" borderId="29" xfId="0" applyFont="1" applyBorder="1" applyAlignment="1">
      <alignment horizontal="center" vertical="center" wrapText="1"/>
    </xf>
    <xf numFmtId="0" fontId="11" fillId="0" borderId="37" xfId="0" applyFont="1" applyBorder="1" applyAlignment="1">
      <alignment horizontal="center" vertical="center" wrapText="1"/>
    </xf>
    <xf numFmtId="0" fontId="45" fillId="32" borderId="8" xfId="0" applyFont="1" applyFill="1" applyBorder="1" applyAlignment="1">
      <alignment horizontal="center" vertical="center" wrapText="1"/>
    </xf>
    <xf numFmtId="0" fontId="45" fillId="32"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44" fillId="32" borderId="3" xfId="0" applyFont="1" applyFill="1" applyBorder="1" applyAlignment="1">
      <alignment horizontal="center" vertical="center" wrapText="1"/>
    </xf>
    <xf numFmtId="0" fontId="44" fillId="32" borderId="5" xfId="0" applyFont="1" applyFill="1" applyBorder="1" applyAlignment="1">
      <alignment horizontal="center" vertical="center" wrapText="1"/>
    </xf>
    <xf numFmtId="0" fontId="55" fillId="40" borderId="146" xfId="0" applyFont="1" applyFill="1" applyBorder="1" applyAlignment="1">
      <alignment horizontal="center" vertical="center" wrapText="1"/>
    </xf>
    <xf numFmtId="0" fontId="55" fillId="40" borderId="147" xfId="0" applyFont="1" applyFill="1" applyBorder="1" applyAlignment="1">
      <alignment horizontal="center" vertical="center" wrapText="1"/>
    </xf>
    <xf numFmtId="0" fontId="43" fillId="32" borderId="3" xfId="0" applyFont="1" applyFill="1" applyBorder="1" applyAlignment="1">
      <alignment horizontal="center" vertical="center" wrapText="1"/>
    </xf>
    <xf numFmtId="0" fontId="43" fillId="32" borderId="4" xfId="0" applyFont="1" applyFill="1" applyBorder="1" applyAlignment="1">
      <alignment horizontal="center" vertical="center" wrapText="1"/>
    </xf>
    <xf numFmtId="0" fontId="43" fillId="32" borderId="5" xfId="0" applyFont="1" applyFill="1" applyBorder="1" applyAlignment="1">
      <alignment horizontal="center" vertical="center" wrapText="1"/>
    </xf>
    <xf numFmtId="0" fontId="54" fillId="40" borderId="96" xfId="0" applyFont="1" applyFill="1" applyBorder="1" applyAlignment="1">
      <alignment horizontal="center" vertical="center" wrapText="1"/>
    </xf>
    <xf numFmtId="0" fontId="54" fillId="40" borderId="97" xfId="0" applyFont="1" applyFill="1" applyBorder="1" applyAlignment="1">
      <alignment horizontal="center" vertical="center" wrapText="1"/>
    </xf>
    <xf numFmtId="0" fontId="19" fillId="9" borderId="37" xfId="0" applyFont="1" applyFill="1" applyBorder="1" applyAlignment="1">
      <alignment vertical="center" wrapText="1"/>
    </xf>
    <xf numFmtId="0" fontId="15" fillId="0" borderId="40" xfId="0" applyFont="1" applyBorder="1" applyAlignment="1">
      <alignment horizontal="center" vertical="center" textRotation="90"/>
    </xf>
    <xf numFmtId="0" fontId="15" fillId="0" borderId="38" xfId="0" applyFont="1" applyBorder="1" applyAlignment="1">
      <alignment horizontal="center" vertical="center" textRotation="90"/>
    </xf>
    <xf numFmtId="10" fontId="39" fillId="17" borderId="15" xfId="2" applyNumberFormat="1" applyFont="1" applyFill="1" applyBorder="1" applyAlignment="1" applyProtection="1">
      <alignment horizontal="center" vertical="center"/>
      <protection locked="0"/>
    </xf>
    <xf numFmtId="10" fontId="39" fillId="17" borderId="14" xfId="2" applyNumberFormat="1" applyFont="1" applyFill="1" applyBorder="1" applyAlignment="1" applyProtection="1">
      <alignment horizontal="center" vertical="center"/>
      <protection locked="0"/>
    </xf>
    <xf numFmtId="10" fontId="39" fillId="17" borderId="90" xfId="2" applyNumberFormat="1" applyFont="1" applyFill="1" applyBorder="1" applyAlignment="1" applyProtection="1">
      <alignment horizontal="center" vertical="center"/>
      <protection locked="0"/>
    </xf>
    <xf numFmtId="0" fontId="19" fillId="9" borderId="9" xfId="0" applyFont="1" applyFill="1" applyBorder="1" applyAlignment="1">
      <alignment vertical="center" wrapText="1"/>
    </xf>
    <xf numFmtId="168" fontId="9" fillId="24" borderId="160" xfId="2" applyNumberFormat="1" applyFont="1" applyFill="1" applyBorder="1" applyAlignment="1" applyProtection="1">
      <alignment horizontal="center" vertical="center"/>
    </xf>
    <xf numFmtId="168" fontId="9" fillId="24" borderId="161" xfId="2" applyNumberFormat="1" applyFont="1" applyFill="1" applyBorder="1" applyAlignment="1" applyProtection="1">
      <alignment horizontal="center" vertical="center"/>
    </xf>
    <xf numFmtId="168" fontId="9" fillId="24" borderId="162" xfId="2" applyNumberFormat="1" applyFont="1" applyFill="1" applyBorder="1" applyAlignment="1" applyProtection="1">
      <alignment horizontal="center" vertical="center"/>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9" fillId="9" borderId="0" xfId="0" applyFont="1" applyFill="1" applyAlignment="1">
      <alignment vertical="center" wrapText="1"/>
    </xf>
    <xf numFmtId="0" fontId="19" fillId="9" borderId="7" xfId="0" applyFont="1" applyFill="1" applyBorder="1" applyAlignment="1">
      <alignment vertical="center" wrapText="1"/>
    </xf>
    <xf numFmtId="17" fontId="4" fillId="24" borderId="14" xfId="0" applyNumberFormat="1" applyFont="1" applyFill="1" applyBorder="1" applyAlignment="1">
      <alignment horizontal="left"/>
    </xf>
    <xf numFmtId="167" fontId="4" fillId="24" borderId="14" xfId="0" applyNumberFormat="1" applyFont="1" applyFill="1" applyBorder="1" applyAlignment="1">
      <alignment horizontal="left"/>
    </xf>
    <xf numFmtId="168" fontId="9" fillId="24" borderId="128" xfId="2" applyNumberFormat="1" applyFont="1" applyFill="1" applyBorder="1" applyAlignment="1" applyProtection="1">
      <alignment horizontal="center" vertical="center"/>
    </xf>
    <xf numFmtId="0" fontId="8" fillId="30" borderId="0" xfId="0" applyFont="1" applyFill="1" applyAlignment="1">
      <alignment horizontal="center"/>
    </xf>
    <xf numFmtId="0" fontId="16" fillId="17" borderId="37" xfId="0" applyFont="1" applyFill="1" applyBorder="1" applyAlignment="1">
      <alignment horizontal="center" vertical="center" wrapText="1"/>
    </xf>
    <xf numFmtId="0" fontId="15" fillId="0" borderId="39"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8" xfId="0" applyFont="1" applyBorder="1" applyAlignment="1">
      <alignment horizontal="center" vertical="center" textRotation="90"/>
    </xf>
    <xf numFmtId="0" fontId="19" fillId="9" borderId="8" xfId="0" applyFont="1" applyFill="1" applyBorder="1" applyAlignment="1">
      <alignment vertical="center" wrapText="1"/>
    </xf>
    <xf numFmtId="0" fontId="19" fillId="9" borderId="10" xfId="0" applyFont="1" applyFill="1" applyBorder="1" applyAlignment="1">
      <alignment vertical="center" wrapText="1"/>
    </xf>
    <xf numFmtId="10" fontId="39" fillId="17" borderId="11" xfId="2" applyNumberFormat="1" applyFont="1" applyFill="1" applyBorder="1" applyAlignment="1" applyProtection="1">
      <alignment horizontal="center" vertical="center"/>
      <protection locked="0"/>
    </xf>
    <xf numFmtId="10" fontId="39" fillId="17" borderId="25" xfId="2" applyNumberFormat="1" applyFont="1" applyFill="1" applyBorder="1" applyAlignment="1" applyProtection="1">
      <alignment horizontal="center" vertical="center"/>
      <protection locked="0"/>
    </xf>
  </cellXfs>
  <cellStyles count="3">
    <cellStyle name="Comma" xfId="1" builtinId="3"/>
    <cellStyle name="Normal" xfId="0" builtinId="0"/>
    <cellStyle name="Percent" xfId="2" builtinId="5"/>
  </cellStyles>
  <dxfs count="977">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ill>
        <patternFill>
          <bgColor rgb="FFFFFF00"/>
        </patternFill>
      </fill>
    </dxf>
    <dxf>
      <fill>
        <patternFill>
          <bgColor rgb="FFFFC000"/>
        </patternFill>
      </fill>
    </dxf>
    <dxf>
      <fill>
        <patternFill>
          <bgColor rgb="FFFF0000"/>
        </patternFill>
      </fill>
    </dxf>
    <dxf>
      <fill>
        <patternFill>
          <bgColor rgb="FFC00000"/>
        </patternFill>
      </fill>
    </dxf>
    <dxf>
      <fill>
        <patternFill>
          <bgColor rgb="FFFFC000"/>
        </patternFill>
      </fill>
    </dxf>
    <dxf>
      <fill>
        <patternFill>
          <bgColor theme="0" tint="-0.24994659260841701"/>
        </patternFill>
      </fill>
    </dxf>
    <dxf>
      <fill>
        <gradientFill>
          <stop position="0">
            <color rgb="FFFFC000"/>
          </stop>
          <stop position="1">
            <color rgb="FFC00000"/>
          </stop>
        </gradientFill>
      </fill>
    </dxf>
    <dxf>
      <fill>
        <patternFill>
          <bgColor rgb="FFFFFF00"/>
        </patternFill>
      </fill>
    </dxf>
    <dxf>
      <font>
        <color rgb="FFC80000"/>
      </font>
      <fill>
        <patternFill patternType="none">
          <bgColor auto="1"/>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theme="0"/>
      </font>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ont>
        <color rgb="FF9C0006"/>
      </font>
      <fill>
        <patternFill>
          <bgColor rgb="FFFFC7CE"/>
        </patternFill>
      </fill>
    </dxf>
    <dxf>
      <font>
        <color theme="0"/>
      </font>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0"/>
      </font>
    </dxf>
    <dxf>
      <font>
        <color theme="0"/>
      </font>
    </dxf>
    <dxf>
      <font>
        <color theme="0"/>
      </font>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ill>
        <patternFill>
          <bgColor rgb="FF92D050"/>
        </patternFill>
      </fill>
    </dxf>
    <dxf>
      <font>
        <color theme="0"/>
      </font>
    </dxf>
    <dxf>
      <fill>
        <gradientFill>
          <stop position="0">
            <color rgb="FF92D050"/>
          </stop>
          <stop position="1">
            <color rgb="FFFFFF00"/>
          </stop>
        </gradientFill>
      </fill>
    </dxf>
    <dxf>
      <fill>
        <patternFill>
          <bgColor rgb="FFFFC0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theme="0" tint="-0.24994659260841701"/>
        </patternFill>
      </fill>
    </dxf>
    <dxf>
      <fill>
        <patternFill>
          <bgColor rgb="FFC000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rgb="FFFFC000"/>
        </patternFill>
      </fill>
    </dxf>
    <dxf>
      <fill>
        <patternFill>
          <bgColor rgb="FFFFFF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b/>
        <i val="0"/>
        <color auto="1"/>
      </font>
      <fill>
        <patternFill>
          <bgColor theme="5" tint="-0.24994659260841701"/>
        </patternFill>
      </fill>
    </dxf>
    <dxf>
      <font>
        <b/>
        <i val="0"/>
      </font>
      <fill>
        <patternFill>
          <bgColor theme="5" tint="0.39994506668294322"/>
        </patternFill>
      </fill>
    </dxf>
    <dxf>
      <font>
        <b/>
        <i val="0"/>
      </font>
      <fill>
        <patternFill>
          <bgColor theme="5" tint="0.59996337778862885"/>
        </patternFill>
      </fill>
    </dxf>
    <dxf>
      <font>
        <b/>
        <i val="0"/>
      </font>
      <fill>
        <patternFill>
          <bgColor theme="9" tint="0.59996337778862885"/>
        </patternFill>
      </fill>
    </dxf>
    <dxf>
      <font>
        <b/>
        <i val="0"/>
      </font>
      <fill>
        <patternFill>
          <bgColor theme="9" tint="0.39994506668294322"/>
        </patternFill>
      </fill>
    </dxf>
    <dxf>
      <font>
        <b/>
        <i val="0"/>
      </font>
      <fill>
        <patternFill>
          <bgColor theme="9" tint="-0.24994659260841701"/>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000000"/>
      </font>
      <fill>
        <patternFill>
          <bgColor rgb="FFFCE4D6"/>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auto="1"/>
          <bgColor rgb="FF99FF99"/>
        </patternFill>
      </fill>
    </dxf>
    <dxf>
      <fill>
        <patternFill>
          <bgColor rgb="FFFFFF00"/>
        </patternFill>
      </fill>
    </dxf>
    <dxf>
      <fill>
        <patternFill>
          <fgColor auto="1"/>
          <bgColor rgb="FFFFC000"/>
        </patternFill>
      </fill>
    </dxf>
    <dxf>
      <fill>
        <patternFill>
          <bgColor rgb="FFFF0000"/>
        </patternFill>
      </fill>
    </dxf>
    <dxf>
      <fill>
        <patternFill>
          <bgColor rgb="FFC00000"/>
        </patternFill>
      </fill>
    </dxf>
    <dxf>
      <fill>
        <patternFill>
          <bgColor theme="0" tint="-0.24994659260841701"/>
        </patternFill>
      </fill>
    </dxf>
  </dxfs>
  <tableStyles count="0" defaultTableStyle="TableStyleMedium2" defaultPivotStyle="PivotStyleLight16"/>
  <colors>
    <mruColors>
      <color rgb="FF640000"/>
      <color rgb="FFC80000"/>
      <color rgb="FFE67800"/>
      <color rgb="FFFAE61E"/>
      <color rgb="FFCDFACD"/>
      <color rgb="FF99FF99"/>
      <color rgb="FF8EF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2</xdr:col>
      <xdr:colOff>2487082</xdr:colOff>
      <xdr:row>0</xdr:row>
      <xdr:rowOff>127001</xdr:rowOff>
    </xdr:from>
    <xdr:to>
      <xdr:col>3</xdr:col>
      <xdr:colOff>3206749</xdr:colOff>
      <xdr:row>3</xdr:row>
      <xdr:rowOff>317501</xdr:rowOff>
    </xdr:to>
    <xdr:sp macro="[0]!Cadre_Harmonise" textlink="">
      <xdr:nvSpPr>
        <xdr:cNvPr id="2" name="TextBox 1">
          <a:extLst>
            <a:ext uri="{FF2B5EF4-FFF2-40B4-BE49-F238E27FC236}">
              <a16:creationId xmlns:a16="http://schemas.microsoft.com/office/drawing/2014/main" id="{5EEEDE4C-74E6-41E3-9B87-B6477F2F2E1A}"/>
            </a:ext>
          </a:extLst>
        </xdr:cNvPr>
        <xdr:cNvSpPr txBox="1"/>
      </xdr:nvSpPr>
      <xdr:spPr>
        <a:xfrm>
          <a:off x="6159499" y="127001"/>
          <a:ext cx="3354917" cy="931333"/>
        </a:xfrm>
        <a:prstGeom prst="rect">
          <a:avLst/>
        </a:prstGeom>
        <a:ln/>
        <a:scene3d>
          <a:camera prst="orthographicFront"/>
          <a:lightRig rig="threePt" dir="t"/>
        </a:scene3d>
        <a:sp3d>
          <a:bevelT/>
        </a:sp3d>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pPr algn="ctr"/>
          <a:r>
            <a:rPr lang="fr-FR" sz="2400">
              <a:latin typeface="Times New Roman" panose="02020603050405020304" pitchFamily="18" charset="0"/>
              <a:cs typeface="Times New Roman" panose="02020603050405020304" pitchFamily="18" charset="0"/>
            </a:rPr>
            <a:t>Click Here to Fill Out Automatically</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tint="0.59999389629810485"/>
  </sheetPr>
  <dimension ref="A1:F32"/>
  <sheetViews>
    <sheetView tabSelected="1" view="pageBreakPreview" zoomScale="90" zoomScaleNormal="115" zoomScaleSheetLayoutView="90" workbookViewId="0">
      <selection activeCell="B4" sqref="B4"/>
    </sheetView>
  </sheetViews>
  <sheetFormatPr defaultColWidth="11.5703125" defaultRowHeight="15" x14ac:dyDescent="0.25"/>
  <cols>
    <col min="1" max="1" width="20.5703125" style="125" customWidth="1"/>
    <col min="2" max="2" width="34.42578125" customWidth="1"/>
    <col min="3" max="3" width="39.5703125" customWidth="1"/>
    <col min="4" max="4" width="52" customWidth="1"/>
    <col min="5" max="5" width="15.85546875" customWidth="1"/>
    <col min="6" max="6" width="13.5703125" customWidth="1"/>
  </cols>
  <sheetData>
    <row r="1" spans="1:6" ht="26.25" x14ac:dyDescent="0.4">
      <c r="A1" s="539" t="s">
        <v>65</v>
      </c>
      <c r="B1" s="540"/>
      <c r="C1" s="540"/>
      <c r="D1" s="540"/>
      <c r="E1" s="540"/>
      <c r="F1" s="540"/>
    </row>
    <row r="2" spans="1:6" ht="15.75" x14ac:dyDescent="0.25">
      <c r="A2" s="122"/>
      <c r="B2" s="59"/>
      <c r="C2" s="59"/>
      <c r="D2" s="59"/>
      <c r="E2" s="61" t="s">
        <v>72</v>
      </c>
      <c r="F2" s="206"/>
    </row>
    <row r="3" spans="1:6" ht="15.75" x14ac:dyDescent="0.25">
      <c r="A3" s="361" t="s">
        <v>66</v>
      </c>
      <c r="B3" s="62"/>
      <c r="C3" s="62"/>
      <c r="D3" s="70"/>
      <c r="E3" s="61"/>
      <c r="F3" s="61"/>
    </row>
    <row r="4" spans="1:6" ht="28.5" customHeight="1" x14ac:dyDescent="0.25">
      <c r="A4" s="207" t="s">
        <v>67</v>
      </c>
      <c r="B4" s="392" t="s">
        <v>283</v>
      </c>
      <c r="C4" s="63"/>
      <c r="D4" s="70"/>
      <c r="E4" s="61"/>
      <c r="F4" s="61"/>
    </row>
    <row r="5" spans="1:6" ht="63.95" customHeight="1" thickBot="1" x14ac:dyDescent="0.3">
      <c r="A5" s="123" t="s">
        <v>68</v>
      </c>
      <c r="B5" s="72" t="s">
        <v>69</v>
      </c>
      <c r="C5" s="72" t="s">
        <v>1</v>
      </c>
      <c r="D5" s="121" t="s">
        <v>70</v>
      </c>
      <c r="E5" s="71" t="s">
        <v>71</v>
      </c>
      <c r="F5" s="71" t="s">
        <v>73</v>
      </c>
    </row>
    <row r="6" spans="1:6" x14ac:dyDescent="0.25">
      <c r="A6" s="194"/>
      <c r="B6" s="391"/>
      <c r="C6" s="195"/>
      <c r="D6" s="195"/>
      <c r="E6" s="196"/>
      <c r="F6" s="393"/>
    </row>
    <row r="7" spans="1:6" x14ac:dyDescent="0.25">
      <c r="A7" s="194"/>
      <c r="B7" s="195"/>
      <c r="C7" s="195"/>
      <c r="D7" s="195"/>
      <c r="E7" s="196"/>
      <c r="F7" s="394"/>
    </row>
    <row r="8" spans="1:6" x14ac:dyDescent="0.25">
      <c r="A8" s="194"/>
      <c r="B8" s="195"/>
      <c r="C8" s="195"/>
      <c r="D8" s="195"/>
      <c r="E8" s="196"/>
      <c r="F8" s="393"/>
    </row>
    <row r="9" spans="1:6" x14ac:dyDescent="0.25">
      <c r="A9" s="194"/>
      <c r="B9" s="195"/>
      <c r="C9" s="195"/>
      <c r="D9" s="195"/>
      <c r="E9" s="196"/>
      <c r="F9" s="393"/>
    </row>
    <row r="10" spans="1:6" x14ac:dyDescent="0.25">
      <c r="A10" s="194"/>
      <c r="B10" s="195"/>
      <c r="C10" s="195"/>
      <c r="D10" s="195"/>
      <c r="E10" s="196"/>
      <c r="F10" s="393"/>
    </row>
    <row r="11" spans="1:6" x14ac:dyDescent="0.25">
      <c r="A11" s="194"/>
      <c r="B11" s="195"/>
      <c r="C11" s="195"/>
      <c r="D11" s="195"/>
      <c r="E11" s="393"/>
      <c r="F11" s="393"/>
    </row>
    <row r="12" spans="1:6" x14ac:dyDescent="0.25">
      <c r="A12" s="194"/>
      <c r="B12" s="195"/>
      <c r="C12" s="195"/>
      <c r="D12" s="195"/>
      <c r="E12" s="196"/>
      <c r="F12" s="393"/>
    </row>
    <row r="13" spans="1:6" x14ac:dyDescent="0.25">
      <c r="A13" s="194"/>
      <c r="B13" s="195"/>
      <c r="C13" s="195"/>
      <c r="D13" s="195"/>
      <c r="E13" s="196"/>
      <c r="F13" s="393"/>
    </row>
    <row r="14" spans="1:6" x14ac:dyDescent="0.25">
      <c r="A14" s="197"/>
      <c r="B14" s="195"/>
      <c r="C14" s="195"/>
      <c r="D14" s="195"/>
      <c r="E14" s="393"/>
      <c r="F14" s="393"/>
    </row>
    <row r="15" spans="1:6" x14ac:dyDescent="0.25">
      <c r="A15" s="197"/>
      <c r="B15" s="195"/>
      <c r="C15" s="195"/>
      <c r="D15" s="195"/>
      <c r="E15" s="393"/>
      <c r="F15" s="393"/>
    </row>
    <row r="16" spans="1:6" x14ac:dyDescent="0.25">
      <c r="A16" s="197"/>
      <c r="B16" s="195"/>
      <c r="C16" s="195"/>
      <c r="D16" s="195"/>
      <c r="E16" s="393"/>
      <c r="F16" s="393"/>
    </row>
    <row r="17" spans="1:6" x14ac:dyDescent="0.25">
      <c r="A17" s="197"/>
      <c r="B17" s="195"/>
      <c r="C17" s="195"/>
      <c r="D17" s="195"/>
      <c r="E17" s="196"/>
      <c r="F17" s="196"/>
    </row>
    <row r="18" spans="1:6" x14ac:dyDescent="0.25">
      <c r="A18" s="197"/>
      <c r="B18" s="195"/>
      <c r="C18" s="195"/>
      <c r="D18" s="195"/>
      <c r="E18" s="196"/>
      <c r="F18" s="196"/>
    </row>
    <row r="19" spans="1:6" x14ac:dyDescent="0.25">
      <c r="A19" s="197"/>
      <c r="B19" s="195"/>
      <c r="C19" s="195"/>
      <c r="D19" s="195"/>
      <c r="E19" s="196"/>
      <c r="F19" s="196"/>
    </row>
    <row r="20" spans="1:6" x14ac:dyDescent="0.25">
      <c r="A20" s="197"/>
      <c r="B20" s="195"/>
      <c r="C20" s="195"/>
      <c r="D20" s="195"/>
      <c r="E20" s="196"/>
      <c r="F20" s="196"/>
    </row>
    <row r="21" spans="1:6" x14ac:dyDescent="0.25">
      <c r="A21" s="197"/>
      <c r="B21" s="195"/>
      <c r="C21" s="195"/>
      <c r="D21" s="195"/>
      <c r="E21" s="196"/>
      <c r="F21" s="196"/>
    </row>
    <row r="22" spans="1:6" x14ac:dyDescent="0.25">
      <c r="A22" s="197"/>
      <c r="B22" s="195"/>
      <c r="C22" s="195"/>
      <c r="D22" s="195"/>
      <c r="E22" s="196"/>
      <c r="F22" s="196"/>
    </row>
    <row r="23" spans="1:6" x14ac:dyDescent="0.25">
      <c r="A23" s="197"/>
      <c r="B23" s="195"/>
      <c r="C23" s="195"/>
      <c r="D23" s="195"/>
      <c r="E23" s="196"/>
      <c r="F23" s="196"/>
    </row>
    <row r="24" spans="1:6" x14ac:dyDescent="0.25">
      <c r="A24" s="197"/>
      <c r="B24" s="195"/>
      <c r="C24" s="195"/>
      <c r="D24" s="195"/>
      <c r="E24" s="196"/>
      <c r="F24" s="196"/>
    </row>
    <row r="25" spans="1:6" x14ac:dyDescent="0.25">
      <c r="A25" s="198"/>
      <c r="B25" s="195"/>
      <c r="C25" s="195"/>
      <c r="D25" s="195"/>
      <c r="E25" s="199"/>
      <c r="F25" s="199"/>
    </row>
    <row r="26" spans="1:6" x14ac:dyDescent="0.25">
      <c r="A26" s="198"/>
      <c r="B26" s="195"/>
      <c r="C26" s="195"/>
      <c r="D26" s="195"/>
      <c r="E26" s="199"/>
      <c r="F26" s="199"/>
    </row>
    <row r="27" spans="1:6" x14ac:dyDescent="0.25">
      <c r="A27" s="198"/>
      <c r="B27" s="200"/>
      <c r="C27" s="200"/>
      <c r="D27" s="200"/>
      <c r="E27" s="199"/>
      <c r="F27" s="199"/>
    </row>
    <row r="28" spans="1:6" x14ac:dyDescent="0.25">
      <c r="A28" s="198"/>
      <c r="B28" s="200"/>
      <c r="C28" s="200"/>
      <c r="D28" s="200"/>
      <c r="E28" s="199"/>
      <c r="F28" s="199"/>
    </row>
    <row r="29" spans="1:6" x14ac:dyDescent="0.25">
      <c r="A29" s="198"/>
      <c r="B29" s="200"/>
      <c r="C29" s="200"/>
      <c r="D29" s="200"/>
      <c r="E29" s="199"/>
      <c r="F29" s="199"/>
    </row>
    <row r="30" spans="1:6" x14ac:dyDescent="0.25">
      <c r="A30" s="198"/>
      <c r="B30" s="200"/>
      <c r="C30" s="200"/>
      <c r="D30" s="200"/>
      <c r="E30" s="199"/>
      <c r="F30" s="199"/>
    </row>
    <row r="31" spans="1:6" x14ac:dyDescent="0.25">
      <c r="A31" s="197"/>
      <c r="B31" s="200"/>
      <c r="C31" s="200"/>
      <c r="D31" s="200"/>
      <c r="E31" s="199"/>
      <c r="F31" s="199"/>
    </row>
    <row r="32" spans="1:6" ht="15.75" x14ac:dyDescent="0.25">
      <c r="A32" s="124"/>
      <c r="B32" s="5"/>
      <c r="C32" s="5"/>
      <c r="D32" s="5"/>
      <c r="E32" s="5"/>
      <c r="F32" s="5"/>
    </row>
  </sheetData>
  <sheetProtection formatCells="0" formatColumns="0" formatRows="0" insertRows="0"/>
  <protectedRanges>
    <protectedRange sqref="A6:F31" name="Range1"/>
    <protectedRange sqref="B4" name="Range2"/>
    <protectedRange sqref="F2" name="Range3"/>
  </protectedRanges>
  <mergeCells count="1">
    <mergeCell ref="A1:F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7"/>
  <sheetViews>
    <sheetView zoomScale="80" zoomScaleNormal="80" zoomScaleSheetLayoutView="100" workbookViewId="0">
      <selection activeCell="K6" sqref="K6"/>
    </sheetView>
  </sheetViews>
  <sheetFormatPr defaultColWidth="11.5703125" defaultRowHeight="15" x14ac:dyDescent="0.25"/>
  <cols>
    <col min="1" max="1" width="11.5703125" style="432"/>
    <col min="2" max="2" width="15.7109375" style="432" customWidth="1"/>
    <col min="3" max="3" width="18.5703125" style="432" customWidth="1"/>
    <col min="4" max="4" width="13.42578125" style="432" customWidth="1"/>
    <col min="5" max="5" width="18.85546875" style="432" customWidth="1"/>
    <col min="6" max="6" width="12.140625" style="432" customWidth="1"/>
    <col min="7" max="7" width="0.5703125" style="432" customWidth="1"/>
    <col min="8" max="8" width="14" style="432" bestFit="1" customWidth="1"/>
    <col min="9" max="9" width="11.5703125" style="432"/>
    <col min="10" max="10" width="21.42578125" style="432" customWidth="1"/>
    <col min="11" max="11" width="20.28515625" style="432" customWidth="1"/>
    <col min="12" max="12" width="15.5703125" style="432" customWidth="1"/>
    <col min="13" max="13" width="15.85546875" style="432" customWidth="1"/>
    <col min="14" max="14" width="13.140625" style="432" customWidth="1"/>
    <col min="15" max="15" width="15.140625" style="432" customWidth="1"/>
    <col min="16" max="16" width="11.5703125" style="432"/>
    <col min="17" max="17" width="16.7109375" style="432" customWidth="1"/>
    <col min="18" max="16384" width="11.5703125" style="432"/>
  </cols>
  <sheetData>
    <row r="1" spans="1:15" ht="15.75" thickBot="1" x14ac:dyDescent="0.3"/>
    <row r="2" spans="1:15" ht="21.75" thickBot="1" x14ac:dyDescent="0.4">
      <c r="A2" s="433" t="s">
        <v>64</v>
      </c>
      <c r="B2" s="434"/>
      <c r="C2" s="434"/>
      <c r="D2" s="434"/>
      <c r="E2" s="434"/>
      <c r="F2" s="434"/>
      <c r="G2" s="434"/>
      <c r="H2" s="434" t="s">
        <v>79</v>
      </c>
      <c r="I2" s="434"/>
      <c r="J2" s="434" t="s">
        <v>80</v>
      </c>
      <c r="K2" s="522"/>
      <c r="L2" s="434"/>
      <c r="M2" s="434" t="s">
        <v>81</v>
      </c>
      <c r="N2" s="522"/>
      <c r="O2" s="436"/>
    </row>
    <row r="3" spans="1:15" ht="15.75" thickBot="1" x14ac:dyDescent="0.3">
      <c r="A3" s="437"/>
      <c r="B3" s="438"/>
      <c r="C3" s="438" t="s">
        <v>63</v>
      </c>
      <c r="D3" s="438"/>
      <c r="E3" s="438"/>
      <c r="F3" s="438"/>
      <c r="G3" s="438"/>
      <c r="H3" s="438"/>
      <c r="I3" s="434"/>
      <c r="J3" s="434"/>
      <c r="K3" s="434"/>
      <c r="L3" s="434"/>
      <c r="M3" s="434"/>
      <c r="N3" s="434"/>
      <c r="O3" s="436"/>
    </row>
    <row r="4" spans="1:15" x14ac:dyDescent="0.25">
      <c r="A4" s="439"/>
      <c r="B4" s="440"/>
      <c r="C4" s="440"/>
      <c r="D4" s="440"/>
      <c r="E4" s="440"/>
      <c r="F4" s="440"/>
      <c r="G4" s="440"/>
      <c r="H4" s="440"/>
      <c r="I4" s="441" t="s">
        <v>83</v>
      </c>
      <c r="J4" s="442"/>
      <c r="K4" s="442"/>
      <c r="L4" s="442"/>
      <c r="M4" s="442"/>
      <c r="N4" s="442"/>
      <c r="O4" s="443"/>
    </row>
    <row r="5" spans="1:15" ht="15.75" x14ac:dyDescent="0.25">
      <c r="A5" s="479" t="s">
        <v>66</v>
      </c>
      <c r="B5" s="444"/>
      <c r="C5" s="467">
        <f>'Table 1-A Sources of evidences'!$F$2</f>
        <v>0</v>
      </c>
      <c r="D5" s="444"/>
      <c r="E5" s="445"/>
      <c r="F5" s="446"/>
      <c r="G5" s="444"/>
      <c r="H5" s="444"/>
      <c r="I5" s="447"/>
      <c r="J5" s="448"/>
      <c r="K5" s="448"/>
      <c r="L5" s="448"/>
      <c r="M5" s="448" t="s">
        <v>82</v>
      </c>
      <c r="N5" s="448"/>
      <c r="O5" s="449"/>
    </row>
    <row r="6" spans="1:15" ht="15.75" x14ac:dyDescent="0.25">
      <c r="A6" s="480" t="s">
        <v>74</v>
      </c>
      <c r="B6" s="450"/>
      <c r="C6" s="435"/>
      <c r="D6" s="450"/>
      <c r="E6" s="65" t="s">
        <v>76</v>
      </c>
      <c r="F6" s="451"/>
      <c r="G6" s="450"/>
      <c r="H6" s="450"/>
      <c r="I6" s="482" t="s">
        <v>84</v>
      </c>
      <c r="J6" s="483"/>
      <c r="K6" s="452"/>
      <c r="L6" s="448"/>
      <c r="M6" s="550"/>
      <c r="N6" s="551"/>
      <c r="O6" s="551"/>
    </row>
    <row r="7" spans="1:15" ht="15.75" x14ac:dyDescent="0.25">
      <c r="A7" s="480" t="s">
        <v>75</v>
      </c>
      <c r="B7" s="450"/>
      <c r="C7" s="435"/>
      <c r="D7" s="450"/>
      <c r="E7" s="444"/>
      <c r="F7" s="453"/>
      <c r="G7" s="450"/>
      <c r="H7" s="450"/>
      <c r="I7" s="482" t="s">
        <v>85</v>
      </c>
      <c r="J7" s="483"/>
      <c r="K7" s="454"/>
      <c r="L7" s="448"/>
      <c r="M7" s="551"/>
      <c r="N7" s="551"/>
      <c r="O7" s="551"/>
    </row>
    <row r="8" spans="1:15" x14ac:dyDescent="0.25">
      <c r="A8" s="439"/>
      <c r="B8" s="440"/>
      <c r="C8" s="440"/>
      <c r="D8" s="440"/>
      <c r="E8" s="440"/>
      <c r="F8" s="440"/>
      <c r="G8" s="440"/>
      <c r="H8" s="440"/>
      <c r="I8" s="482" t="s">
        <v>272</v>
      </c>
      <c r="J8" s="483"/>
      <c r="K8" s="454"/>
      <c r="L8" s="448"/>
      <c r="M8" s="551"/>
      <c r="N8" s="551"/>
      <c r="O8" s="551"/>
    </row>
    <row r="9" spans="1:15" ht="48" customHeight="1" thickBot="1" x14ac:dyDescent="0.3">
      <c r="A9" s="481" t="s">
        <v>77</v>
      </c>
      <c r="B9" s="444"/>
      <c r="C9" s="468" t="str">
        <f>'Table 1-A Sources of evidences'!$B$4</f>
        <v/>
      </c>
      <c r="D9" s="444"/>
      <c r="E9" s="444"/>
      <c r="F9" s="444"/>
      <c r="G9" s="444"/>
      <c r="H9" s="444"/>
      <c r="I9" s="564" t="s">
        <v>86</v>
      </c>
      <c r="J9" s="565"/>
      <c r="K9" s="454"/>
      <c r="L9" s="448"/>
      <c r="M9" s="552"/>
      <c r="N9" s="552"/>
      <c r="O9" s="552"/>
    </row>
    <row r="10" spans="1:15" x14ac:dyDescent="0.25">
      <c r="A10" s="455"/>
      <c r="B10" s="456"/>
      <c r="C10" s="456"/>
      <c r="D10" s="456"/>
      <c r="E10" s="456"/>
      <c r="F10" s="456"/>
      <c r="G10" s="456"/>
      <c r="H10" s="457"/>
      <c r="I10" s="458"/>
      <c r="J10" s="458"/>
      <c r="K10" s="456"/>
      <c r="L10" s="456"/>
      <c r="M10" s="456"/>
      <c r="N10" s="456"/>
      <c r="O10" s="456"/>
    </row>
    <row r="11" spans="1:15" x14ac:dyDescent="0.25">
      <c r="A11" s="440"/>
      <c r="B11" s="456"/>
      <c r="C11" s="456"/>
      <c r="D11" s="456"/>
      <c r="E11" s="456"/>
      <c r="F11" s="456"/>
      <c r="G11" s="459"/>
      <c r="H11" s="553" t="s">
        <v>87</v>
      </c>
      <c r="I11" s="553"/>
      <c r="J11" s="553"/>
      <c r="K11" s="484" t="s">
        <v>88</v>
      </c>
      <c r="L11" s="484" t="s">
        <v>89</v>
      </c>
      <c r="M11" s="484" t="s">
        <v>90</v>
      </c>
      <c r="N11" s="456"/>
      <c r="O11" s="456"/>
    </row>
    <row r="12" spans="1:15" x14ac:dyDescent="0.25">
      <c r="A12" s="439"/>
      <c r="B12" s="440"/>
      <c r="C12" s="440"/>
      <c r="D12" s="455" t="s">
        <v>78</v>
      </c>
      <c r="E12" s="440"/>
      <c r="F12" s="440"/>
      <c r="G12" s="440"/>
      <c r="H12" s="485" t="s">
        <v>80</v>
      </c>
      <c r="I12" s="486" t="s">
        <v>91</v>
      </c>
      <c r="J12" s="460"/>
      <c r="K12" s="461"/>
      <c r="L12" s="461"/>
      <c r="M12" s="461"/>
      <c r="N12" s="456"/>
      <c r="O12" s="456"/>
    </row>
    <row r="13" spans="1:15" x14ac:dyDescent="0.25">
      <c r="A13" s="439"/>
      <c r="B13" s="440"/>
      <c r="C13" s="440"/>
      <c r="D13" s="440"/>
      <c r="E13" s="440"/>
      <c r="F13" s="440"/>
      <c r="G13" s="440"/>
      <c r="H13" s="487" t="s">
        <v>81</v>
      </c>
      <c r="I13" s="486" t="s">
        <v>91</v>
      </c>
      <c r="J13" s="460"/>
      <c r="K13" s="461"/>
      <c r="L13" s="461"/>
      <c r="M13" s="461"/>
      <c r="N13" s="456"/>
      <c r="O13" s="456"/>
    </row>
    <row r="14" spans="1:15" ht="23.25" customHeight="1" thickBot="1" x14ac:dyDescent="0.3">
      <c r="A14" s="561"/>
      <c r="B14" s="562"/>
      <c r="C14" s="562"/>
      <c r="D14" s="562"/>
      <c r="E14" s="562"/>
      <c r="F14" s="562"/>
      <c r="G14" s="562"/>
      <c r="H14" s="562"/>
      <c r="I14" s="562"/>
      <c r="J14" s="562"/>
      <c r="K14" s="562"/>
      <c r="L14" s="562"/>
      <c r="M14" s="562"/>
      <c r="N14" s="562"/>
      <c r="O14" s="563"/>
    </row>
    <row r="15" spans="1:15" s="462" customFormat="1" ht="29.1" customHeight="1" x14ac:dyDescent="0.25">
      <c r="A15" s="556" t="s">
        <v>92</v>
      </c>
      <c r="B15" s="554" t="s">
        <v>93</v>
      </c>
      <c r="C15" s="568" t="s">
        <v>94</v>
      </c>
      <c r="D15" s="569"/>
      <c r="E15" s="569"/>
      <c r="F15" s="570"/>
      <c r="G15" s="488"/>
      <c r="H15" s="568" t="s">
        <v>95</v>
      </c>
      <c r="I15" s="569"/>
      <c r="J15" s="570"/>
      <c r="K15" s="558" t="s">
        <v>96</v>
      </c>
      <c r="L15" s="559"/>
      <c r="M15" s="559"/>
      <c r="N15" s="559"/>
      <c r="O15" s="560"/>
    </row>
    <row r="16" spans="1:15" s="462" customFormat="1" ht="29.1" customHeight="1" x14ac:dyDescent="0.25">
      <c r="A16" s="557"/>
      <c r="B16" s="555"/>
      <c r="C16" s="571"/>
      <c r="D16" s="572"/>
      <c r="E16" s="572"/>
      <c r="F16" s="573"/>
      <c r="G16" s="488"/>
      <c r="H16" s="571"/>
      <c r="I16" s="572"/>
      <c r="J16" s="573"/>
      <c r="K16" s="488" t="s">
        <v>97</v>
      </c>
      <c r="L16" s="488" t="s">
        <v>98</v>
      </c>
      <c r="M16" s="488" t="s">
        <v>99</v>
      </c>
      <c r="N16" s="488" t="s">
        <v>100</v>
      </c>
      <c r="O16" s="488" t="s">
        <v>101</v>
      </c>
    </row>
    <row r="17" spans="1:16" s="463" customFormat="1" ht="393" customHeight="1" x14ac:dyDescent="0.25">
      <c r="A17" s="566" t="s">
        <v>111</v>
      </c>
      <c r="B17" s="489" t="s">
        <v>280</v>
      </c>
      <c r="C17" s="541" t="s">
        <v>102</v>
      </c>
      <c r="D17" s="542"/>
      <c r="E17" s="542"/>
      <c r="F17" s="543"/>
      <c r="G17" s="490"/>
      <c r="H17" s="544" t="s">
        <v>105</v>
      </c>
      <c r="I17" s="545"/>
      <c r="J17" s="546"/>
      <c r="K17" s="491" t="s">
        <v>103</v>
      </c>
      <c r="L17" s="491" t="s">
        <v>103</v>
      </c>
      <c r="M17" s="491" t="s">
        <v>103</v>
      </c>
      <c r="N17" s="491" t="s">
        <v>103</v>
      </c>
      <c r="O17" s="491" t="s">
        <v>105</v>
      </c>
    </row>
    <row r="18" spans="1:16" ht="294" customHeight="1" x14ac:dyDescent="0.25">
      <c r="A18" s="567"/>
      <c r="B18" s="489" t="s">
        <v>104</v>
      </c>
      <c r="C18" s="541" t="s">
        <v>102</v>
      </c>
      <c r="D18" s="542"/>
      <c r="E18" s="542"/>
      <c r="F18" s="543"/>
      <c r="G18" s="490"/>
      <c r="H18" s="544" t="s">
        <v>105</v>
      </c>
      <c r="I18" s="545"/>
      <c r="J18" s="546"/>
      <c r="K18" s="491" t="s">
        <v>103</v>
      </c>
      <c r="L18" s="491" t="s">
        <v>103</v>
      </c>
      <c r="M18" s="491" t="s">
        <v>103</v>
      </c>
      <c r="N18" s="491" t="s">
        <v>103</v>
      </c>
      <c r="O18" s="491" t="s">
        <v>105</v>
      </c>
    </row>
    <row r="19" spans="1:16" ht="303" customHeight="1" x14ac:dyDescent="0.25">
      <c r="A19" s="567"/>
      <c r="B19" s="489" t="s">
        <v>106</v>
      </c>
      <c r="C19" s="541" t="s">
        <v>102</v>
      </c>
      <c r="D19" s="542"/>
      <c r="E19" s="542"/>
      <c r="F19" s="543"/>
      <c r="G19" s="490"/>
      <c r="H19" s="544" t="s">
        <v>107</v>
      </c>
      <c r="I19" s="545"/>
      <c r="J19" s="546"/>
      <c r="K19" s="491" t="s">
        <v>103</v>
      </c>
      <c r="L19" s="491" t="s">
        <v>103</v>
      </c>
      <c r="M19" s="491" t="s">
        <v>103</v>
      </c>
      <c r="N19" s="491" t="s">
        <v>103</v>
      </c>
      <c r="O19" s="491" t="s">
        <v>105</v>
      </c>
    </row>
    <row r="20" spans="1:16" ht="90" customHeight="1" x14ac:dyDescent="0.25">
      <c r="A20" s="567"/>
      <c r="B20" s="489" t="s">
        <v>108</v>
      </c>
      <c r="C20" s="541" t="s">
        <v>102</v>
      </c>
      <c r="D20" s="542"/>
      <c r="E20" s="542"/>
      <c r="F20" s="543"/>
      <c r="G20" s="490"/>
      <c r="H20" s="544" t="s">
        <v>105</v>
      </c>
      <c r="I20" s="545"/>
      <c r="J20" s="546"/>
      <c r="K20" s="491" t="s">
        <v>103</v>
      </c>
      <c r="L20" s="491" t="s">
        <v>103</v>
      </c>
      <c r="M20" s="491" t="s">
        <v>103</v>
      </c>
      <c r="N20" s="491" t="s">
        <v>103</v>
      </c>
      <c r="O20" s="491" t="s">
        <v>105</v>
      </c>
    </row>
    <row r="21" spans="1:16" ht="59.25" customHeight="1" x14ac:dyDescent="0.25">
      <c r="A21" s="567"/>
      <c r="B21" s="492" t="s">
        <v>109</v>
      </c>
      <c r="C21" s="547" t="s">
        <v>110</v>
      </c>
      <c r="D21" s="548"/>
      <c r="E21" s="548"/>
      <c r="F21" s="549"/>
      <c r="G21" s="493"/>
      <c r="H21" s="547" t="s">
        <v>105</v>
      </c>
      <c r="I21" s="548"/>
      <c r="J21" s="548"/>
      <c r="K21" s="549" t="s">
        <v>103</v>
      </c>
      <c r="L21" s="547" t="s">
        <v>103</v>
      </c>
      <c r="M21" s="548" t="s">
        <v>103</v>
      </c>
      <c r="N21" s="548" t="s">
        <v>103</v>
      </c>
      <c r="O21" s="549" t="s">
        <v>105</v>
      </c>
      <c r="P21" s="464"/>
    </row>
    <row r="22" spans="1:16" ht="14.1" customHeight="1" x14ac:dyDescent="0.25">
      <c r="A22" s="465"/>
      <c r="B22" s="466"/>
      <c r="C22" s="466"/>
      <c r="D22" s="466"/>
      <c r="E22" s="466"/>
      <c r="F22" s="466"/>
      <c r="G22" s="466"/>
      <c r="H22" s="466"/>
      <c r="I22" s="466"/>
      <c r="J22" s="466"/>
      <c r="K22" s="466"/>
      <c r="L22" s="466"/>
      <c r="M22" s="466"/>
      <c r="N22" s="466"/>
      <c r="O22" s="466"/>
    </row>
    <row r="24" spans="1:16" ht="32.25" customHeight="1" x14ac:dyDescent="0.25"/>
    <row r="25" spans="1:16" ht="36.75" hidden="1" customHeight="1" x14ac:dyDescent="0.25"/>
    <row r="26" spans="1:16" ht="36.75" hidden="1" customHeight="1" x14ac:dyDescent="0.25"/>
    <row r="27" spans="1:16" ht="36.75" hidden="1" customHeight="1" x14ac:dyDescent="0.25">
      <c r="K27" t="s">
        <v>13</v>
      </c>
    </row>
    <row r="28" spans="1:16" ht="36.75" hidden="1" customHeight="1" x14ac:dyDescent="0.25">
      <c r="K28" t="s">
        <v>112</v>
      </c>
    </row>
    <row r="29" spans="1:16" ht="36.75" hidden="1" customHeight="1" x14ac:dyDescent="0.25">
      <c r="K29" t="s">
        <v>113</v>
      </c>
    </row>
    <row r="30" spans="1:16" ht="36.75" hidden="1" customHeight="1" x14ac:dyDescent="0.25">
      <c r="K30" t="s">
        <v>114</v>
      </c>
    </row>
    <row r="31" spans="1:16" ht="36.75" hidden="1" customHeight="1" x14ac:dyDescent="0.25">
      <c r="K31" t="s">
        <v>115</v>
      </c>
    </row>
    <row r="32" spans="1:16" ht="36.75" hidden="1" customHeight="1" x14ac:dyDescent="0.25">
      <c r="K32">
        <v>1</v>
      </c>
    </row>
    <row r="33" spans="11:11" ht="36.75" hidden="1" customHeight="1" x14ac:dyDescent="0.25">
      <c r="K33">
        <v>2</v>
      </c>
    </row>
    <row r="34" spans="11:11" ht="36.75" hidden="1" customHeight="1" x14ac:dyDescent="0.25">
      <c r="K34">
        <v>3</v>
      </c>
    </row>
    <row r="35" spans="11:11" ht="36.75" hidden="1" customHeight="1" x14ac:dyDescent="0.25">
      <c r="K35">
        <v>4</v>
      </c>
    </row>
    <row r="36" spans="11:11" ht="36.75" hidden="1" customHeight="1" x14ac:dyDescent="0.25">
      <c r="K36">
        <v>5</v>
      </c>
    </row>
    <row r="37" spans="11:11" ht="36.75" hidden="1" customHeight="1" x14ac:dyDescent="0.25"/>
  </sheetData>
  <sheetProtection formatCells="0" formatColumns="0" formatRows="0" insertRows="0"/>
  <protectedRanges>
    <protectedRange sqref="C6:C7 C9 K6:K9 M6 K12:M13" name="Range3"/>
    <protectedRange sqref="N2" name="Range2"/>
    <protectedRange sqref="K2 F6" name="Range1"/>
    <protectedRange sqref="B17:O21" name="Range1_1"/>
  </protectedRanges>
  <dataConsolidate/>
  <mergeCells count="21">
    <mergeCell ref="L21:O21"/>
    <mergeCell ref="M6:O9"/>
    <mergeCell ref="H11:J11"/>
    <mergeCell ref="B15:B16"/>
    <mergeCell ref="A15:A16"/>
    <mergeCell ref="K15:O15"/>
    <mergeCell ref="A14:O14"/>
    <mergeCell ref="I9:J9"/>
    <mergeCell ref="A17:A21"/>
    <mergeCell ref="H15:J16"/>
    <mergeCell ref="C15:F16"/>
    <mergeCell ref="H18:J18"/>
    <mergeCell ref="H19:J19"/>
    <mergeCell ref="C17:F17"/>
    <mergeCell ref="C18:F18"/>
    <mergeCell ref="C19:F19"/>
    <mergeCell ref="C20:F20"/>
    <mergeCell ref="H20:J20"/>
    <mergeCell ref="C21:F21"/>
    <mergeCell ref="H17:J17"/>
    <mergeCell ref="H21:K21"/>
  </mergeCells>
  <conditionalFormatting sqref="K12:M13">
    <cfRule type="cellIs" dxfId="976" priority="1" operator="equal">
      <formula>0</formula>
    </cfRule>
    <cfRule type="cellIs" dxfId="975" priority="2" operator="equal">
      <formula>5</formula>
    </cfRule>
    <cfRule type="cellIs" dxfId="974" priority="3" operator="equal">
      <formula>4</formula>
    </cfRule>
    <cfRule type="cellIs" dxfId="973" priority="4" operator="equal">
      <formula>3</formula>
    </cfRule>
    <cfRule type="cellIs" dxfId="972" priority="5" operator="equal">
      <formula>2</formula>
    </cfRule>
    <cfRule type="cellIs" dxfId="971" priority="6" operator="equal">
      <formula>1</formula>
    </cfRule>
  </conditionalFormatting>
  <dataValidations count="2">
    <dataValidation type="list" allowBlank="1" showInputMessage="1" showErrorMessage="1" sqref="K6" xr:uid="{00000000-0002-0000-0100-000000000000}">
      <formula1>$K$27:$K$29</formula1>
    </dataValidation>
    <dataValidation type="list" allowBlank="1" showInputMessage="1" showErrorMessage="1" sqref="K7:K9" xr:uid="{00000000-0002-0000-0100-000001000000}">
      <formula1>$K$30:$K$31</formula1>
    </dataValidation>
  </dataValidations>
  <pageMargins left="0.7" right="0.7" top="0.75" bottom="0.75" header="0.3" footer="0.3"/>
  <pageSetup paperSize="9" scale="47"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89"/>
  <sheetViews>
    <sheetView view="pageBreakPreview" zoomScale="85" zoomScaleSheetLayoutView="85" workbookViewId="0">
      <selection activeCell="D8" sqref="D8:E8"/>
    </sheetView>
  </sheetViews>
  <sheetFormatPr defaultColWidth="11.5703125" defaultRowHeight="15" x14ac:dyDescent="0.25"/>
  <cols>
    <col min="2" max="2" width="11.85546875" style="125" customWidth="1"/>
    <col min="3" max="3" width="29.42578125" customWidth="1"/>
    <col min="4" max="4" width="12.5703125" bestFit="1" customWidth="1"/>
    <col min="5" max="5" width="12.140625" customWidth="1"/>
    <col min="11" max="11" width="16.28515625" customWidth="1"/>
    <col min="12" max="12" width="53.140625" style="290" customWidth="1"/>
    <col min="13" max="13" width="23" customWidth="1"/>
    <col min="14" max="14" width="14.140625" customWidth="1"/>
    <col min="15" max="15" width="11.5703125" style="135"/>
  </cols>
  <sheetData>
    <row r="1" spans="1:15" ht="16.5" thickBot="1" x14ac:dyDescent="0.3">
      <c r="A1" s="3"/>
      <c r="B1" s="126"/>
      <c r="C1" s="3"/>
      <c r="D1" s="3"/>
      <c r="E1" s="3"/>
      <c r="F1" s="3"/>
      <c r="G1" s="3"/>
      <c r="H1" s="3"/>
      <c r="I1" s="3"/>
      <c r="J1" s="3"/>
      <c r="K1" s="3"/>
      <c r="L1" s="284"/>
      <c r="M1" s="3"/>
      <c r="N1" s="3"/>
      <c r="O1" s="130"/>
    </row>
    <row r="2" spans="1:15" ht="26.25" x14ac:dyDescent="0.4">
      <c r="A2" s="539" t="s">
        <v>116</v>
      </c>
      <c r="B2" s="540"/>
      <c r="C2" s="540"/>
      <c r="D2" s="540"/>
      <c r="E2" s="540"/>
      <c r="F2" s="540"/>
      <c r="G2" s="540"/>
      <c r="H2" s="540"/>
      <c r="I2" s="540"/>
      <c r="J2" s="540"/>
      <c r="K2" s="540"/>
      <c r="L2" s="540"/>
      <c r="M2" s="540"/>
      <c r="N2" s="540"/>
      <c r="O2" s="586"/>
    </row>
    <row r="3" spans="1:15" ht="15.75" x14ac:dyDescent="0.25">
      <c r="A3" s="58"/>
      <c r="B3" s="127"/>
      <c r="C3" s="59"/>
      <c r="D3" s="59"/>
      <c r="E3" s="59"/>
      <c r="F3" s="59"/>
      <c r="G3" s="60"/>
      <c r="H3" s="61"/>
      <c r="I3" s="59"/>
      <c r="J3" s="61"/>
      <c r="K3" s="61"/>
      <c r="L3" s="285"/>
      <c r="M3" s="61"/>
      <c r="N3" s="61"/>
      <c r="O3" s="131"/>
    </row>
    <row r="4" spans="1:15" ht="15.75" x14ac:dyDescent="0.25">
      <c r="A4" s="479" t="s">
        <v>66</v>
      </c>
      <c r="B4" s="128"/>
      <c r="C4" s="62"/>
      <c r="D4" s="590">
        <f>'Table 1-B  Context Analysis'!$C$5</f>
        <v>0</v>
      </c>
      <c r="E4" s="590"/>
      <c r="F4" s="70"/>
      <c r="G4" s="61"/>
      <c r="H4" s="61"/>
      <c r="I4" s="70"/>
      <c r="J4" s="61"/>
      <c r="K4" s="61"/>
      <c r="L4" s="285"/>
      <c r="M4" s="61"/>
      <c r="N4" s="61"/>
      <c r="O4" s="131"/>
    </row>
    <row r="5" spans="1:15" ht="15.75" x14ac:dyDescent="0.25">
      <c r="A5" s="480" t="s">
        <v>74</v>
      </c>
      <c r="B5" s="129"/>
      <c r="C5" s="63"/>
      <c r="D5" s="591">
        <f>'Table 1-B  Context Analysis'!$C$6</f>
        <v>0</v>
      </c>
      <c r="E5" s="591"/>
      <c r="F5" s="70"/>
      <c r="G5" s="61"/>
      <c r="H5" s="61"/>
      <c r="I5" s="70"/>
      <c r="J5" s="61"/>
      <c r="K5" s="61"/>
      <c r="L5" s="285"/>
      <c r="M5" s="61"/>
      <c r="N5" s="61"/>
      <c r="O5" s="131"/>
    </row>
    <row r="6" spans="1:15" ht="15.75" x14ac:dyDescent="0.25">
      <c r="A6" s="480" t="s">
        <v>75</v>
      </c>
      <c r="B6" s="129"/>
      <c r="C6" s="63"/>
      <c r="D6" s="591">
        <f>'Table 1-B  Context Analysis'!$C$7</f>
        <v>0</v>
      </c>
      <c r="E6" s="591"/>
      <c r="F6" s="70"/>
      <c r="G6" s="61"/>
      <c r="H6" s="61"/>
      <c r="I6" s="70"/>
      <c r="J6" s="61"/>
      <c r="K6" s="61"/>
      <c r="L6" s="285"/>
      <c r="M6" s="61"/>
      <c r="N6" s="61"/>
      <c r="O6" s="131"/>
    </row>
    <row r="7" spans="1:15" ht="15.75" x14ac:dyDescent="0.25">
      <c r="A7" s="58"/>
      <c r="B7" s="127"/>
      <c r="C7" s="59"/>
      <c r="D7" s="59"/>
      <c r="E7" s="59"/>
      <c r="F7" s="59"/>
      <c r="G7" s="61"/>
      <c r="H7" s="61"/>
      <c r="I7" s="59"/>
      <c r="J7" s="61"/>
      <c r="K7" s="61"/>
      <c r="L7" s="285"/>
      <c r="M7" s="61"/>
      <c r="N7" s="61"/>
      <c r="O7" s="131"/>
    </row>
    <row r="8" spans="1:15" ht="15.75" x14ac:dyDescent="0.25">
      <c r="A8" s="115" t="s">
        <v>117</v>
      </c>
      <c r="B8" s="128"/>
      <c r="C8" s="62"/>
      <c r="D8" s="592" t="str">
        <f>'Table 1-B  Context Analysis'!$C$9</f>
        <v/>
      </c>
      <c r="E8" s="592"/>
      <c r="F8" s="70"/>
      <c r="G8" s="61"/>
      <c r="H8" s="61"/>
      <c r="I8" s="70"/>
      <c r="J8" s="61"/>
      <c r="K8" s="61"/>
      <c r="L8" s="285"/>
      <c r="M8" s="61"/>
      <c r="N8" s="61"/>
      <c r="O8" s="131"/>
    </row>
    <row r="9" spans="1:15" ht="15.75" x14ac:dyDescent="0.25">
      <c r="A9" s="58"/>
      <c r="B9" s="127"/>
      <c r="C9" s="59"/>
      <c r="D9" s="59"/>
      <c r="E9" s="59"/>
      <c r="F9" s="59"/>
      <c r="G9" s="59"/>
      <c r="H9" s="59"/>
      <c r="I9" s="59"/>
      <c r="J9" s="59"/>
      <c r="K9" s="59"/>
      <c r="L9" s="286"/>
      <c r="M9" s="59"/>
      <c r="N9" s="59"/>
      <c r="O9" s="132"/>
    </row>
    <row r="10" spans="1:15" ht="23.25" customHeight="1" thickBot="1" x14ac:dyDescent="0.3">
      <c r="A10" s="587" t="s">
        <v>118</v>
      </c>
      <c r="B10" s="588"/>
      <c r="C10" s="588"/>
      <c r="D10" s="588"/>
      <c r="E10" s="588"/>
      <c r="F10" s="588"/>
      <c r="G10" s="588"/>
      <c r="H10" s="588"/>
      <c r="I10" s="588"/>
      <c r="J10" s="588"/>
      <c r="K10" s="588"/>
      <c r="L10" s="588"/>
      <c r="M10" s="588"/>
      <c r="N10" s="588"/>
      <c r="O10" s="589"/>
    </row>
    <row r="11" spans="1:15" s="2" customFormat="1" ht="71.25" customHeight="1" x14ac:dyDescent="0.25">
      <c r="A11" s="494" t="s">
        <v>119</v>
      </c>
      <c r="B11" s="495" t="s">
        <v>120</v>
      </c>
      <c r="C11" s="495" t="s">
        <v>69</v>
      </c>
      <c r="D11" s="580" t="s">
        <v>1</v>
      </c>
      <c r="E11" s="582"/>
      <c r="F11" s="580" t="s">
        <v>70</v>
      </c>
      <c r="G11" s="581"/>
      <c r="H11" s="582"/>
      <c r="I11" s="495" t="s">
        <v>71</v>
      </c>
      <c r="J11" s="495" t="s">
        <v>121</v>
      </c>
      <c r="K11" s="496" t="s">
        <v>273</v>
      </c>
      <c r="L11" s="495" t="s">
        <v>122</v>
      </c>
      <c r="M11" s="495" t="s">
        <v>123</v>
      </c>
      <c r="N11" s="495" t="s">
        <v>124</v>
      </c>
      <c r="O11" s="495" t="s">
        <v>125</v>
      </c>
    </row>
    <row r="12" spans="1:15" s="17" customFormat="1" ht="48.75" customHeight="1" x14ac:dyDescent="0.25">
      <c r="A12" s="577" t="s">
        <v>201</v>
      </c>
      <c r="B12" s="240"/>
      <c r="C12" s="120" t="e">
        <f>VLOOKUP($B12,'Table 1-A Sources of evidences'!$A$6:$G$31,2,FALSE)</f>
        <v>#N/A</v>
      </c>
      <c r="D12" s="574" t="e">
        <f>VLOOKUP($B12,'Table 1-A Sources of evidences'!$A$6:$G$31,3,FALSE)</f>
        <v>#N/A</v>
      </c>
      <c r="E12" s="575"/>
      <c r="F12" s="574" t="e">
        <f>VLOOKUP($B12,'Table 1-A Sources of evidences'!$A$6:$G$31,4,FALSE)</f>
        <v>#N/A</v>
      </c>
      <c r="G12" s="576"/>
      <c r="H12" s="575"/>
      <c r="I12" s="120" t="e">
        <f>VLOOKUP($B12,'Table 1-A Sources of evidences'!$A$6:$G$31,5,FALSE)</f>
        <v>#N/A</v>
      </c>
      <c r="J12" s="120" t="e">
        <f>VLOOKUP($B12,'Table 1-A Sources of evidences'!$A$6:$G$31,6,FALSE)</f>
        <v>#N/A</v>
      </c>
      <c r="K12" s="476"/>
      <c r="L12" s="523"/>
      <c r="M12" s="201"/>
      <c r="N12" s="201"/>
      <c r="O12" s="133" t="str">
        <f>IF(M12="V-nu","R0",IF(AND(M12="V1",N12="T1"),"R0",IF(AND(M12="V1",N12="T2"),"R1",IF(AND(M12="V1",N12="T3"),"R1",IF(AND(M12="V2",N12="T1"),"R1",IF(AND(M12="V2",N12="T2"),"R2",IF(AND(M12="V2",N12="T3"),"R2",IF(AND(M12="V3",N12="T1"),"F1",IF(AND(M12="V3",N12="T2"),"R2",IF(AND(M12="V3",N12="T3"),"R3","erreur"))))))))))</f>
        <v>erreur</v>
      </c>
    </row>
    <row r="13" spans="1:15" s="17" customFormat="1" ht="42" customHeight="1" x14ac:dyDescent="0.25">
      <c r="A13" s="578"/>
      <c r="B13" s="279"/>
      <c r="C13" s="120" t="e">
        <f>VLOOKUP($B13,'Table 1-A Sources of evidences'!$A$6:$G$31,2,FALSE)</f>
        <v>#N/A</v>
      </c>
      <c r="D13" s="574" t="e">
        <f>VLOOKUP($B13,'Table 1-A Sources of evidences'!$A$6:$G$31,3,FALSE)</f>
        <v>#N/A</v>
      </c>
      <c r="E13" s="575"/>
      <c r="F13" s="574" t="e">
        <f>VLOOKUP($B13,'Table 1-A Sources of evidences'!$A$6:$G$31,4,FALSE)</f>
        <v>#N/A</v>
      </c>
      <c r="G13" s="576"/>
      <c r="H13" s="575"/>
      <c r="I13" s="120" t="e">
        <f>VLOOKUP($B13,'Table 1-A Sources of evidences'!$A$6:$G$31,5,FALSE)</f>
        <v>#N/A</v>
      </c>
      <c r="J13" s="120" t="e">
        <f>VLOOKUP($B13,'Table 1-A Sources of evidences'!$A$6:$G$31,6,FALSE)</f>
        <v>#N/A</v>
      </c>
      <c r="K13" s="476"/>
      <c r="L13" s="287"/>
      <c r="M13" s="201"/>
      <c r="N13" s="201"/>
      <c r="O13" s="133" t="str">
        <f>IF(M13="V-nu","R0",IF(AND(M13="V1",N13="T1"),"R0",IF(AND(M13="V1",N13="T2"),"R1",IF(AND(M13="V1",N13="T3"),"R1",IF(AND(M13="V2",N13="T1"),"R1",IF(AND(M13="V2",N13="T2"),"R2",IF(AND(M13="V2",N13="T3"),"R2",IF(AND(M13="V3",N13="T1"),"F1",IF(AND(M13="V3",N13="T2"),"R2",IF(AND(M13="V3",N13="T3"),"R3","erreur"))))))))))</f>
        <v>erreur</v>
      </c>
    </row>
    <row r="14" spans="1:15" s="17" customFormat="1" ht="39.75" customHeight="1" x14ac:dyDescent="0.25">
      <c r="A14" s="578"/>
      <c r="B14" s="279"/>
      <c r="C14" s="120" t="e">
        <f>VLOOKUP($B14,'Table 1-A Sources of evidences'!$A$6:$G$31,2,FALSE)</f>
        <v>#N/A</v>
      </c>
      <c r="D14" s="574" t="e">
        <f>VLOOKUP($B14,'Table 1-A Sources of evidences'!$A$6:$G$31,3,FALSE)</f>
        <v>#N/A</v>
      </c>
      <c r="E14" s="575"/>
      <c r="F14" s="574" t="e">
        <f>VLOOKUP($B14,'Table 1-A Sources of evidences'!$A$6:$G$31,4,FALSE)</f>
        <v>#N/A</v>
      </c>
      <c r="G14" s="576"/>
      <c r="H14" s="575"/>
      <c r="I14" s="120" t="e">
        <f>VLOOKUP($B14,'Table 1-A Sources of evidences'!$A$6:$G$31,5,FALSE)</f>
        <v>#N/A</v>
      </c>
      <c r="J14" s="120" t="e">
        <f>VLOOKUP($B14,'Table 1-A Sources of evidences'!$A$6:$G$31,6,FALSE)</f>
        <v>#N/A</v>
      </c>
      <c r="K14" s="476"/>
      <c r="L14" s="397"/>
      <c r="M14" s="201"/>
      <c r="N14" s="201"/>
      <c r="O14" s="133" t="str">
        <f t="shared" ref="O14:O77" si="0">IF(M14="V-nu","R0",IF(AND(M14="V1",N14="T1"),"R0",IF(AND(M14="V1",N14="T2"),"R1",IF(AND(M14="V1",N14="T3"),"R1",IF(AND(M14="V2",N14="T1"),"R1",IF(AND(M14="V2",N14="T2"),"R2",IF(AND(M14="V2",N14="T3"),"R2",IF(AND(M14="V3",N14="T1"),"F1",IF(AND(M14="V3",N14="T2"),"R2",IF(AND(M14="V3",N14="T3"),"R3","erreur"))))))))))</f>
        <v>erreur</v>
      </c>
    </row>
    <row r="15" spans="1:15" s="17" customFormat="1" ht="48" customHeight="1" x14ac:dyDescent="0.25">
      <c r="A15" s="578"/>
      <c r="B15" s="279"/>
      <c r="C15" s="120" t="e">
        <f>VLOOKUP($B15,'Table 1-A Sources of evidences'!$A$6:$G$31,2,FALSE)</f>
        <v>#N/A</v>
      </c>
      <c r="D15" s="574" t="e">
        <f>VLOOKUP($B15,'Table 1-A Sources of evidences'!$A$6:$G$31,3,FALSE)</f>
        <v>#N/A</v>
      </c>
      <c r="E15" s="575"/>
      <c r="F15" s="574" t="e">
        <f>VLOOKUP($B15,'Table 1-A Sources of evidences'!$A$6:$G$31,4,FALSE)</f>
        <v>#N/A</v>
      </c>
      <c r="G15" s="576"/>
      <c r="H15" s="575"/>
      <c r="I15" s="120" t="e">
        <f>VLOOKUP($B15,'Table 1-A Sources of evidences'!$A$6:$G$31,5,FALSE)</f>
        <v>#N/A</v>
      </c>
      <c r="J15" s="120" t="e">
        <f>VLOOKUP($B15,'Table 1-A Sources of evidences'!$A$6:$G$31,6,FALSE)</f>
        <v>#N/A</v>
      </c>
      <c r="K15" s="476"/>
      <c r="L15" s="287"/>
      <c r="M15" s="201"/>
      <c r="N15" s="201"/>
      <c r="O15" s="133" t="str">
        <f t="shared" si="0"/>
        <v>erreur</v>
      </c>
    </row>
    <row r="16" spans="1:15" s="17" customFormat="1" ht="32.25" customHeight="1" x14ac:dyDescent="0.25">
      <c r="A16" s="578"/>
      <c r="B16" s="279"/>
      <c r="C16" s="120" t="e">
        <f>VLOOKUP($B16,'Table 1-A Sources of evidences'!$A$6:$G$31,2,FALSE)</f>
        <v>#N/A</v>
      </c>
      <c r="D16" s="574" t="e">
        <f>VLOOKUP($B16,'Table 1-A Sources of evidences'!$A$6:$G$31,3,FALSE)</f>
        <v>#N/A</v>
      </c>
      <c r="E16" s="575"/>
      <c r="F16" s="574" t="e">
        <f>VLOOKUP($B16,'Table 1-A Sources of evidences'!$A$6:$G$31,4,FALSE)</f>
        <v>#N/A</v>
      </c>
      <c r="G16" s="576"/>
      <c r="H16" s="575"/>
      <c r="I16" s="120" t="e">
        <f>VLOOKUP($B16,'Table 1-A Sources of evidences'!$A$6:$G$31,5,FALSE)</f>
        <v>#N/A</v>
      </c>
      <c r="J16" s="120" t="e">
        <f>VLOOKUP($B16,'Table 1-A Sources of evidences'!$A$6:$G$31,6,FALSE)</f>
        <v>#N/A</v>
      </c>
      <c r="K16" s="476"/>
      <c r="L16" s="202"/>
      <c r="M16" s="201"/>
      <c r="N16" s="201"/>
      <c r="O16" s="133" t="str">
        <f t="shared" si="0"/>
        <v>erreur</v>
      </c>
    </row>
    <row r="17" spans="1:15" ht="6.75" customHeight="1" x14ac:dyDescent="0.25">
      <c r="A17" s="578"/>
      <c r="B17" s="164"/>
      <c r="C17" s="165"/>
      <c r="D17" s="596"/>
      <c r="E17" s="597"/>
      <c r="F17" s="596"/>
      <c r="G17" s="598"/>
      <c r="H17" s="597"/>
      <c r="I17" s="165"/>
      <c r="J17" s="165"/>
      <c r="K17" s="166"/>
      <c r="L17" s="288"/>
      <c r="M17" s="167"/>
      <c r="N17" s="167"/>
      <c r="O17" s="168"/>
    </row>
    <row r="18" spans="1:15" ht="32.25" customHeight="1" x14ac:dyDescent="0.25">
      <c r="A18" s="578"/>
      <c r="B18" s="232" t="s">
        <v>63</v>
      </c>
      <c r="C18" s="120" t="e">
        <f>VLOOKUP($B18,'Table 1-A Sources of evidences'!$A$6:$G$31,2,FALSE)</f>
        <v>#N/A</v>
      </c>
      <c r="D18" s="574" t="e">
        <f>VLOOKUP($B18,'Table 1-A Sources of evidences'!$A$6:$G$31,3,FALSE)</f>
        <v>#N/A</v>
      </c>
      <c r="E18" s="575"/>
      <c r="F18" s="574" t="e">
        <f>VLOOKUP($B18,'Table 1-A Sources of evidences'!$A$6:$G$31,4,FALSE)</f>
        <v>#N/A</v>
      </c>
      <c r="G18" s="576"/>
      <c r="H18" s="575"/>
      <c r="I18" s="120" t="e">
        <f>VLOOKUP($B18,'Table 1-A Sources of evidences'!$A$6:$G$31,5,FALSE)</f>
        <v>#N/A</v>
      </c>
      <c r="J18" s="120" t="e">
        <f>VLOOKUP($B18,'Table 1-A Sources of evidences'!$A$6:$G$31,6,FALSE)</f>
        <v>#N/A</v>
      </c>
      <c r="K18" s="476"/>
      <c r="L18" s="536"/>
      <c r="M18" s="201"/>
      <c r="N18" s="201"/>
      <c r="O18" s="133" t="str">
        <f t="shared" si="0"/>
        <v>erreur</v>
      </c>
    </row>
    <row r="19" spans="1:15" s="17" customFormat="1" ht="32.25" customHeight="1" x14ac:dyDescent="0.25">
      <c r="A19" s="578"/>
      <c r="B19" s="279" t="s">
        <v>63</v>
      </c>
      <c r="C19" s="120" t="e">
        <f>VLOOKUP($B19,'Table 1-A Sources of evidences'!$A$6:$G$31,2,FALSE)</f>
        <v>#N/A</v>
      </c>
      <c r="D19" s="574" t="e">
        <f>VLOOKUP($B19,'Table 1-A Sources of evidences'!$A$6:$G$31,3,FALSE)</f>
        <v>#N/A</v>
      </c>
      <c r="E19" s="575"/>
      <c r="F19" s="574" t="e">
        <f>VLOOKUP($B19,'Table 1-A Sources of evidences'!$A$6:$G$31,4,FALSE)</f>
        <v>#N/A</v>
      </c>
      <c r="G19" s="576"/>
      <c r="H19" s="575"/>
      <c r="I19" s="120" t="e">
        <f>VLOOKUP($B19,'Table 1-A Sources of evidences'!$A$6:$G$31,5,FALSE)</f>
        <v>#N/A</v>
      </c>
      <c r="J19" s="120" t="e">
        <f>VLOOKUP($B19,'Table 1-A Sources of evidences'!$A$6:$G$31,6,FALSE)</f>
        <v>#N/A</v>
      </c>
      <c r="K19" s="476"/>
      <c r="L19" s="287"/>
      <c r="M19" s="201"/>
      <c r="N19" s="201"/>
      <c r="O19" s="133" t="str">
        <f t="shared" si="0"/>
        <v>erreur</v>
      </c>
    </row>
    <row r="20" spans="1:15" ht="48" customHeight="1" x14ac:dyDescent="0.25">
      <c r="A20" s="578"/>
      <c r="B20" s="232" t="s">
        <v>63</v>
      </c>
      <c r="C20" s="120" t="e">
        <f>VLOOKUP($B20,'Table 1-A Sources of evidences'!$A$6:$G$31,2,FALSE)</f>
        <v>#N/A</v>
      </c>
      <c r="D20" s="574" t="e">
        <f>VLOOKUP($B20,'Table 1-A Sources of evidences'!$A$6:$G$31,3,FALSE)</f>
        <v>#N/A</v>
      </c>
      <c r="E20" s="575"/>
      <c r="F20" s="574" t="e">
        <f>VLOOKUP($B20,'Table 1-A Sources of evidences'!$A$6:$G$31,4,FALSE)</f>
        <v>#N/A</v>
      </c>
      <c r="G20" s="576"/>
      <c r="H20" s="575"/>
      <c r="I20" s="120" t="e">
        <f>VLOOKUP($B20,'Table 1-A Sources of evidences'!$A$6:$G$31,5,FALSE)</f>
        <v>#N/A</v>
      </c>
      <c r="J20" s="120" t="e">
        <f>VLOOKUP($B20,'Table 1-A Sources of evidences'!$A$6:$G$31,6,FALSE)</f>
        <v>#N/A</v>
      </c>
      <c r="K20" s="476"/>
      <c r="L20" s="537"/>
      <c r="M20" s="201"/>
      <c r="N20" s="201"/>
      <c r="O20" s="133" t="str">
        <f t="shared" si="0"/>
        <v>erreur</v>
      </c>
    </row>
    <row r="21" spans="1:15" ht="32.25" customHeight="1" x14ac:dyDescent="0.25">
      <c r="A21" s="578"/>
      <c r="B21" s="232" t="s">
        <v>63</v>
      </c>
      <c r="C21" s="120" t="e">
        <f>VLOOKUP($B21,'Table 1-A Sources of evidences'!$A$6:$G$31,2,FALSE)</f>
        <v>#N/A</v>
      </c>
      <c r="D21" s="574" t="e">
        <f>VLOOKUP($B21,'Table 1-A Sources of evidences'!$A$6:$G$31,3,FALSE)</f>
        <v>#N/A</v>
      </c>
      <c r="E21" s="575"/>
      <c r="F21" s="574" t="e">
        <f>VLOOKUP($B21,'Table 1-A Sources of evidences'!$A$6:$G$31,4,FALSE)</f>
        <v>#N/A</v>
      </c>
      <c r="G21" s="576"/>
      <c r="H21" s="575"/>
      <c r="I21" s="120" t="e">
        <f>VLOOKUP($B21,'Table 1-A Sources of evidences'!$A$6:$G$31,5,FALSE)</f>
        <v>#N/A</v>
      </c>
      <c r="J21" s="120" t="e">
        <f>VLOOKUP($B21,'Table 1-A Sources of evidences'!$A$6:$G$31,6,FALSE)</f>
        <v>#N/A</v>
      </c>
      <c r="K21" s="476"/>
      <c r="L21" s="536"/>
      <c r="M21" s="201"/>
      <c r="N21" s="201"/>
      <c r="O21" s="133" t="str">
        <f t="shared" si="0"/>
        <v>erreur</v>
      </c>
    </row>
    <row r="22" spans="1:15" ht="32.25" customHeight="1" x14ac:dyDescent="0.25">
      <c r="A22" s="578"/>
      <c r="B22" s="232"/>
      <c r="C22" s="120" t="e">
        <f>VLOOKUP($B22,'Table 1-A Sources of evidences'!$A$6:$G$31,2,FALSE)</f>
        <v>#N/A</v>
      </c>
      <c r="D22" s="574" t="e">
        <f>VLOOKUP($B22,'Table 1-A Sources of evidences'!$A$6:$G$31,3,FALSE)</f>
        <v>#N/A</v>
      </c>
      <c r="E22" s="575"/>
      <c r="F22" s="574" t="e">
        <f>VLOOKUP($B22,'Table 1-A Sources of evidences'!$A$6:$G$31,4,FALSE)</f>
        <v>#N/A</v>
      </c>
      <c r="G22" s="576"/>
      <c r="H22" s="575"/>
      <c r="I22" s="120" t="e">
        <f>VLOOKUP($B22,'Table 1-A Sources of evidences'!$A$6:$G$31,5,FALSE)</f>
        <v>#N/A</v>
      </c>
      <c r="J22" s="120" t="e">
        <f>VLOOKUP($B22,'Table 1-A Sources of evidences'!$A$6:$G$31,6,FALSE)</f>
        <v>#N/A</v>
      </c>
      <c r="K22" s="476"/>
      <c r="L22" s="397"/>
      <c r="M22" s="201"/>
      <c r="N22" s="201"/>
      <c r="O22" s="133" t="str">
        <f t="shared" si="0"/>
        <v>erreur</v>
      </c>
    </row>
    <row r="23" spans="1:15" ht="22.5" customHeight="1" x14ac:dyDescent="0.25">
      <c r="A23" s="579"/>
      <c r="B23" s="124"/>
      <c r="C23" s="5"/>
      <c r="D23" s="5"/>
      <c r="E23" s="5"/>
      <c r="F23" s="5"/>
      <c r="G23" s="5"/>
      <c r="H23" s="5"/>
      <c r="I23" s="5"/>
      <c r="J23" s="5"/>
      <c r="K23" s="5"/>
      <c r="L23" s="289"/>
      <c r="M23" s="5"/>
      <c r="N23" s="5"/>
      <c r="O23" s="134"/>
    </row>
    <row r="24" spans="1:15" ht="66" customHeight="1" x14ac:dyDescent="0.25">
      <c r="A24" s="577" t="s">
        <v>130</v>
      </c>
      <c r="B24" s="538" t="s">
        <v>63</v>
      </c>
      <c r="C24" s="120" t="e">
        <f>VLOOKUP($B24,'Table 1-A Sources of evidences'!$A$6:$G$31,2,FALSE)</f>
        <v>#N/A</v>
      </c>
      <c r="D24" s="574" t="e">
        <f>VLOOKUP($B24,'Table 1-A Sources of evidences'!$A$6:$G$31,3,FALSE)</f>
        <v>#N/A</v>
      </c>
      <c r="E24" s="575"/>
      <c r="F24" s="574" t="e">
        <f>VLOOKUP($B24,'Table 1-A Sources of evidences'!$A$6:$G$31,4,FALSE)</f>
        <v>#N/A</v>
      </c>
      <c r="G24" s="576"/>
      <c r="H24" s="575"/>
      <c r="I24" s="120" t="e">
        <f>VLOOKUP($B24,'Table 1-A Sources of evidences'!$A$6:$G$31,5,FALSE)</f>
        <v>#N/A</v>
      </c>
      <c r="J24" s="120" t="e">
        <f>VLOOKUP($B24,'Table 1-A Sources of evidences'!$A$6:$G$31,6,FALSE)</f>
        <v>#N/A</v>
      </c>
      <c r="K24" s="476"/>
      <c r="L24" s="203"/>
      <c r="M24" s="201"/>
      <c r="N24" s="201"/>
      <c r="O24" s="133" t="str">
        <f t="shared" si="0"/>
        <v>erreur</v>
      </c>
    </row>
    <row r="25" spans="1:15" ht="71.25" customHeight="1" x14ac:dyDescent="0.25">
      <c r="A25" s="578"/>
      <c r="B25" s="538" t="s">
        <v>63</v>
      </c>
      <c r="C25" s="120" t="e">
        <f>VLOOKUP($B25,'Table 1-A Sources of evidences'!$A$6:$G$31,2,FALSE)</f>
        <v>#N/A</v>
      </c>
      <c r="D25" s="574" t="e">
        <f>VLOOKUP($B25,'Table 1-A Sources of evidences'!$A$6:$G$31,3,FALSE)</f>
        <v>#N/A</v>
      </c>
      <c r="E25" s="575"/>
      <c r="F25" s="574" t="e">
        <f>VLOOKUP($B25,'Table 1-A Sources of evidences'!$A$6:$G$31,4,FALSE)</f>
        <v>#N/A</v>
      </c>
      <c r="G25" s="576"/>
      <c r="H25" s="575"/>
      <c r="I25" s="120" t="e">
        <f>VLOOKUP($B25,'Table 1-A Sources of evidences'!$A$6:$G$31,5,FALSE)</f>
        <v>#N/A</v>
      </c>
      <c r="J25" s="120" t="e">
        <f>VLOOKUP($B25,'Table 1-A Sources of evidences'!$A$6:$G$31,6,FALSE)</f>
        <v>#N/A</v>
      </c>
      <c r="K25" s="476"/>
      <c r="L25" s="202"/>
      <c r="M25" s="302"/>
      <c r="N25" s="302"/>
      <c r="O25" s="133" t="str">
        <f t="shared" si="0"/>
        <v>erreur</v>
      </c>
    </row>
    <row r="26" spans="1:15" ht="33" customHeight="1" x14ac:dyDescent="0.25">
      <c r="A26" s="578"/>
      <c r="B26" s="538" t="s">
        <v>63</v>
      </c>
      <c r="C26" s="120" t="e">
        <f>VLOOKUP($B26,'Table 1-A Sources of evidences'!$A$6:$G$31,2,FALSE)</f>
        <v>#N/A</v>
      </c>
      <c r="D26" s="574" t="e">
        <f>VLOOKUP($B26,'Table 1-A Sources of evidences'!$A$6:$G$31,3,FALSE)</f>
        <v>#N/A</v>
      </c>
      <c r="E26" s="575"/>
      <c r="F26" s="574" t="e">
        <f>VLOOKUP($B26,'Table 1-A Sources of evidences'!$A$6:$G$31,4,FALSE)</f>
        <v>#N/A</v>
      </c>
      <c r="G26" s="576"/>
      <c r="H26" s="575"/>
      <c r="I26" s="120" t="e">
        <f>VLOOKUP($B26,'Table 1-A Sources of evidences'!$A$6:$G$31,5,FALSE)</f>
        <v>#N/A</v>
      </c>
      <c r="J26" s="120" t="e">
        <f>VLOOKUP($B26,'Table 1-A Sources of evidences'!$A$6:$G$31,6,FALSE)</f>
        <v>#N/A</v>
      </c>
      <c r="K26" s="476"/>
      <c r="L26" s="202"/>
      <c r="M26" s="302"/>
      <c r="N26" s="302"/>
      <c r="O26" s="133" t="str">
        <f t="shared" si="0"/>
        <v>erreur</v>
      </c>
    </row>
    <row r="27" spans="1:15" ht="33" customHeight="1" x14ac:dyDescent="0.25">
      <c r="A27" s="578"/>
      <c r="B27" s="538" t="s">
        <v>63</v>
      </c>
      <c r="C27" s="120" t="e">
        <f>VLOOKUP($B27,'Table 1-A Sources of evidences'!$A$6:$G$31,2,FALSE)</f>
        <v>#N/A</v>
      </c>
      <c r="D27" s="574" t="e">
        <f>VLOOKUP($B27,'Table 1-A Sources of evidences'!$A$6:$G$31,3,FALSE)</f>
        <v>#N/A</v>
      </c>
      <c r="E27" s="575"/>
      <c r="F27" s="574" t="e">
        <f>VLOOKUP($B27,'Table 1-A Sources of evidences'!$A$6:$G$31,4,FALSE)</f>
        <v>#N/A</v>
      </c>
      <c r="G27" s="576"/>
      <c r="H27" s="575"/>
      <c r="I27" s="120" t="e">
        <f>VLOOKUP($B27,'Table 1-A Sources of evidences'!$A$6:$G$31,5,FALSE)</f>
        <v>#N/A</v>
      </c>
      <c r="J27" s="120" t="e">
        <f>VLOOKUP($B27,'Table 1-A Sources of evidences'!$A$6:$G$31,6,FALSE)</f>
        <v>#N/A</v>
      </c>
      <c r="K27" s="476"/>
      <c r="L27" s="202"/>
      <c r="M27" s="302"/>
      <c r="N27" s="302"/>
      <c r="O27" s="133" t="str">
        <f t="shared" si="0"/>
        <v>erreur</v>
      </c>
    </row>
    <row r="28" spans="1:15" ht="33" customHeight="1" x14ac:dyDescent="0.25">
      <c r="A28" s="578"/>
      <c r="B28" s="280"/>
      <c r="C28" s="120" t="e">
        <f>VLOOKUP($B28,'Table 1-A Sources of evidences'!$A$6:$G$31,2,FALSE)</f>
        <v>#N/A</v>
      </c>
      <c r="D28" s="574" t="e">
        <f>VLOOKUP($B28,'Table 1-A Sources of evidences'!$A$6:$G$31,3,FALSE)</f>
        <v>#N/A</v>
      </c>
      <c r="E28" s="575"/>
      <c r="F28" s="574" t="e">
        <f>VLOOKUP($B28,'Table 1-A Sources of evidences'!$A$6:$G$31,4,FALSE)</f>
        <v>#N/A</v>
      </c>
      <c r="G28" s="576"/>
      <c r="H28" s="575"/>
      <c r="I28" s="120" t="e">
        <f>VLOOKUP($B28,'Table 1-A Sources of evidences'!$A$6:$G$31,5,FALSE)</f>
        <v>#N/A</v>
      </c>
      <c r="J28" s="120" t="e">
        <f>VLOOKUP($B28,'Table 1-A Sources of evidences'!$A$6:$G$31,6,FALSE)</f>
        <v>#N/A</v>
      </c>
      <c r="K28" s="476"/>
      <c r="L28" s="203"/>
      <c r="M28" s="302"/>
      <c r="N28" s="302"/>
      <c r="O28" s="133" t="str">
        <f t="shared" si="0"/>
        <v>erreur</v>
      </c>
    </row>
    <row r="29" spans="1:15" ht="61.5" customHeight="1" x14ac:dyDescent="0.25">
      <c r="A29" s="578"/>
      <c r="B29" s="280"/>
      <c r="C29" s="120" t="e">
        <f>VLOOKUP($B29,'Table 1-A Sources of evidences'!$A$6:$G$31,2,FALSE)</f>
        <v>#N/A</v>
      </c>
      <c r="D29" s="574" t="e">
        <f>VLOOKUP($B29,'Table 1-A Sources of evidences'!$A$6:$G$31,3,FALSE)</f>
        <v>#N/A</v>
      </c>
      <c r="E29" s="575"/>
      <c r="F29" s="574" t="e">
        <f>VLOOKUP($B29,'Table 1-A Sources of evidences'!$A$6:$G$31,4,FALSE)</f>
        <v>#N/A</v>
      </c>
      <c r="G29" s="576"/>
      <c r="H29" s="575"/>
      <c r="I29" s="120" t="e">
        <f>VLOOKUP($B29,'Table 1-A Sources of evidences'!$A$6:$G$31,5,FALSE)</f>
        <v>#N/A</v>
      </c>
      <c r="J29" s="120" t="e">
        <f>VLOOKUP($B29,'Table 1-A Sources of evidences'!$A$6:$G$31,6,FALSE)</f>
        <v>#N/A</v>
      </c>
      <c r="K29" s="476"/>
      <c r="L29" s="203"/>
      <c r="M29" s="302"/>
      <c r="N29" s="302"/>
      <c r="O29" s="133" t="str">
        <f t="shared" si="0"/>
        <v>erreur</v>
      </c>
    </row>
    <row r="30" spans="1:15" ht="33" customHeight="1" x14ac:dyDescent="0.25">
      <c r="A30" s="578"/>
      <c r="B30" s="280"/>
      <c r="C30" s="120" t="e">
        <f>VLOOKUP($B30,'Table 1-A Sources of evidences'!$A$6:$G$31,2,FALSE)</f>
        <v>#N/A</v>
      </c>
      <c r="D30" s="574" t="e">
        <f>VLOOKUP($B30,'Table 1-A Sources of evidences'!$A$6:$G$31,3,FALSE)</f>
        <v>#N/A</v>
      </c>
      <c r="E30" s="575"/>
      <c r="F30" s="574" t="e">
        <f>VLOOKUP($B30,'Table 1-A Sources of evidences'!$A$6:$G$31,4,FALSE)</f>
        <v>#N/A</v>
      </c>
      <c r="G30" s="576"/>
      <c r="H30" s="575"/>
      <c r="I30" s="120" t="e">
        <f>VLOOKUP($B30,'Table 1-A Sources of evidences'!$A$6:$G$31,5,FALSE)</f>
        <v>#N/A</v>
      </c>
      <c r="J30" s="120" t="e">
        <f>VLOOKUP($B30,'Table 1-A Sources of evidences'!$A$6:$G$31,6,FALSE)</f>
        <v>#N/A</v>
      </c>
      <c r="K30" s="476"/>
      <c r="L30" s="203"/>
      <c r="M30" s="201"/>
      <c r="N30" s="201"/>
      <c r="O30" s="133" t="str">
        <f t="shared" si="0"/>
        <v>erreur</v>
      </c>
    </row>
    <row r="31" spans="1:15" ht="44.25" customHeight="1" x14ac:dyDescent="0.25">
      <c r="A31" s="578"/>
      <c r="B31" s="280"/>
      <c r="C31" s="120" t="e">
        <f>VLOOKUP($B31,'Table 1-A Sources of evidences'!$A$6:$G$31,2,FALSE)</f>
        <v>#N/A</v>
      </c>
      <c r="D31" s="574" t="e">
        <f>VLOOKUP($B31,'Table 1-A Sources of evidences'!$A$6:$G$31,3,FALSE)</f>
        <v>#N/A</v>
      </c>
      <c r="E31" s="575"/>
      <c r="F31" s="574" t="e">
        <f>VLOOKUP($B31,'Table 1-A Sources of evidences'!$A$6:$G$31,4,FALSE)</f>
        <v>#N/A</v>
      </c>
      <c r="G31" s="576"/>
      <c r="H31" s="575"/>
      <c r="I31" s="120" t="e">
        <f>VLOOKUP($B31,'Table 1-A Sources of evidences'!$A$6:$G$31,5,FALSE)</f>
        <v>#N/A</v>
      </c>
      <c r="J31" s="120" t="e">
        <f>VLOOKUP($B31,'Table 1-A Sources of evidences'!$A$6:$G$31,6,FALSE)</f>
        <v>#N/A</v>
      </c>
      <c r="K31" s="476"/>
      <c r="L31" s="203"/>
      <c r="M31" s="201"/>
      <c r="N31" s="201"/>
      <c r="O31" s="133" t="str">
        <f t="shared" si="0"/>
        <v>erreur</v>
      </c>
    </row>
    <row r="32" spans="1:15" ht="45" customHeight="1" x14ac:dyDescent="0.25">
      <c r="A32" s="578"/>
      <c r="B32" s="280"/>
      <c r="C32" s="120" t="e">
        <f>VLOOKUP($B32,'Table 1-A Sources of evidences'!$A$6:$G$31,2,FALSE)</f>
        <v>#N/A</v>
      </c>
      <c r="D32" s="593" t="e">
        <f>VLOOKUP($B32,'Table 1-A Sources of evidences'!$A$6:$G$31,3,FALSE)</f>
        <v>#N/A</v>
      </c>
      <c r="E32" s="594"/>
      <c r="F32" s="574" t="e">
        <f>VLOOKUP($B32,'Table 1-A Sources of evidences'!$A$6:$G$31,4,FALSE)</f>
        <v>#N/A</v>
      </c>
      <c r="G32" s="576"/>
      <c r="H32" s="575"/>
      <c r="I32" s="120" t="e">
        <f>VLOOKUP($B32,'Table 1-A Sources of evidences'!$A$6:$G$31,5,FALSE)</f>
        <v>#N/A</v>
      </c>
      <c r="J32" s="120" t="e">
        <f>VLOOKUP($B32,'Table 1-A Sources of evidences'!$A$6:$G$31,6,FALSE)</f>
        <v>#N/A</v>
      </c>
      <c r="K32" s="476"/>
      <c r="L32" s="203"/>
      <c r="M32" s="201"/>
      <c r="N32" s="201"/>
      <c r="O32" s="133" t="str">
        <f t="shared" si="0"/>
        <v>erreur</v>
      </c>
    </row>
    <row r="33" spans="1:15" ht="33" customHeight="1" x14ac:dyDescent="0.25">
      <c r="A33" s="578"/>
      <c r="B33" s="280"/>
      <c r="C33" s="120" t="e">
        <f>VLOOKUP($B33,'Table 1-A Sources of evidences'!$A$6:$G$31,2,FALSE)</f>
        <v>#N/A</v>
      </c>
      <c r="D33" s="574" t="e">
        <f>VLOOKUP($B33,'Table 1-A Sources of evidences'!$A$6:$G$31,3,FALSE)</f>
        <v>#N/A</v>
      </c>
      <c r="E33" s="575"/>
      <c r="F33" s="574" t="e">
        <f>VLOOKUP($B33,'Table 1-A Sources of evidences'!$A$6:$G$31,4,FALSE)</f>
        <v>#N/A</v>
      </c>
      <c r="G33" s="576"/>
      <c r="H33" s="575"/>
      <c r="I33" s="120" t="e">
        <f>VLOOKUP($B33,'Table 1-A Sources of evidences'!$A$6:$G$31,5,FALSE)</f>
        <v>#N/A</v>
      </c>
      <c r="J33" s="120" t="e">
        <f>VLOOKUP($B33,'Table 1-A Sources of evidences'!$A$6:$G$31,6,FALSE)</f>
        <v>#N/A</v>
      </c>
      <c r="K33" s="476"/>
      <c r="L33" s="203"/>
      <c r="M33" s="201"/>
      <c r="N33" s="201"/>
      <c r="O33" s="133" t="str">
        <f t="shared" si="0"/>
        <v>erreur</v>
      </c>
    </row>
    <row r="34" spans="1:15" ht="33" customHeight="1" x14ac:dyDescent="0.25">
      <c r="A34" s="578"/>
      <c r="B34" s="280"/>
      <c r="C34" s="120" t="e">
        <f>VLOOKUP($B34,'Table 1-A Sources of evidences'!$A$6:$G$31,2,FALSE)</f>
        <v>#N/A</v>
      </c>
      <c r="D34" s="574" t="e">
        <f>VLOOKUP($B34,'Table 1-A Sources of evidences'!$A$6:$G$31,3,FALSE)</f>
        <v>#N/A</v>
      </c>
      <c r="E34" s="575"/>
      <c r="F34" s="574" t="e">
        <f>VLOOKUP($B34,'Table 1-A Sources of evidences'!$A$6:$G$31,4,FALSE)</f>
        <v>#N/A</v>
      </c>
      <c r="G34" s="576"/>
      <c r="H34" s="575"/>
      <c r="I34" s="120" t="e">
        <f>VLOOKUP($B34,'Table 1-A Sources of evidences'!$A$6:$G$31,5,FALSE)</f>
        <v>#N/A</v>
      </c>
      <c r="J34" s="120" t="e">
        <f>VLOOKUP($B34,'Table 1-A Sources of evidences'!$A$6:$G$31,6,FALSE)</f>
        <v>#N/A</v>
      </c>
      <c r="K34" s="476"/>
      <c r="L34" s="203"/>
      <c r="M34" s="201"/>
      <c r="N34" s="201"/>
      <c r="O34" s="133" t="str">
        <f t="shared" si="0"/>
        <v>erreur</v>
      </c>
    </row>
    <row r="35" spans="1:15" ht="33" customHeight="1" x14ac:dyDescent="0.25">
      <c r="A35" s="578"/>
      <c r="B35" s="280"/>
      <c r="C35" s="120" t="e">
        <f>VLOOKUP($B35,'Table 1-A Sources of evidences'!$A$6:$G$31,2,FALSE)</f>
        <v>#N/A</v>
      </c>
      <c r="D35" s="574" t="e">
        <f>VLOOKUP($B35,'Table 1-A Sources of evidences'!$A$6:$G$31,3,FALSE)</f>
        <v>#N/A</v>
      </c>
      <c r="E35" s="575"/>
      <c r="F35" s="574" t="e">
        <f>VLOOKUP($B35,'Table 1-A Sources of evidences'!$A$6:$G$31,4,FALSE)</f>
        <v>#N/A</v>
      </c>
      <c r="G35" s="576"/>
      <c r="H35" s="575"/>
      <c r="I35" s="120" t="e">
        <f>VLOOKUP($B35,'Table 1-A Sources of evidences'!$A$6:$G$31,5,FALSE)</f>
        <v>#N/A</v>
      </c>
      <c r="J35" s="120" t="e">
        <f>VLOOKUP($B35,'Table 1-A Sources of evidences'!$A$6:$G$31,6,FALSE)</f>
        <v>#N/A</v>
      </c>
      <c r="K35" s="476"/>
      <c r="L35" s="203"/>
      <c r="M35" s="201"/>
      <c r="N35" s="201"/>
      <c r="O35" s="133" t="str">
        <f t="shared" si="0"/>
        <v>erreur</v>
      </c>
    </row>
    <row r="36" spans="1:15" ht="33" customHeight="1" x14ac:dyDescent="0.25">
      <c r="A36" s="578"/>
      <c r="B36" s="280"/>
      <c r="C36" s="120" t="e">
        <f>VLOOKUP($B36,'Table 1-A Sources of evidences'!$A$6:$G$31,2,FALSE)</f>
        <v>#N/A</v>
      </c>
      <c r="D36" s="574" t="e">
        <f>VLOOKUP($B36,'Table 1-A Sources of evidences'!$A$6:$G$31,3,FALSE)</f>
        <v>#N/A</v>
      </c>
      <c r="E36" s="575"/>
      <c r="F36" s="574" t="e">
        <f>VLOOKUP($B36,'Table 1-A Sources of evidences'!$A$6:$G$31,4,FALSE)</f>
        <v>#N/A</v>
      </c>
      <c r="G36" s="576"/>
      <c r="H36" s="575"/>
      <c r="I36" s="120" t="e">
        <f>VLOOKUP($B36,'Table 1-A Sources of evidences'!$A$6:$G$31,5,FALSE)</f>
        <v>#N/A</v>
      </c>
      <c r="J36" s="120" t="e">
        <f>VLOOKUP($B36,'Table 1-A Sources of evidences'!$A$6:$G$31,6,FALSE)</f>
        <v>#N/A</v>
      </c>
      <c r="K36" s="476"/>
      <c r="L36" s="203"/>
      <c r="M36" s="240"/>
      <c r="N36" s="240"/>
      <c r="O36" s="133" t="str">
        <f t="shared" si="0"/>
        <v>erreur</v>
      </c>
    </row>
    <row r="37" spans="1:15" ht="33" customHeight="1" x14ac:dyDescent="0.25">
      <c r="A37" s="578"/>
      <c r="B37" s="280"/>
      <c r="C37" s="120" t="e">
        <f>VLOOKUP($B37,'Table 1-A Sources of evidences'!$A$6:$G$31,2,FALSE)</f>
        <v>#N/A</v>
      </c>
      <c r="D37" s="574" t="e">
        <f>VLOOKUP($B37,'Table 1-A Sources of evidences'!$A$6:$G$31,3,FALSE)</f>
        <v>#N/A</v>
      </c>
      <c r="E37" s="575"/>
      <c r="F37" s="574" t="e">
        <f>VLOOKUP($B37,'Table 1-A Sources of evidences'!$A$6:$G$31,4,FALSE)</f>
        <v>#N/A</v>
      </c>
      <c r="G37" s="576"/>
      <c r="H37" s="575"/>
      <c r="I37" s="120" t="e">
        <f>VLOOKUP($B37,'Table 1-A Sources of evidences'!$A$6:$G$31,5,FALSE)</f>
        <v>#N/A</v>
      </c>
      <c r="J37" s="120" t="e">
        <f>VLOOKUP($B37,'Table 1-A Sources of evidences'!$A$6:$G$31,6,FALSE)</f>
        <v>#N/A</v>
      </c>
      <c r="K37" s="476"/>
      <c r="L37" s="203"/>
      <c r="M37" s="240"/>
      <c r="N37" s="240"/>
      <c r="O37" s="133" t="str">
        <f t="shared" si="0"/>
        <v>erreur</v>
      </c>
    </row>
    <row r="38" spans="1:15" ht="33" customHeight="1" x14ac:dyDescent="0.25">
      <c r="A38" s="578"/>
      <c r="B38" s="280"/>
      <c r="C38" s="120" t="e">
        <f>VLOOKUP($B38,'Table 1-A Sources of evidences'!$A$6:$G$31,2,FALSE)</f>
        <v>#N/A</v>
      </c>
      <c r="D38" s="574" t="e">
        <f>VLOOKUP($B38,'Table 1-A Sources of evidences'!$A$6:$G$31,3,FALSE)</f>
        <v>#N/A</v>
      </c>
      <c r="E38" s="575"/>
      <c r="F38" s="574" t="e">
        <f>VLOOKUP($B38,'Table 1-A Sources of evidences'!$A$6:$G$31,4,FALSE)</f>
        <v>#N/A</v>
      </c>
      <c r="G38" s="576"/>
      <c r="H38" s="575"/>
      <c r="I38" s="120" t="e">
        <f>VLOOKUP($B38,'Table 1-A Sources of evidences'!$A$6:$G$31,5,FALSE)</f>
        <v>#N/A</v>
      </c>
      <c r="J38" s="120" t="e">
        <f>VLOOKUP($B38,'Table 1-A Sources of evidences'!$A$6:$G$31,6,FALSE)</f>
        <v>#N/A</v>
      </c>
      <c r="K38" s="476"/>
      <c r="L38" s="203"/>
      <c r="M38" s="201"/>
      <c r="N38" s="201"/>
      <c r="O38" s="133" t="str">
        <f t="shared" si="0"/>
        <v>erreur</v>
      </c>
    </row>
    <row r="39" spans="1:15" ht="7.35" customHeight="1" x14ac:dyDescent="0.25">
      <c r="A39" s="579"/>
      <c r="B39" s="124"/>
      <c r="C39" s="5"/>
      <c r="D39" s="5"/>
      <c r="E39" s="5"/>
      <c r="F39" s="5"/>
      <c r="G39" s="5"/>
      <c r="H39" s="5"/>
      <c r="I39" s="5"/>
      <c r="J39" s="5"/>
      <c r="K39" s="5"/>
      <c r="L39" s="289"/>
      <c r="M39" s="5"/>
      <c r="N39" s="5"/>
      <c r="O39" s="134"/>
    </row>
    <row r="40" spans="1:15" ht="45.75" customHeight="1" x14ac:dyDescent="0.25">
      <c r="A40" s="577" t="s">
        <v>127</v>
      </c>
      <c r="B40" s="538" t="s">
        <v>63</v>
      </c>
      <c r="C40" s="120" t="e">
        <f>VLOOKUP($B40,'Table 1-A Sources of evidences'!$A$6:$G$31,2,FALSE)</f>
        <v>#N/A</v>
      </c>
      <c r="D40" s="574" t="e">
        <f>VLOOKUP($B40,'Table 1-A Sources of evidences'!$A$6:$G$31,3,FALSE)</f>
        <v>#N/A</v>
      </c>
      <c r="E40" s="575"/>
      <c r="F40" s="574" t="e">
        <f>VLOOKUP($B40,'Table 1-A Sources of evidences'!$A$6:$G$31,4,FALSE)</f>
        <v>#N/A</v>
      </c>
      <c r="G40" s="576"/>
      <c r="H40" s="575"/>
      <c r="I40" s="120" t="e">
        <f>VLOOKUP($B40,'Table 1-A Sources of evidences'!$A$6:$G$31,5,FALSE)</f>
        <v>#N/A</v>
      </c>
      <c r="J40" s="120" t="e">
        <f>VLOOKUP($B40,'Table 1-A Sources of evidences'!$A$6:$G$31,6,FALSE)</f>
        <v>#N/A</v>
      </c>
      <c r="K40" s="476"/>
      <c r="L40" s="203"/>
      <c r="M40" s="201"/>
      <c r="N40" s="201"/>
      <c r="O40" s="133" t="str">
        <f t="shared" si="0"/>
        <v>erreur</v>
      </c>
    </row>
    <row r="41" spans="1:15" ht="32.25" customHeight="1" x14ac:dyDescent="0.25">
      <c r="A41" s="578"/>
      <c r="B41" s="538" t="s">
        <v>63</v>
      </c>
      <c r="C41" s="120" t="e">
        <f>VLOOKUP($B41,'Table 1-A Sources of evidences'!$A$6:$G$31,2,FALSE)</f>
        <v>#N/A</v>
      </c>
      <c r="D41" s="574" t="e">
        <f>VLOOKUP($B41,'Table 1-A Sources of evidences'!$A$6:$G$31,3,FALSE)</f>
        <v>#N/A</v>
      </c>
      <c r="E41" s="575"/>
      <c r="F41" s="574" t="e">
        <f>VLOOKUP($B41,'Table 1-A Sources of evidences'!$A$6:$G$31,4,FALSE)</f>
        <v>#N/A</v>
      </c>
      <c r="G41" s="576"/>
      <c r="H41" s="575"/>
      <c r="I41" s="120" t="e">
        <f>VLOOKUP($B41,'Table 1-A Sources of evidences'!$A$6:$G$31,5,FALSE)</f>
        <v>#N/A</v>
      </c>
      <c r="J41" s="120" t="e">
        <f>VLOOKUP($B41,'Table 1-A Sources of evidences'!$A$6:$G$31,6,FALSE)</f>
        <v>#N/A</v>
      </c>
      <c r="K41" s="476"/>
      <c r="L41" s="203"/>
      <c r="M41" s="201"/>
      <c r="N41" s="201"/>
      <c r="O41" s="133" t="str">
        <f t="shared" si="0"/>
        <v>erreur</v>
      </c>
    </row>
    <row r="42" spans="1:15" ht="32.25" customHeight="1" x14ac:dyDescent="0.25">
      <c r="A42" s="578"/>
      <c r="B42" s="280"/>
      <c r="C42" s="120" t="e">
        <f>VLOOKUP($B42,'Table 1-A Sources of evidences'!$A$6:$G$31,2,FALSE)</f>
        <v>#N/A</v>
      </c>
      <c r="D42" s="574" t="e">
        <f>VLOOKUP($B42,'Table 1-A Sources of evidences'!$A$6:$G$31,3,FALSE)</f>
        <v>#N/A</v>
      </c>
      <c r="E42" s="575"/>
      <c r="F42" s="574" t="e">
        <f>VLOOKUP($B42,'Table 1-A Sources of evidences'!$A$6:$G$31,4,FALSE)</f>
        <v>#N/A</v>
      </c>
      <c r="G42" s="576"/>
      <c r="H42" s="575"/>
      <c r="I42" s="120" t="e">
        <f>VLOOKUP($B42,'Table 1-A Sources of evidences'!$A$6:$G$31,5,FALSE)</f>
        <v>#N/A</v>
      </c>
      <c r="J42" s="120" t="e">
        <f>VLOOKUP($B42,'Table 1-A Sources of evidences'!$A$6:$G$31,6,FALSE)</f>
        <v>#N/A</v>
      </c>
      <c r="K42" s="476"/>
      <c r="L42" s="203"/>
      <c r="M42" s="201"/>
      <c r="N42" s="201"/>
      <c r="O42" s="133" t="str">
        <f t="shared" si="0"/>
        <v>erreur</v>
      </c>
    </row>
    <row r="43" spans="1:15" ht="32.25" customHeight="1" x14ac:dyDescent="0.25">
      <c r="A43" s="578"/>
      <c r="B43" s="280"/>
      <c r="C43" s="120" t="e">
        <f>VLOOKUP($B43,'Table 1-A Sources of evidences'!$A$6:$G$31,2,FALSE)</f>
        <v>#N/A</v>
      </c>
      <c r="D43" s="574" t="e">
        <f>VLOOKUP($B43,'Table 1-A Sources of evidences'!$A$6:$G$31,3,FALSE)</f>
        <v>#N/A</v>
      </c>
      <c r="E43" s="575"/>
      <c r="F43" s="574" t="e">
        <f>VLOOKUP($B43,'Table 1-A Sources of evidences'!$A$6:$G$31,4,FALSE)</f>
        <v>#N/A</v>
      </c>
      <c r="G43" s="576"/>
      <c r="H43" s="575"/>
      <c r="I43" s="120" t="e">
        <f>VLOOKUP($B43,'Table 1-A Sources of evidences'!$A$6:$G$31,5,FALSE)</f>
        <v>#N/A</v>
      </c>
      <c r="J43" s="120" t="e">
        <f>VLOOKUP($B43,'Table 1-A Sources of evidences'!$A$6:$G$31,6,FALSE)</f>
        <v>#N/A</v>
      </c>
      <c r="K43" s="476"/>
      <c r="L43" s="203"/>
      <c r="M43" s="240"/>
      <c r="N43" s="240"/>
      <c r="O43" s="133" t="str">
        <f t="shared" si="0"/>
        <v>erreur</v>
      </c>
    </row>
    <row r="44" spans="1:15" ht="32.25" customHeight="1" x14ac:dyDescent="0.25">
      <c r="A44" s="578"/>
      <c r="B44" s="280"/>
      <c r="C44" s="120" t="e">
        <f>VLOOKUP($B44,'Table 1-A Sources of evidences'!$A$6:$G$31,2,FALSE)</f>
        <v>#N/A</v>
      </c>
      <c r="D44" s="574" t="e">
        <f>VLOOKUP($B44,'Table 1-A Sources of evidences'!$A$6:$G$31,3,FALSE)</f>
        <v>#N/A</v>
      </c>
      <c r="E44" s="575"/>
      <c r="F44" s="574" t="e">
        <f>VLOOKUP($B44,'Table 1-A Sources of evidences'!$A$6:$G$31,4,FALSE)</f>
        <v>#N/A</v>
      </c>
      <c r="G44" s="576"/>
      <c r="H44" s="575"/>
      <c r="I44" s="120" t="e">
        <f>VLOOKUP($B44,'Table 1-A Sources of evidences'!$A$6:$G$31,5,FALSE)</f>
        <v>#N/A</v>
      </c>
      <c r="J44" s="120" t="e">
        <f>VLOOKUP($B44,'Table 1-A Sources of evidences'!$A$6:$G$31,6,FALSE)</f>
        <v>#N/A</v>
      </c>
      <c r="K44" s="476"/>
      <c r="L44" s="203"/>
      <c r="M44" s="240"/>
      <c r="N44" s="240"/>
      <c r="O44" s="133" t="str">
        <f t="shared" si="0"/>
        <v>erreur</v>
      </c>
    </row>
    <row r="45" spans="1:15" ht="32.25" customHeight="1" x14ac:dyDescent="0.25">
      <c r="A45" s="578"/>
      <c r="B45" s="280"/>
      <c r="C45" s="120" t="e">
        <f>VLOOKUP($B45,'Table 1-A Sources of evidences'!$A$6:$G$31,2,FALSE)</f>
        <v>#N/A</v>
      </c>
      <c r="D45" s="574" t="e">
        <f>VLOOKUP($B45,'Table 1-A Sources of evidences'!$A$6:$G$31,3,FALSE)</f>
        <v>#N/A</v>
      </c>
      <c r="E45" s="575"/>
      <c r="F45" s="574" t="e">
        <f>VLOOKUP($B45,'Table 1-A Sources of evidences'!$A$6:$G$31,4,FALSE)</f>
        <v>#N/A</v>
      </c>
      <c r="G45" s="576"/>
      <c r="H45" s="575"/>
      <c r="I45" s="120" t="e">
        <f>VLOOKUP($B45,'Table 1-A Sources of evidences'!$A$6:$G$31,5,FALSE)</f>
        <v>#N/A</v>
      </c>
      <c r="J45" s="120" t="e">
        <f>VLOOKUP($B45,'Table 1-A Sources of evidences'!$A$6:$G$31,6,FALSE)</f>
        <v>#N/A</v>
      </c>
      <c r="K45" s="476"/>
      <c r="L45" s="203"/>
      <c r="M45" s="240"/>
      <c r="N45" s="240"/>
      <c r="O45" s="133" t="str">
        <f t="shared" si="0"/>
        <v>erreur</v>
      </c>
    </row>
    <row r="46" spans="1:15" ht="95.25" customHeight="1" x14ac:dyDescent="0.25">
      <c r="A46" s="578"/>
      <c r="B46" s="280"/>
      <c r="C46" s="120" t="e">
        <f>VLOOKUP($B46,'Table 1-A Sources of evidences'!$A$6:$G$31,2,FALSE)</f>
        <v>#N/A</v>
      </c>
      <c r="D46" s="574" t="e">
        <f>VLOOKUP($B46,'Table 1-A Sources of evidences'!$A$6:$G$31,3,FALSE)</f>
        <v>#N/A</v>
      </c>
      <c r="E46" s="575"/>
      <c r="F46" s="574" t="e">
        <f>VLOOKUP($B46,'Table 1-A Sources of evidences'!$A$6:$G$31,4,FALSE)</f>
        <v>#N/A</v>
      </c>
      <c r="G46" s="576"/>
      <c r="H46" s="575"/>
      <c r="I46" s="120" t="e">
        <f>VLOOKUP($B46,'Table 1-A Sources of evidences'!$A$6:$G$31,5,FALSE)</f>
        <v>#N/A</v>
      </c>
      <c r="J46" s="120" t="e">
        <f>VLOOKUP($B46,'Table 1-A Sources of evidences'!$A$6:$G$31,6,FALSE)</f>
        <v>#N/A</v>
      </c>
      <c r="K46" s="476"/>
      <c r="L46" s="203"/>
      <c r="M46" s="302"/>
      <c r="N46" s="302"/>
      <c r="O46" s="133" t="str">
        <f t="shared" si="0"/>
        <v>erreur</v>
      </c>
    </row>
    <row r="47" spans="1:15" ht="99" customHeight="1" x14ac:dyDescent="0.25">
      <c r="A47" s="578"/>
      <c r="B47" s="396"/>
      <c r="C47" s="120" t="e">
        <f>VLOOKUP($B47,'Table 1-A Sources of evidences'!$A$6:$G$31,2,FALSE)</f>
        <v>#N/A</v>
      </c>
      <c r="D47" s="574" t="e">
        <f>VLOOKUP($B47,'Table 1-A Sources of evidences'!$A$6:$G$31,3,FALSE)</f>
        <v>#N/A</v>
      </c>
      <c r="E47" s="575"/>
      <c r="F47" s="574" t="e">
        <f>VLOOKUP($B47,'Table 1-A Sources of evidences'!$A$6:$G$31,4,FALSE)</f>
        <v>#N/A</v>
      </c>
      <c r="G47" s="576"/>
      <c r="H47" s="575"/>
      <c r="I47" s="120" t="e">
        <f>VLOOKUP($B47,'Table 1-A Sources of evidences'!$A$6:$G$31,5,FALSE)</f>
        <v>#N/A</v>
      </c>
      <c r="J47" s="120" t="e">
        <f>VLOOKUP($B47,'Table 1-A Sources of evidences'!$A$6:$G$31,6,FALSE)</f>
        <v>#N/A</v>
      </c>
      <c r="K47" s="476"/>
      <c r="L47" s="203"/>
      <c r="M47" s="302"/>
      <c r="N47" s="302"/>
      <c r="O47" s="133" t="str">
        <f t="shared" si="0"/>
        <v>erreur</v>
      </c>
    </row>
    <row r="48" spans="1:15" ht="32.25" customHeight="1" x14ac:dyDescent="0.25">
      <c r="A48" s="578"/>
      <c r="B48" s="280"/>
      <c r="C48" s="120" t="e">
        <f>VLOOKUP($B48,'Table 1-A Sources of evidences'!$A$6:$G$31,2,FALSE)</f>
        <v>#N/A</v>
      </c>
      <c r="D48" s="574" t="e">
        <f>VLOOKUP($B48,'Table 1-A Sources of evidences'!$A$6:$G$31,3,FALSE)</f>
        <v>#N/A</v>
      </c>
      <c r="E48" s="575"/>
      <c r="F48" s="574" t="e">
        <f>VLOOKUP($B48,'Table 1-A Sources of evidences'!$A$6:$G$31,4,FALSE)</f>
        <v>#N/A</v>
      </c>
      <c r="G48" s="576"/>
      <c r="H48" s="575"/>
      <c r="I48" s="120" t="e">
        <f>VLOOKUP($B48,'Table 1-A Sources of evidences'!$A$6:$G$31,5,FALSE)</f>
        <v>#N/A</v>
      </c>
      <c r="J48" s="120" t="e">
        <f>VLOOKUP($B48,'Table 1-A Sources of evidences'!$A$6:$G$31,6,FALSE)</f>
        <v>#N/A</v>
      </c>
      <c r="K48" s="476"/>
      <c r="L48" s="203"/>
      <c r="M48" s="302"/>
      <c r="N48" s="302"/>
      <c r="O48" s="133" t="str">
        <f t="shared" si="0"/>
        <v>erreur</v>
      </c>
    </row>
    <row r="49" spans="1:15" ht="32.25" customHeight="1" x14ac:dyDescent="0.25">
      <c r="A49" s="578"/>
      <c r="B49" s="280"/>
      <c r="C49" s="120" t="e">
        <f>VLOOKUP($B49,'Table 1-A Sources of evidences'!$A$6:$G$31,2,FALSE)</f>
        <v>#N/A</v>
      </c>
      <c r="D49" s="574" t="e">
        <f>VLOOKUP($B49,'Table 1-A Sources of evidences'!$A$6:$G$31,3,FALSE)</f>
        <v>#N/A</v>
      </c>
      <c r="E49" s="575"/>
      <c r="F49" s="574" t="e">
        <f>VLOOKUP($B49,'Table 1-A Sources of evidences'!$A$6:$G$31,4,FALSE)</f>
        <v>#N/A</v>
      </c>
      <c r="G49" s="576"/>
      <c r="H49" s="575"/>
      <c r="I49" s="120" t="e">
        <f>VLOOKUP($B49,'Table 1-A Sources of evidences'!$A$6:$G$31,5,FALSE)</f>
        <v>#N/A</v>
      </c>
      <c r="J49" s="120" t="e">
        <f>VLOOKUP($B49,'Table 1-A Sources of evidences'!$A$6:$G$31,6,FALSE)</f>
        <v>#N/A</v>
      </c>
      <c r="K49" s="476"/>
      <c r="L49" s="203"/>
      <c r="M49" s="302"/>
      <c r="N49" s="302"/>
      <c r="O49" s="133" t="str">
        <f t="shared" si="0"/>
        <v>erreur</v>
      </c>
    </row>
    <row r="50" spans="1:15" ht="32.25" customHeight="1" x14ac:dyDescent="0.25">
      <c r="A50" s="578"/>
      <c r="B50" s="280"/>
      <c r="C50" s="120" t="e">
        <f>VLOOKUP($B50,'Table 1-A Sources of evidences'!$A$6:$G$31,2,FALSE)</f>
        <v>#N/A</v>
      </c>
      <c r="D50" s="574" t="e">
        <f>VLOOKUP($B50,'Table 1-A Sources of evidences'!$A$6:$G$31,3,FALSE)</f>
        <v>#N/A</v>
      </c>
      <c r="E50" s="575"/>
      <c r="F50" s="574" t="e">
        <f>VLOOKUP($B50,'Table 1-A Sources of evidences'!$A$6:$G$31,4,FALSE)</f>
        <v>#N/A</v>
      </c>
      <c r="G50" s="576"/>
      <c r="H50" s="575"/>
      <c r="I50" s="120" t="e">
        <f>VLOOKUP($B50,'Table 1-A Sources of evidences'!$A$6:$G$31,5,FALSE)</f>
        <v>#N/A</v>
      </c>
      <c r="J50" s="120" t="e">
        <f>VLOOKUP($B50,'Table 1-A Sources of evidences'!$A$6:$G$31,6,FALSE)</f>
        <v>#N/A</v>
      </c>
      <c r="K50" s="476"/>
      <c r="L50" s="203"/>
      <c r="M50" s="302"/>
      <c r="N50" s="302"/>
      <c r="O50" s="133" t="str">
        <f t="shared" si="0"/>
        <v>erreur</v>
      </c>
    </row>
    <row r="51" spans="1:15" ht="32.25" customHeight="1" x14ac:dyDescent="0.25">
      <c r="A51" s="578"/>
      <c r="B51" s="280"/>
      <c r="C51" s="120" t="e">
        <f>VLOOKUP($B51,'Table 1-A Sources of evidences'!$A$6:$G$31,2,FALSE)</f>
        <v>#N/A</v>
      </c>
      <c r="D51" s="574" t="e">
        <f>VLOOKUP($B51,'Table 1-A Sources of evidences'!$A$6:$G$31,3,FALSE)</f>
        <v>#N/A</v>
      </c>
      <c r="E51" s="575"/>
      <c r="F51" s="574" t="e">
        <f>VLOOKUP($B51,'Table 1-A Sources of evidences'!$A$6:$G$31,4,FALSE)</f>
        <v>#N/A</v>
      </c>
      <c r="G51" s="576"/>
      <c r="H51" s="575"/>
      <c r="I51" s="120" t="e">
        <f>VLOOKUP($B51,'Table 1-A Sources of evidences'!$A$6:$G$31,5,FALSE)</f>
        <v>#N/A</v>
      </c>
      <c r="J51" s="120" t="e">
        <f>VLOOKUP($B51,'Table 1-A Sources of evidences'!$A$6:$G$31,6,FALSE)</f>
        <v>#N/A</v>
      </c>
      <c r="K51" s="476"/>
      <c r="L51" s="203"/>
      <c r="M51" s="240"/>
      <c r="N51" s="240"/>
      <c r="O51" s="133" t="str">
        <f t="shared" si="0"/>
        <v>erreur</v>
      </c>
    </row>
    <row r="52" spans="1:15" ht="32.25" customHeight="1" x14ac:dyDescent="0.25">
      <c r="A52" s="578"/>
      <c r="B52" s="280"/>
      <c r="C52" s="120" t="e">
        <f>VLOOKUP($B52,'Table 1-A Sources of evidences'!$A$6:$G$31,2,FALSE)</f>
        <v>#N/A</v>
      </c>
      <c r="D52" s="574" t="e">
        <f>VLOOKUP($B52,'Table 1-A Sources of evidences'!$A$6:$G$31,3,FALSE)</f>
        <v>#N/A</v>
      </c>
      <c r="E52" s="575"/>
      <c r="F52" s="574" t="e">
        <f>VLOOKUP($B52,'Table 1-A Sources of evidences'!$A$6:$G$31,4,FALSE)</f>
        <v>#N/A</v>
      </c>
      <c r="G52" s="576"/>
      <c r="H52" s="575"/>
      <c r="I52" s="120" t="e">
        <f>VLOOKUP($B52,'Table 1-A Sources of evidences'!$A$6:$G$31,5,FALSE)</f>
        <v>#N/A</v>
      </c>
      <c r="J52" s="120" t="e">
        <f>VLOOKUP($B52,'Table 1-A Sources of evidences'!$A$6:$G$31,6,FALSE)</f>
        <v>#N/A</v>
      </c>
      <c r="K52" s="476"/>
      <c r="L52" s="203"/>
      <c r="M52" s="240"/>
      <c r="N52" s="240"/>
      <c r="O52" s="133" t="str">
        <f t="shared" si="0"/>
        <v>erreur</v>
      </c>
    </row>
    <row r="53" spans="1:15" ht="32.25" customHeight="1" x14ac:dyDescent="0.25">
      <c r="A53" s="578"/>
      <c r="B53" s="280"/>
      <c r="C53" s="120" t="e">
        <f>VLOOKUP($B53,'Table 1-A Sources of evidences'!$A$6:$G$31,2,FALSE)</f>
        <v>#N/A</v>
      </c>
      <c r="D53" s="574" t="e">
        <f>VLOOKUP($B53,'Table 1-A Sources of evidences'!$A$6:$G$31,3,FALSE)</f>
        <v>#N/A</v>
      </c>
      <c r="E53" s="575"/>
      <c r="F53" s="574" t="e">
        <f>VLOOKUP($B53,'Table 1-A Sources of evidences'!$A$6:$G$31,4,FALSE)</f>
        <v>#N/A</v>
      </c>
      <c r="G53" s="576"/>
      <c r="H53" s="575"/>
      <c r="I53" s="120" t="e">
        <f>VLOOKUP($B53,'Table 1-A Sources of evidences'!$A$6:$G$31,5,FALSE)</f>
        <v>#N/A</v>
      </c>
      <c r="J53" s="120" t="e">
        <f>VLOOKUP($B53,'Table 1-A Sources of evidences'!$A$6:$G$31,6,FALSE)</f>
        <v>#N/A</v>
      </c>
      <c r="K53" s="476"/>
      <c r="L53" s="203"/>
      <c r="M53" s="240"/>
      <c r="N53" s="240"/>
      <c r="O53" s="133" t="str">
        <f t="shared" si="0"/>
        <v>erreur</v>
      </c>
    </row>
    <row r="54" spans="1:15" ht="32.25" customHeight="1" x14ac:dyDescent="0.25">
      <c r="A54" s="578"/>
      <c r="B54" s="280"/>
      <c r="C54" s="120" t="e">
        <f>VLOOKUP($B54,'Table 1-A Sources of evidences'!$A$6:$G$31,2,FALSE)</f>
        <v>#N/A</v>
      </c>
      <c r="D54" s="574" t="e">
        <f>VLOOKUP($B54,'Table 1-A Sources of evidences'!$A$6:$G$31,3,FALSE)</f>
        <v>#N/A</v>
      </c>
      <c r="E54" s="575"/>
      <c r="F54" s="574" t="e">
        <f>VLOOKUP($B54,'Table 1-A Sources of evidences'!$A$6:$G$31,4,FALSE)</f>
        <v>#N/A</v>
      </c>
      <c r="G54" s="576"/>
      <c r="H54" s="575"/>
      <c r="I54" s="120" t="e">
        <f>VLOOKUP($B54,'Table 1-A Sources of evidences'!$A$6:$G$31,5,FALSE)</f>
        <v>#N/A</v>
      </c>
      <c r="J54" s="120" t="e">
        <f>VLOOKUP($B54,'Table 1-A Sources of evidences'!$A$6:$G$31,6,FALSE)</f>
        <v>#N/A</v>
      </c>
      <c r="K54" s="476"/>
      <c r="L54" s="203"/>
      <c r="M54" s="201"/>
      <c r="N54" s="201"/>
      <c r="O54" s="133" t="str">
        <f t="shared" si="0"/>
        <v>erreur</v>
      </c>
    </row>
    <row r="55" spans="1:15" ht="6.75" customHeight="1" x14ac:dyDescent="0.25">
      <c r="A55" s="579"/>
      <c r="B55" s="124"/>
      <c r="C55" s="5"/>
      <c r="D55" s="5"/>
      <c r="E55" s="5"/>
      <c r="F55" s="5"/>
      <c r="G55" s="5"/>
      <c r="H55" s="5"/>
      <c r="I55" s="5"/>
      <c r="J55" s="5"/>
      <c r="K55" s="5"/>
      <c r="L55" s="289"/>
      <c r="M55" s="5"/>
      <c r="N55" s="5"/>
      <c r="O55" s="134"/>
    </row>
    <row r="56" spans="1:15" ht="36.75" customHeight="1" x14ac:dyDescent="0.25">
      <c r="A56" s="583" t="s">
        <v>128</v>
      </c>
      <c r="B56" s="538" t="s">
        <v>63</v>
      </c>
      <c r="C56" s="120" t="e">
        <f>VLOOKUP($B56,'Table 1-A Sources of evidences'!$A$6:$G$31,2,FALSE)</f>
        <v>#N/A</v>
      </c>
      <c r="D56" s="574" t="e">
        <f>VLOOKUP($B56,'Table 1-A Sources of evidences'!$A$6:$G$31,3,FALSE)</f>
        <v>#N/A</v>
      </c>
      <c r="E56" s="575"/>
      <c r="F56" s="574" t="e">
        <f>VLOOKUP($B56,'Table 1-A Sources of evidences'!$A$6:$G$31,4,FALSE)</f>
        <v>#N/A</v>
      </c>
      <c r="G56" s="576"/>
      <c r="H56" s="575"/>
      <c r="I56" s="120" t="e">
        <f>VLOOKUP($B56,'Table 1-A Sources of evidences'!$A$6:$G$31,5,FALSE)</f>
        <v>#N/A</v>
      </c>
      <c r="J56" s="120" t="e">
        <f>VLOOKUP($B56,'Table 1-A Sources of evidences'!$A$6:$G$31,6,FALSE)</f>
        <v>#N/A</v>
      </c>
      <c r="K56" s="476"/>
      <c r="L56" s="203"/>
      <c r="M56" s="201"/>
      <c r="N56" s="201"/>
      <c r="O56" s="133" t="str">
        <f t="shared" si="0"/>
        <v>erreur</v>
      </c>
    </row>
    <row r="57" spans="1:15" ht="36.75" customHeight="1" x14ac:dyDescent="0.25">
      <c r="A57" s="584"/>
      <c r="B57" s="538" t="s">
        <v>63</v>
      </c>
      <c r="C57" s="120" t="e">
        <f>VLOOKUP($B57,'Table 1-A Sources of evidences'!$A$6:$G$31,2,FALSE)</f>
        <v>#N/A</v>
      </c>
      <c r="D57" s="574" t="e">
        <f>VLOOKUP($B57,'Table 1-A Sources of evidences'!$A$6:$G$31,3,FALSE)</f>
        <v>#N/A</v>
      </c>
      <c r="E57" s="575"/>
      <c r="F57" s="574" t="e">
        <f>VLOOKUP($B57,'Table 1-A Sources of evidences'!$A$6:$G$31,4,FALSE)</f>
        <v>#N/A</v>
      </c>
      <c r="G57" s="576"/>
      <c r="H57" s="575"/>
      <c r="I57" s="120" t="e">
        <f>VLOOKUP($B57,'Table 1-A Sources of evidences'!$A$6:$G$31,5,FALSE)</f>
        <v>#N/A</v>
      </c>
      <c r="J57" s="120" t="e">
        <f>VLOOKUP($B57,'Table 1-A Sources of evidences'!$A$6:$G$31,6,FALSE)</f>
        <v>#N/A</v>
      </c>
      <c r="K57" s="476"/>
      <c r="L57" s="202"/>
      <c r="M57" s="201"/>
      <c r="N57" s="201"/>
      <c r="O57" s="133" t="str">
        <f t="shared" si="0"/>
        <v>erreur</v>
      </c>
    </row>
    <row r="58" spans="1:15" ht="36.75" customHeight="1" x14ac:dyDescent="0.25">
      <c r="A58" s="584"/>
      <c r="B58" s="538" t="s">
        <v>63</v>
      </c>
      <c r="C58" s="120" t="e">
        <f>VLOOKUP($B58,'Table 1-A Sources of evidences'!$A$6:$G$31,2,FALSE)</f>
        <v>#N/A</v>
      </c>
      <c r="D58" s="574" t="e">
        <f>VLOOKUP($B58,'Table 1-A Sources of evidences'!$A$6:$G$31,3,FALSE)</f>
        <v>#N/A</v>
      </c>
      <c r="E58" s="575"/>
      <c r="F58" s="574" t="e">
        <f>VLOOKUP($B58,'Table 1-A Sources of evidences'!$A$6:$G$31,4,FALSE)</f>
        <v>#N/A</v>
      </c>
      <c r="G58" s="576"/>
      <c r="H58" s="575"/>
      <c r="I58" s="120" t="e">
        <f>VLOOKUP($B58,'Table 1-A Sources of evidences'!$A$6:$G$31,5,FALSE)</f>
        <v>#N/A</v>
      </c>
      <c r="J58" s="120" t="e">
        <f>VLOOKUP($B58,'Table 1-A Sources of evidences'!$A$6:$G$31,6,FALSE)</f>
        <v>#N/A</v>
      </c>
      <c r="K58" s="476"/>
      <c r="L58" s="202"/>
      <c r="M58" s="201"/>
      <c r="N58" s="201"/>
      <c r="O58" s="133" t="str">
        <f t="shared" si="0"/>
        <v>erreur</v>
      </c>
    </row>
    <row r="59" spans="1:15" ht="36.75" customHeight="1" x14ac:dyDescent="0.25">
      <c r="A59" s="584"/>
      <c r="B59" s="538" t="s">
        <v>63</v>
      </c>
      <c r="C59" s="120" t="e">
        <f>VLOOKUP($B59,'Table 1-A Sources of evidences'!$A$6:$G$31,2,FALSE)</f>
        <v>#N/A</v>
      </c>
      <c r="D59" s="574" t="e">
        <f>VLOOKUP($B59,'Table 1-A Sources of evidences'!$A$6:$G$31,3,FALSE)</f>
        <v>#N/A</v>
      </c>
      <c r="E59" s="575"/>
      <c r="F59" s="574" t="e">
        <f>VLOOKUP($B59,'Table 1-A Sources of evidences'!$A$6:$G$31,4,FALSE)</f>
        <v>#N/A</v>
      </c>
      <c r="G59" s="576"/>
      <c r="H59" s="575"/>
      <c r="I59" s="120" t="e">
        <f>VLOOKUP($B59,'Table 1-A Sources of evidences'!$A$6:$G$31,5,FALSE)</f>
        <v>#N/A</v>
      </c>
      <c r="J59" s="120" t="e">
        <f>VLOOKUP($B59,'Table 1-A Sources of evidences'!$A$6:$G$31,6,FALSE)</f>
        <v>#N/A</v>
      </c>
      <c r="K59" s="476"/>
      <c r="L59" s="202"/>
      <c r="M59" s="201"/>
      <c r="N59" s="201"/>
      <c r="O59" s="133" t="str">
        <f t="shared" si="0"/>
        <v>erreur</v>
      </c>
    </row>
    <row r="60" spans="1:15" ht="36.75" customHeight="1" x14ac:dyDescent="0.25">
      <c r="A60" s="584"/>
      <c r="B60" s="280"/>
      <c r="C60" s="120" t="e">
        <f>VLOOKUP($B60,'Table 1-A Sources of evidences'!$A$6:$G$31,2,FALSE)</f>
        <v>#N/A</v>
      </c>
      <c r="D60" s="574" t="e">
        <f>VLOOKUP($B60,'Table 1-A Sources of evidences'!$A$6:$G$31,3,FALSE)</f>
        <v>#N/A</v>
      </c>
      <c r="E60" s="575"/>
      <c r="F60" s="574" t="e">
        <f>VLOOKUP($B60,'Table 1-A Sources of evidences'!$A$6:$G$31,4,FALSE)</f>
        <v>#N/A</v>
      </c>
      <c r="G60" s="576"/>
      <c r="H60" s="575"/>
      <c r="I60" s="120" t="e">
        <f>VLOOKUP($B60,'Table 1-A Sources of evidences'!$A$6:$G$31,5,FALSE)</f>
        <v>#N/A</v>
      </c>
      <c r="J60" s="120" t="e">
        <f>VLOOKUP($B60,'Table 1-A Sources of evidences'!$A$6:$G$31,6,FALSE)</f>
        <v>#N/A</v>
      </c>
      <c r="K60" s="476"/>
      <c r="L60" s="202"/>
      <c r="M60" s="201"/>
      <c r="N60" s="201"/>
      <c r="O60" s="133" t="str">
        <f t="shared" si="0"/>
        <v>erreur</v>
      </c>
    </row>
    <row r="61" spans="1:15" ht="51" customHeight="1" x14ac:dyDescent="0.25">
      <c r="A61" s="584"/>
      <c r="B61" s="280"/>
      <c r="C61" s="120" t="e">
        <f>VLOOKUP($B61,'Table 1-A Sources of evidences'!$A$6:$G$31,2,FALSE)</f>
        <v>#N/A</v>
      </c>
      <c r="D61" s="593" t="e">
        <f>VLOOKUP($B61,'Table 1-A Sources of evidences'!$A$6:$G$31,3,FALSE)</f>
        <v>#N/A</v>
      </c>
      <c r="E61" s="595"/>
      <c r="F61" s="574" t="e">
        <f>VLOOKUP($B61,'Table 1-A Sources of evidences'!$A$6:$G$31,4,FALSE)</f>
        <v>#N/A</v>
      </c>
      <c r="G61" s="576"/>
      <c r="H61" s="575"/>
      <c r="I61" s="120" t="e">
        <f>VLOOKUP($B61,'Table 1-A Sources of evidences'!$A$6:$G$31,5,FALSE)</f>
        <v>#N/A</v>
      </c>
      <c r="J61" s="120" t="e">
        <f>VLOOKUP($B61,'Table 1-A Sources of evidences'!$A$6:$G$31,6,FALSE)</f>
        <v>#N/A</v>
      </c>
      <c r="K61" s="476"/>
      <c r="L61" s="202"/>
      <c r="M61" s="201"/>
      <c r="N61" s="201"/>
      <c r="O61" s="133" t="str">
        <f t="shared" si="0"/>
        <v>erreur</v>
      </c>
    </row>
    <row r="62" spans="1:15" ht="36.75" customHeight="1" x14ac:dyDescent="0.25">
      <c r="A62" s="584"/>
      <c r="B62" s="280"/>
      <c r="C62" s="120" t="e">
        <f>VLOOKUP($B62,'Table 1-A Sources of evidences'!$A$6:$G$31,2,FALSE)</f>
        <v>#N/A</v>
      </c>
      <c r="D62" s="574" t="e">
        <f>VLOOKUP($B62,'Table 1-A Sources of evidences'!$A$6:$G$31,3,FALSE)</f>
        <v>#N/A</v>
      </c>
      <c r="E62" s="575"/>
      <c r="F62" s="574" t="e">
        <f>VLOOKUP($B62,'Table 1-A Sources of evidences'!$A$6:$G$31,4,FALSE)</f>
        <v>#N/A</v>
      </c>
      <c r="G62" s="576"/>
      <c r="H62" s="575"/>
      <c r="I62" s="120" t="e">
        <f>VLOOKUP($B62,'Table 1-A Sources of evidences'!$A$6:$G$31,5,FALSE)</f>
        <v>#N/A</v>
      </c>
      <c r="J62" s="120" t="e">
        <f>VLOOKUP($B62,'Table 1-A Sources of evidences'!$A$6:$G$31,6,FALSE)</f>
        <v>#N/A</v>
      </c>
      <c r="K62" s="476"/>
      <c r="L62" s="202"/>
      <c r="M62" s="302"/>
      <c r="N62" s="302"/>
      <c r="O62" s="133" t="str">
        <f t="shared" si="0"/>
        <v>erreur</v>
      </c>
    </row>
    <row r="63" spans="1:15" ht="36.75" customHeight="1" x14ac:dyDescent="0.25">
      <c r="A63" s="584"/>
      <c r="B63" s="280"/>
      <c r="C63" s="120" t="e">
        <f>VLOOKUP($B63,'Table 1-A Sources of evidences'!$A$6:$G$31,2,FALSE)</f>
        <v>#N/A</v>
      </c>
      <c r="D63" s="574" t="e">
        <f>VLOOKUP($B63,'Table 1-A Sources of evidences'!$A$6:$G$31,3,FALSE)</f>
        <v>#N/A</v>
      </c>
      <c r="E63" s="575"/>
      <c r="F63" s="574" t="e">
        <f>VLOOKUP($B63,'Table 1-A Sources of evidences'!$A$6:$G$31,4,FALSE)</f>
        <v>#N/A</v>
      </c>
      <c r="G63" s="576"/>
      <c r="H63" s="575"/>
      <c r="I63" s="120" t="e">
        <f>VLOOKUP($B63,'Table 1-A Sources of evidences'!$A$6:$G$31,5,FALSE)</f>
        <v>#N/A</v>
      </c>
      <c r="J63" s="120" t="e">
        <f>VLOOKUP($B63,'Table 1-A Sources of evidences'!$A$6:$G$31,6,FALSE)</f>
        <v>#N/A</v>
      </c>
      <c r="K63" s="476"/>
      <c r="L63" s="202"/>
      <c r="M63" s="302"/>
      <c r="N63" s="302"/>
      <c r="O63" s="133" t="str">
        <f t="shared" si="0"/>
        <v>erreur</v>
      </c>
    </row>
    <row r="64" spans="1:15" ht="36.75" customHeight="1" x14ac:dyDescent="0.25">
      <c r="A64" s="584"/>
      <c r="B64" s="280"/>
      <c r="C64" s="120" t="e">
        <f>VLOOKUP($B64,'Table 1-A Sources of evidences'!$A$6:$G$31,2,FALSE)</f>
        <v>#N/A</v>
      </c>
      <c r="D64" s="574" t="e">
        <f>VLOOKUP($B64,'Table 1-A Sources of evidences'!$A$6:$G$31,3,FALSE)</f>
        <v>#N/A</v>
      </c>
      <c r="E64" s="575"/>
      <c r="F64" s="574" t="e">
        <f>VLOOKUP($B64,'Table 1-A Sources of evidences'!$A$6:$G$31,4,FALSE)</f>
        <v>#N/A</v>
      </c>
      <c r="G64" s="576"/>
      <c r="H64" s="575"/>
      <c r="I64" s="120" t="e">
        <f>VLOOKUP($B64,'Table 1-A Sources of evidences'!$A$6:$G$31,5,FALSE)</f>
        <v>#N/A</v>
      </c>
      <c r="J64" s="120" t="e">
        <f>VLOOKUP($B64,'Table 1-A Sources of evidences'!$A$6:$G$31,6,FALSE)</f>
        <v>#N/A</v>
      </c>
      <c r="K64" s="476"/>
      <c r="L64" s="202"/>
      <c r="M64" s="302"/>
      <c r="N64" s="302"/>
      <c r="O64" s="133" t="str">
        <f t="shared" si="0"/>
        <v>erreur</v>
      </c>
    </row>
    <row r="65" spans="1:15" ht="36.75" customHeight="1" x14ac:dyDescent="0.25">
      <c r="A65" s="584"/>
      <c r="B65" s="280"/>
      <c r="C65" s="120" t="e">
        <f>VLOOKUP($B65,'Table 1-A Sources of evidences'!$A$6:$G$31,2,FALSE)</f>
        <v>#N/A</v>
      </c>
      <c r="D65" s="574" t="e">
        <f>VLOOKUP($B65,'Table 1-A Sources of evidences'!$A$6:$G$31,3,FALSE)</f>
        <v>#N/A</v>
      </c>
      <c r="E65" s="575"/>
      <c r="F65" s="574" t="e">
        <f>VLOOKUP($B65,'Table 1-A Sources of evidences'!$A$6:$G$31,4,FALSE)</f>
        <v>#N/A</v>
      </c>
      <c r="G65" s="576"/>
      <c r="H65" s="575"/>
      <c r="I65" s="120" t="e">
        <f>VLOOKUP($B65,'Table 1-A Sources of evidences'!$A$6:$G$31,5,FALSE)</f>
        <v>#N/A</v>
      </c>
      <c r="J65" s="120" t="e">
        <f>VLOOKUP($B65,'Table 1-A Sources of evidences'!$A$6:$G$31,6,FALSE)</f>
        <v>#N/A</v>
      </c>
      <c r="K65" s="476"/>
      <c r="L65" s="202"/>
      <c r="M65" s="302"/>
      <c r="N65" s="302"/>
      <c r="O65" s="133" t="str">
        <f t="shared" si="0"/>
        <v>erreur</v>
      </c>
    </row>
    <row r="66" spans="1:15" ht="36.75" customHeight="1" x14ac:dyDescent="0.25">
      <c r="A66" s="584"/>
      <c r="B66" s="280"/>
      <c r="C66" s="120" t="e">
        <f>VLOOKUP($B66,'Table 1-A Sources of evidences'!$A$6:$G$31,2,FALSE)</f>
        <v>#N/A</v>
      </c>
      <c r="D66" s="574" t="e">
        <f>VLOOKUP($B66,'Table 1-A Sources of evidences'!$A$6:$G$31,3,FALSE)</f>
        <v>#N/A</v>
      </c>
      <c r="E66" s="575"/>
      <c r="F66" s="574" t="e">
        <f>VLOOKUP($B66,'Table 1-A Sources of evidences'!$A$6:$G$31,4,FALSE)</f>
        <v>#N/A</v>
      </c>
      <c r="G66" s="576"/>
      <c r="H66" s="575"/>
      <c r="I66" s="120" t="e">
        <f>VLOOKUP($B66,'Table 1-A Sources of evidences'!$A$6:$G$31,5,FALSE)</f>
        <v>#N/A</v>
      </c>
      <c r="J66" s="120" t="e">
        <f>VLOOKUP($B66,'Table 1-A Sources of evidences'!$A$6:$G$31,6,FALSE)</f>
        <v>#N/A</v>
      </c>
      <c r="K66" s="476"/>
      <c r="L66" s="202"/>
      <c r="M66" s="302"/>
      <c r="N66" s="302"/>
      <c r="O66" s="133" t="str">
        <f t="shared" si="0"/>
        <v>erreur</v>
      </c>
    </row>
    <row r="67" spans="1:15" ht="36.75" customHeight="1" x14ac:dyDescent="0.25">
      <c r="A67" s="584"/>
      <c r="B67" s="280"/>
      <c r="C67" s="120" t="e">
        <f>VLOOKUP($B67,'Table 1-A Sources of evidences'!$A$6:$G$31,2,FALSE)</f>
        <v>#N/A</v>
      </c>
      <c r="D67" s="574" t="e">
        <f>VLOOKUP($B67,'Table 1-A Sources of evidences'!$A$6:$G$31,3,FALSE)</f>
        <v>#N/A</v>
      </c>
      <c r="E67" s="575"/>
      <c r="F67" s="574" t="e">
        <f>VLOOKUP($B67,'Table 1-A Sources of evidences'!$A$6:$G$31,4,FALSE)</f>
        <v>#N/A</v>
      </c>
      <c r="G67" s="576"/>
      <c r="H67" s="575"/>
      <c r="I67" s="120" t="e">
        <f>VLOOKUP($B67,'Table 1-A Sources of evidences'!$A$6:$G$31,5,FALSE)</f>
        <v>#N/A</v>
      </c>
      <c r="J67" s="120" t="e">
        <f>VLOOKUP($B67,'Table 1-A Sources of evidences'!$A$6:$G$31,6,FALSE)</f>
        <v>#N/A</v>
      </c>
      <c r="K67" s="476"/>
      <c r="L67" s="202"/>
      <c r="M67" s="201"/>
      <c r="N67" s="201"/>
      <c r="O67" s="133" t="str">
        <f t="shared" si="0"/>
        <v>erreur</v>
      </c>
    </row>
    <row r="68" spans="1:15" ht="36.75" customHeight="1" x14ac:dyDescent="0.25">
      <c r="A68" s="584"/>
      <c r="B68" s="280"/>
      <c r="C68" s="120" t="e">
        <f>VLOOKUP($B68,'Table 1-A Sources of evidences'!$A$6:$G$31,2,FALSE)</f>
        <v>#N/A</v>
      </c>
      <c r="D68" s="574" t="e">
        <f>VLOOKUP($B68,'Table 1-A Sources of evidences'!$A$6:$G$31,3,FALSE)</f>
        <v>#N/A</v>
      </c>
      <c r="E68" s="575"/>
      <c r="F68" s="574" t="e">
        <f>VLOOKUP($B68,'Table 1-A Sources of evidences'!$A$6:$G$31,4,FALSE)</f>
        <v>#N/A</v>
      </c>
      <c r="G68" s="576"/>
      <c r="H68" s="575"/>
      <c r="I68" s="120" t="e">
        <f>VLOOKUP($B68,'Table 1-A Sources of evidences'!$A$6:$G$31,5,FALSE)</f>
        <v>#N/A</v>
      </c>
      <c r="J68" s="120" t="e">
        <f>VLOOKUP($B68,'Table 1-A Sources of evidences'!$A$6:$G$31,6,FALSE)</f>
        <v>#N/A</v>
      </c>
      <c r="K68" s="476"/>
      <c r="L68" s="202"/>
      <c r="M68" s="240"/>
      <c r="N68" s="240"/>
      <c r="O68" s="133" t="str">
        <f t="shared" si="0"/>
        <v>erreur</v>
      </c>
    </row>
    <row r="69" spans="1:15" ht="36.75" customHeight="1" x14ac:dyDescent="0.25">
      <c r="A69" s="584"/>
      <c r="B69" s="280"/>
      <c r="C69" s="120" t="e">
        <f>VLOOKUP($B69,'Table 1-A Sources of evidences'!$A$6:$G$31,2,FALSE)</f>
        <v>#N/A</v>
      </c>
      <c r="D69" s="574" t="e">
        <f>VLOOKUP($B69,'Table 1-A Sources of evidences'!$A$6:$G$31,3,FALSE)</f>
        <v>#N/A</v>
      </c>
      <c r="E69" s="575"/>
      <c r="F69" s="574" t="e">
        <f>VLOOKUP($B69,'Table 1-A Sources of evidences'!$A$6:$G$31,4,FALSE)</f>
        <v>#N/A</v>
      </c>
      <c r="G69" s="576"/>
      <c r="H69" s="575"/>
      <c r="I69" s="120" t="e">
        <f>VLOOKUP($B69,'Table 1-A Sources of evidences'!$A$6:$G$31,5,FALSE)</f>
        <v>#N/A</v>
      </c>
      <c r="J69" s="120" t="e">
        <f>VLOOKUP($B69,'Table 1-A Sources of evidences'!$A$6:$G$31,6,FALSE)</f>
        <v>#N/A</v>
      </c>
      <c r="K69" s="476"/>
      <c r="L69" s="202"/>
      <c r="M69" s="201"/>
      <c r="N69" s="201"/>
      <c r="O69" s="133" t="str">
        <f t="shared" si="0"/>
        <v>erreur</v>
      </c>
    </row>
    <row r="70" spans="1:15" ht="36.75" customHeight="1" x14ac:dyDescent="0.25">
      <c r="A70" s="584"/>
      <c r="B70" s="280"/>
      <c r="C70" s="120" t="e">
        <f>VLOOKUP($B70,'Table 1-A Sources of evidences'!$A$6:$G$31,2,FALSE)</f>
        <v>#N/A</v>
      </c>
      <c r="D70" s="574" t="e">
        <f>VLOOKUP($B70,'Table 1-A Sources of evidences'!$A$6:$G$31,3,FALSE)</f>
        <v>#N/A</v>
      </c>
      <c r="E70" s="575"/>
      <c r="F70" s="574" t="e">
        <f>VLOOKUP($B70,'Table 1-A Sources of evidences'!$A$6:$G$31,4,FALSE)</f>
        <v>#N/A</v>
      </c>
      <c r="G70" s="576"/>
      <c r="H70" s="575"/>
      <c r="I70" s="120" t="e">
        <f>VLOOKUP($B70,'Table 1-A Sources of evidences'!$A$6:$G$31,5,FALSE)</f>
        <v>#N/A</v>
      </c>
      <c r="J70" s="120" t="e">
        <f>VLOOKUP($B70,'Table 1-A Sources of evidences'!$A$6:$G$31,6,FALSE)</f>
        <v>#N/A</v>
      </c>
      <c r="K70" s="476"/>
      <c r="L70" s="202"/>
      <c r="M70" s="201"/>
      <c r="N70" s="201"/>
      <c r="O70" s="133" t="str">
        <f t="shared" si="0"/>
        <v>erreur</v>
      </c>
    </row>
    <row r="71" spans="1:15" ht="7.5" customHeight="1" x14ac:dyDescent="0.25">
      <c r="A71" s="585"/>
      <c r="B71" s="124"/>
      <c r="C71" s="5"/>
      <c r="D71" s="5"/>
      <c r="E71" s="5"/>
      <c r="F71" s="5"/>
      <c r="G71" s="5"/>
      <c r="H71" s="5"/>
      <c r="I71" s="5"/>
      <c r="J71" s="5"/>
      <c r="K71" s="5"/>
      <c r="L71" s="289"/>
      <c r="M71" s="5"/>
      <c r="N71" s="5"/>
      <c r="O71" s="134"/>
    </row>
    <row r="72" spans="1:15" ht="37.5" customHeight="1" x14ac:dyDescent="0.25">
      <c r="A72" s="577" t="s">
        <v>129</v>
      </c>
      <c r="B72" s="538" t="s">
        <v>63</v>
      </c>
      <c r="C72" s="120" t="e">
        <f>VLOOKUP($B72,'Table 1-A Sources of evidences'!$A$6:$G$31,2,FALSE)</f>
        <v>#N/A</v>
      </c>
      <c r="D72" s="574" t="e">
        <f>VLOOKUP($B72,'Table 1-A Sources of evidences'!$A$6:$G$31,3,FALSE)</f>
        <v>#N/A</v>
      </c>
      <c r="E72" s="575"/>
      <c r="F72" s="574" t="e">
        <f>VLOOKUP($B72,'Table 1-A Sources of evidences'!$A$6:$G$31,4,FALSE)</f>
        <v>#N/A</v>
      </c>
      <c r="G72" s="576"/>
      <c r="H72" s="575"/>
      <c r="I72" s="120" t="e">
        <f>VLOOKUP($B72,'Table 1-A Sources of evidences'!$A$6:$G$31,5,FALSE)</f>
        <v>#N/A</v>
      </c>
      <c r="J72" s="120" t="e">
        <f>VLOOKUP($B72,'Table 1-A Sources of evidences'!$A$6:$G$31,6,FALSE)</f>
        <v>#N/A</v>
      </c>
      <c r="K72" s="476"/>
      <c r="L72" s="203"/>
      <c r="M72" s="201"/>
      <c r="N72" s="201"/>
      <c r="O72" s="133" t="str">
        <f t="shared" si="0"/>
        <v>erreur</v>
      </c>
    </row>
    <row r="73" spans="1:15" ht="37.5" customHeight="1" x14ac:dyDescent="0.25">
      <c r="A73" s="578"/>
      <c r="B73" s="538" t="s">
        <v>63</v>
      </c>
      <c r="C73" s="120" t="e">
        <f>VLOOKUP($B73,'Table 1-A Sources of evidences'!$A$6:$G$31,2,FALSE)</f>
        <v>#N/A</v>
      </c>
      <c r="D73" s="574" t="e">
        <f>VLOOKUP($B73,'Table 1-A Sources of evidences'!$A$6:$G$31,3,FALSE)</f>
        <v>#N/A</v>
      </c>
      <c r="E73" s="575"/>
      <c r="F73" s="574" t="e">
        <f>VLOOKUP($B73,'Table 1-A Sources of evidences'!$A$6:$G$31,4,FALSE)</f>
        <v>#N/A</v>
      </c>
      <c r="G73" s="576"/>
      <c r="H73" s="575"/>
      <c r="I73" s="120" t="e">
        <f>VLOOKUP($B73,'Table 1-A Sources of evidences'!$A$6:$G$31,5,FALSE)</f>
        <v>#N/A</v>
      </c>
      <c r="J73" s="120" t="e">
        <f>VLOOKUP($B73,'Table 1-A Sources of evidences'!$A$6:$G$31,6,FALSE)</f>
        <v>#N/A</v>
      </c>
      <c r="K73" s="476"/>
      <c r="L73" s="203"/>
      <c r="M73" s="201"/>
      <c r="N73" s="201"/>
      <c r="O73" s="133" t="str">
        <f t="shared" si="0"/>
        <v>erreur</v>
      </c>
    </row>
    <row r="74" spans="1:15" ht="86.25" customHeight="1" x14ac:dyDescent="0.25">
      <c r="A74" s="578"/>
      <c r="B74" s="280"/>
      <c r="C74" s="120" t="e">
        <f>VLOOKUP($B74,'Table 1-A Sources of evidences'!$A$6:$G$31,2,FALSE)</f>
        <v>#N/A</v>
      </c>
      <c r="D74" s="574" t="e">
        <f>VLOOKUP($B74,'Table 1-A Sources of evidences'!$A$6:$G$31,3,FALSE)</f>
        <v>#N/A</v>
      </c>
      <c r="E74" s="575"/>
      <c r="F74" s="574" t="e">
        <f>VLOOKUP($B74,'Table 1-A Sources of evidences'!$A$6:$G$31,4,FALSE)</f>
        <v>#N/A</v>
      </c>
      <c r="G74" s="576"/>
      <c r="H74" s="575"/>
      <c r="I74" s="120" t="e">
        <f>VLOOKUP($B74,'Table 1-A Sources of evidences'!$A$6:$G$31,5,FALSE)</f>
        <v>#N/A</v>
      </c>
      <c r="J74" s="120" t="e">
        <f>VLOOKUP($B74,'Table 1-A Sources of evidences'!$A$6:$G$31,6,FALSE)</f>
        <v>#N/A</v>
      </c>
      <c r="K74" s="476"/>
      <c r="L74" s="202"/>
      <c r="M74" s="201"/>
      <c r="N74" s="201"/>
      <c r="O74" s="133" t="str">
        <f t="shared" si="0"/>
        <v>erreur</v>
      </c>
    </row>
    <row r="75" spans="1:15" ht="37.5" customHeight="1" x14ac:dyDescent="0.25">
      <c r="A75" s="578"/>
      <c r="B75" s="280"/>
      <c r="C75" s="120" t="e">
        <f>VLOOKUP($B75,'Table 1-A Sources of evidences'!$A$6:$G$31,2,FALSE)</f>
        <v>#N/A</v>
      </c>
      <c r="D75" s="574" t="e">
        <f>VLOOKUP($B75,'Table 1-A Sources of evidences'!$A$6:$G$31,3,FALSE)</f>
        <v>#N/A</v>
      </c>
      <c r="E75" s="575"/>
      <c r="F75" s="574" t="e">
        <f>VLOOKUP($B75,'Table 1-A Sources of evidences'!$A$6:$G$31,4,FALSE)</f>
        <v>#N/A</v>
      </c>
      <c r="G75" s="576"/>
      <c r="H75" s="575"/>
      <c r="I75" s="120" t="e">
        <f>VLOOKUP($B75,'Table 1-A Sources of evidences'!$A$6:$G$31,5,FALSE)</f>
        <v>#N/A</v>
      </c>
      <c r="J75" s="120" t="e">
        <f>VLOOKUP($B75,'Table 1-A Sources of evidences'!$A$6:$G$31,6,FALSE)</f>
        <v>#N/A</v>
      </c>
      <c r="K75" s="476"/>
      <c r="L75" s="203"/>
      <c r="M75" s="240"/>
      <c r="N75" s="240"/>
      <c r="O75" s="133" t="str">
        <f t="shared" si="0"/>
        <v>erreur</v>
      </c>
    </row>
    <row r="76" spans="1:15" ht="37.5" customHeight="1" x14ac:dyDescent="0.25">
      <c r="A76" s="578"/>
      <c r="B76" s="280"/>
      <c r="C76" s="120" t="e">
        <f>VLOOKUP($B76,'Table 1-A Sources of evidences'!$A$6:$G$31,2,FALSE)</f>
        <v>#N/A</v>
      </c>
      <c r="D76" s="574" t="e">
        <f>VLOOKUP($B76,'Table 1-A Sources of evidences'!$A$6:$G$31,3,FALSE)</f>
        <v>#N/A</v>
      </c>
      <c r="E76" s="575"/>
      <c r="F76" s="574" t="e">
        <f>VLOOKUP($B76,'Table 1-A Sources of evidences'!$A$6:$G$31,4,FALSE)</f>
        <v>#N/A</v>
      </c>
      <c r="G76" s="576"/>
      <c r="H76" s="575"/>
      <c r="I76" s="120" t="e">
        <f>VLOOKUP($B76,'Table 1-A Sources of evidences'!$A$6:$G$31,5,FALSE)</f>
        <v>#N/A</v>
      </c>
      <c r="J76" s="120" t="e">
        <f>VLOOKUP($B76,'Table 1-A Sources of evidences'!$A$6:$G$31,6,FALSE)</f>
        <v>#N/A</v>
      </c>
      <c r="K76" s="476"/>
      <c r="L76" s="203"/>
      <c r="M76" s="240"/>
      <c r="N76" s="240"/>
      <c r="O76" s="133" t="str">
        <f t="shared" si="0"/>
        <v>erreur</v>
      </c>
    </row>
    <row r="77" spans="1:15" ht="37.5" customHeight="1" x14ac:dyDescent="0.25">
      <c r="A77" s="578"/>
      <c r="B77" s="280"/>
      <c r="C77" s="120" t="e">
        <f>VLOOKUP($B77,'Table 1-A Sources of evidences'!$A$6:$G$31,2,FALSE)</f>
        <v>#N/A</v>
      </c>
      <c r="D77" s="574" t="e">
        <f>VLOOKUP($B77,'Table 1-A Sources of evidences'!$A$6:$G$31,3,FALSE)</f>
        <v>#N/A</v>
      </c>
      <c r="E77" s="575"/>
      <c r="F77" s="574" t="e">
        <f>VLOOKUP($B77,'Table 1-A Sources of evidences'!$A$6:$G$31,4,FALSE)</f>
        <v>#N/A</v>
      </c>
      <c r="G77" s="576"/>
      <c r="H77" s="575"/>
      <c r="I77" s="120" t="e">
        <f>VLOOKUP($B77,'Table 1-A Sources of evidences'!$A$6:$G$31,5,FALSE)</f>
        <v>#N/A</v>
      </c>
      <c r="J77" s="120" t="e">
        <f>VLOOKUP($B77,'Table 1-A Sources of evidences'!$A$6:$G$31,6,FALSE)</f>
        <v>#N/A</v>
      </c>
      <c r="K77" s="476"/>
      <c r="L77" s="202"/>
      <c r="M77" s="240"/>
      <c r="N77" s="240"/>
      <c r="O77" s="133" t="str">
        <f t="shared" si="0"/>
        <v>erreur</v>
      </c>
    </row>
    <row r="78" spans="1:15" ht="37.5" customHeight="1" x14ac:dyDescent="0.25">
      <c r="A78" s="578"/>
      <c r="B78" s="280"/>
      <c r="C78" s="120" t="e">
        <f>VLOOKUP($B78,'Table 1-A Sources of evidences'!$A$6:$G$31,2,FALSE)</f>
        <v>#N/A</v>
      </c>
      <c r="D78" s="574" t="e">
        <f>VLOOKUP($B78,'Table 1-A Sources of evidences'!$A$6:$G$31,3,FALSE)</f>
        <v>#N/A</v>
      </c>
      <c r="E78" s="575"/>
      <c r="F78" s="574" t="e">
        <f>VLOOKUP($B78,'Table 1-A Sources of evidences'!$A$6:$G$31,4,FALSE)</f>
        <v>#N/A</v>
      </c>
      <c r="G78" s="576"/>
      <c r="H78" s="575"/>
      <c r="I78" s="120" t="e">
        <f>VLOOKUP($B78,'Table 1-A Sources of evidences'!$A$6:$G$31,5,FALSE)</f>
        <v>#N/A</v>
      </c>
      <c r="J78" s="120" t="e">
        <f>VLOOKUP($B78,'Table 1-A Sources of evidences'!$A$6:$G$31,6,FALSE)</f>
        <v>#N/A</v>
      </c>
      <c r="K78" s="476"/>
      <c r="L78" s="203"/>
      <c r="M78" s="302"/>
      <c r="N78" s="302"/>
      <c r="O78" s="133" t="str">
        <f t="shared" ref="O78:O86" si="1">IF(M78="V-nu","R0",IF(AND(M78="V1",N78="T1"),"R0",IF(AND(M78="V1",N78="T2"),"R1",IF(AND(M78="V1",N78="T3"),"R1",IF(AND(M78="V2",N78="T1"),"R1",IF(AND(M78="V2",N78="T2"),"R2",IF(AND(M78="V2",N78="T3"),"R2",IF(AND(M78="V3",N78="T1"),"F1",IF(AND(M78="V3",N78="T2"),"R2",IF(AND(M78="V3",N78="T3"),"R3","erreur"))))))))))</f>
        <v>erreur</v>
      </c>
    </row>
    <row r="79" spans="1:15" ht="37.5" customHeight="1" x14ac:dyDescent="0.25">
      <c r="A79" s="578"/>
      <c r="B79" s="280"/>
      <c r="C79" s="120" t="e">
        <f>VLOOKUP($B79,'Table 1-A Sources of evidences'!$A$6:$G$31,2,FALSE)</f>
        <v>#N/A</v>
      </c>
      <c r="D79" s="574" t="e">
        <f>VLOOKUP($B79,'Table 1-A Sources of evidences'!$A$6:$G$31,3,FALSE)</f>
        <v>#N/A</v>
      </c>
      <c r="E79" s="575"/>
      <c r="F79" s="574" t="e">
        <f>VLOOKUP($B79,'Table 1-A Sources of evidences'!$A$6:$G$31,4,FALSE)</f>
        <v>#N/A</v>
      </c>
      <c r="G79" s="576"/>
      <c r="H79" s="575"/>
      <c r="I79" s="120" t="e">
        <f>VLOOKUP($B79,'Table 1-A Sources of evidences'!$A$6:$G$31,5,FALSE)</f>
        <v>#N/A</v>
      </c>
      <c r="J79" s="120" t="e">
        <f>VLOOKUP($B79,'Table 1-A Sources of evidences'!$A$6:$G$31,6,FALSE)</f>
        <v>#N/A</v>
      </c>
      <c r="K79" s="476"/>
      <c r="L79" s="203"/>
      <c r="M79" s="302"/>
      <c r="N79" s="302"/>
      <c r="O79" s="133" t="str">
        <f t="shared" si="1"/>
        <v>erreur</v>
      </c>
    </row>
    <row r="80" spans="1:15" ht="37.5" customHeight="1" x14ac:dyDescent="0.25">
      <c r="A80" s="578"/>
      <c r="B80" s="280"/>
      <c r="C80" s="120" t="e">
        <f>VLOOKUP($B80,'Table 1-A Sources of evidences'!$A$6:$G$31,2,FALSE)</f>
        <v>#N/A</v>
      </c>
      <c r="D80" s="574" t="e">
        <f>VLOOKUP($B80,'Table 1-A Sources of evidences'!$A$6:$G$31,3,FALSE)</f>
        <v>#N/A</v>
      </c>
      <c r="E80" s="575"/>
      <c r="F80" s="574" t="e">
        <f>VLOOKUP($B80,'Table 1-A Sources of evidences'!$A$6:$G$31,4,FALSE)</f>
        <v>#N/A</v>
      </c>
      <c r="G80" s="576"/>
      <c r="H80" s="575"/>
      <c r="I80" s="120" t="e">
        <f>VLOOKUP($B80,'Table 1-A Sources of evidences'!$A$6:$G$31,5,FALSE)</f>
        <v>#N/A</v>
      </c>
      <c r="J80" s="120" t="e">
        <f>VLOOKUP($B80,'Table 1-A Sources of evidences'!$A$6:$G$31,6,FALSE)</f>
        <v>#N/A</v>
      </c>
      <c r="K80" s="476"/>
      <c r="L80" s="202"/>
      <c r="M80" s="302"/>
      <c r="N80" s="302"/>
      <c r="O80" s="133" t="str">
        <f t="shared" si="1"/>
        <v>erreur</v>
      </c>
    </row>
    <row r="81" spans="1:15" ht="37.5" customHeight="1" x14ac:dyDescent="0.25">
      <c r="A81" s="578"/>
      <c r="B81" s="280"/>
      <c r="C81" s="120" t="e">
        <f>VLOOKUP($B81,'Table 1-A Sources of evidences'!$A$6:$G$31,2,FALSE)</f>
        <v>#N/A</v>
      </c>
      <c r="D81" s="574" t="e">
        <f>VLOOKUP($B81,'Table 1-A Sources of evidences'!$A$6:$G$31,3,FALSE)</f>
        <v>#N/A</v>
      </c>
      <c r="E81" s="575"/>
      <c r="F81" s="574" t="e">
        <f>VLOOKUP($B81,'Table 1-A Sources of evidences'!$A$6:$G$31,4,FALSE)</f>
        <v>#N/A</v>
      </c>
      <c r="G81" s="576"/>
      <c r="H81" s="575"/>
      <c r="I81" s="120" t="e">
        <f>VLOOKUP($B81,'Table 1-A Sources of evidences'!$A$6:$G$31,5,FALSE)</f>
        <v>#N/A</v>
      </c>
      <c r="J81" s="120" t="e">
        <f>VLOOKUP($B81,'Table 1-A Sources of evidences'!$A$6:$G$31,6,FALSE)</f>
        <v>#N/A</v>
      </c>
      <c r="K81" s="476"/>
      <c r="L81" s="203"/>
      <c r="M81" s="302"/>
      <c r="N81" s="302"/>
      <c r="O81" s="133" t="str">
        <f t="shared" si="1"/>
        <v>erreur</v>
      </c>
    </row>
    <row r="82" spans="1:15" ht="37.5" customHeight="1" x14ac:dyDescent="0.25">
      <c r="A82" s="578"/>
      <c r="B82" s="280"/>
      <c r="C82" s="120" t="e">
        <f>VLOOKUP($B82,'Table 1-A Sources of evidences'!$A$6:$G$31,2,FALSE)</f>
        <v>#N/A</v>
      </c>
      <c r="D82" s="574" t="e">
        <f>VLOOKUP($B82,'Table 1-A Sources of evidences'!$A$6:$G$31,3,FALSE)</f>
        <v>#N/A</v>
      </c>
      <c r="E82" s="575"/>
      <c r="F82" s="574" t="e">
        <f>VLOOKUP($B82,'Table 1-A Sources of evidences'!$A$6:$G$31,4,FALSE)</f>
        <v>#N/A</v>
      </c>
      <c r="G82" s="576"/>
      <c r="H82" s="575"/>
      <c r="I82" s="120" t="e">
        <f>VLOOKUP($B82,'Table 1-A Sources of evidences'!$A$6:$G$31,5,FALSE)</f>
        <v>#N/A</v>
      </c>
      <c r="J82" s="120" t="e">
        <f>VLOOKUP($B82,'Table 1-A Sources of evidences'!$A$6:$G$31,6,FALSE)</f>
        <v>#N/A</v>
      </c>
      <c r="K82" s="476"/>
      <c r="L82" s="203"/>
      <c r="M82" s="302"/>
      <c r="N82" s="302"/>
      <c r="O82" s="133" t="str">
        <f t="shared" si="1"/>
        <v>erreur</v>
      </c>
    </row>
    <row r="83" spans="1:15" ht="37.5" customHeight="1" x14ac:dyDescent="0.25">
      <c r="A83" s="578"/>
      <c r="B83" s="280"/>
      <c r="C83" s="120" t="e">
        <f>VLOOKUP($B83,'Table 1-A Sources of evidences'!$A$6:$G$31,2,FALSE)</f>
        <v>#N/A</v>
      </c>
      <c r="D83" s="574" t="e">
        <f>VLOOKUP($B83,'Table 1-A Sources of evidences'!$A$6:$G$31,3,FALSE)</f>
        <v>#N/A</v>
      </c>
      <c r="E83" s="575"/>
      <c r="F83" s="574" t="e">
        <f>VLOOKUP($B83,'Table 1-A Sources of evidences'!$A$6:$G$31,4,FALSE)</f>
        <v>#N/A</v>
      </c>
      <c r="G83" s="576"/>
      <c r="H83" s="575"/>
      <c r="I83" s="120" t="e">
        <f>VLOOKUP($B83,'Table 1-A Sources of evidences'!$A$6:$G$31,5,FALSE)</f>
        <v>#N/A</v>
      </c>
      <c r="J83" s="120" t="e">
        <f>VLOOKUP($B83,'Table 1-A Sources of evidences'!$A$6:$G$31,6,FALSE)</f>
        <v>#N/A</v>
      </c>
      <c r="K83" s="476"/>
      <c r="L83" s="202"/>
      <c r="M83" s="240"/>
      <c r="N83" s="240"/>
      <c r="O83" s="133" t="str">
        <f t="shared" si="1"/>
        <v>erreur</v>
      </c>
    </row>
    <row r="84" spans="1:15" ht="37.5" customHeight="1" x14ac:dyDescent="0.25">
      <c r="A84" s="578"/>
      <c r="B84" s="280"/>
      <c r="C84" s="120" t="e">
        <f>VLOOKUP($B84,'Table 1-A Sources of evidences'!$A$6:$G$31,2,FALSE)</f>
        <v>#N/A</v>
      </c>
      <c r="D84" s="574" t="e">
        <f>VLOOKUP($B84,'Table 1-A Sources of evidences'!$A$6:$G$31,3,FALSE)</f>
        <v>#N/A</v>
      </c>
      <c r="E84" s="575"/>
      <c r="F84" s="574" t="e">
        <f>VLOOKUP($B84,'Table 1-A Sources of evidences'!$A$6:$G$31,4,FALSE)</f>
        <v>#N/A</v>
      </c>
      <c r="G84" s="576"/>
      <c r="H84" s="575"/>
      <c r="I84" s="120" t="e">
        <f>VLOOKUP($B84,'Table 1-A Sources of evidences'!$A$6:$G$31,5,FALSE)</f>
        <v>#N/A</v>
      </c>
      <c r="J84" s="120" t="e">
        <f>VLOOKUP($B84,'Table 1-A Sources of evidences'!$A$6:$G$31,6,FALSE)</f>
        <v>#N/A</v>
      </c>
      <c r="K84" s="476"/>
      <c r="L84" s="203"/>
      <c r="M84" s="240"/>
      <c r="N84" s="240"/>
      <c r="O84" s="133" t="str">
        <f t="shared" si="1"/>
        <v>erreur</v>
      </c>
    </row>
    <row r="85" spans="1:15" ht="37.5" customHeight="1" x14ac:dyDescent="0.25">
      <c r="A85" s="578"/>
      <c r="B85" s="280"/>
      <c r="C85" s="120" t="e">
        <f>VLOOKUP($B85,'Table 1-A Sources of evidences'!$A$6:$G$31,2,FALSE)</f>
        <v>#N/A</v>
      </c>
      <c r="D85" s="574" t="e">
        <f>VLOOKUP($B85,'Table 1-A Sources of evidences'!$A$6:$G$31,3,FALSE)</f>
        <v>#N/A</v>
      </c>
      <c r="E85" s="575"/>
      <c r="F85" s="574" t="e">
        <f>VLOOKUP($B85,'Table 1-A Sources of evidences'!$A$6:$G$31,4,FALSE)</f>
        <v>#N/A</v>
      </c>
      <c r="G85" s="576"/>
      <c r="H85" s="575"/>
      <c r="I85" s="120" t="e">
        <f>VLOOKUP($B85,'Table 1-A Sources of evidences'!$A$6:$G$31,5,FALSE)</f>
        <v>#N/A</v>
      </c>
      <c r="J85" s="120" t="e">
        <f>VLOOKUP($B85,'Table 1-A Sources of evidences'!$A$6:$G$31,6,FALSE)</f>
        <v>#N/A</v>
      </c>
      <c r="K85" s="476"/>
      <c r="L85" s="203"/>
      <c r="M85" s="201"/>
      <c r="N85" s="201"/>
      <c r="O85" s="133" t="str">
        <f t="shared" si="1"/>
        <v>erreur</v>
      </c>
    </row>
    <row r="86" spans="1:15" ht="37.5" customHeight="1" x14ac:dyDescent="0.25">
      <c r="A86" s="578"/>
      <c r="B86" s="280"/>
      <c r="C86" s="120" t="e">
        <f>VLOOKUP($B86,'Table 1-A Sources of evidences'!$A$6:$G$31,2)</f>
        <v>#N/A</v>
      </c>
      <c r="D86" s="574" t="e">
        <f>VLOOKUP($B86,'Table 1-A Sources of evidences'!$A$6:$G$31,3,FALSE)</f>
        <v>#N/A</v>
      </c>
      <c r="E86" s="575"/>
      <c r="F86" s="574" t="e">
        <f>VLOOKUP($B86,'Table 1-A Sources of evidences'!$A$6:$G$31,4,FALSE)</f>
        <v>#N/A</v>
      </c>
      <c r="G86" s="576"/>
      <c r="H86" s="575"/>
      <c r="I86" s="120" t="e">
        <f>VLOOKUP($B86,'Table 1-A Sources of evidences'!$A$6:$G$31,5,FALSE)</f>
        <v>#N/A</v>
      </c>
      <c r="J86" s="120" t="e">
        <f>VLOOKUP($B86,'Table 1-A Sources of evidences'!$A$6:$G$31,6,FALSE)</f>
        <v>#N/A</v>
      </c>
      <c r="K86" s="476"/>
      <c r="L86" s="202"/>
      <c r="M86" s="201"/>
      <c r="N86" s="201"/>
      <c r="O86" s="133" t="str">
        <f t="shared" si="1"/>
        <v>erreur</v>
      </c>
    </row>
    <row r="87" spans="1:15" ht="25.5" customHeight="1" x14ac:dyDescent="0.25">
      <c r="A87" s="579"/>
      <c r="B87" s="124"/>
      <c r="C87" s="5"/>
      <c r="D87" s="5"/>
      <c r="E87" s="5"/>
      <c r="F87" s="5"/>
      <c r="G87" s="5"/>
      <c r="H87" s="5"/>
      <c r="I87" s="5"/>
      <c r="J87" s="5"/>
      <c r="K87" s="5"/>
      <c r="L87" s="289"/>
      <c r="M87" s="5"/>
      <c r="N87" s="5"/>
      <c r="O87" s="134"/>
    </row>
    <row r="88" spans="1:15" ht="25.5" customHeight="1" x14ac:dyDescent="0.25"/>
    <row r="89" spans="1:15" ht="25.5" customHeight="1" x14ac:dyDescent="0.25"/>
  </sheetData>
  <sheetProtection formatCells="0" formatColumns="0" formatRows="0" insertRows="0"/>
  <protectedRanges>
    <protectedRange sqref="L22:N22 L28:N38 L42:N54 L60:N70 L74:N74 L14:N16 M12:N13 M18:N21 M24:N27 M40:N41 M56:N59 M72:N73 M75:N86 L77 L80 L86 L83" name="Range2"/>
    <protectedRange sqref="B12:B16 B72:B86 B24:B38 B40:B54 B60:B70 B18:B22" name="Range1"/>
    <protectedRange sqref="K12:K16 K18:K22 K24:K38 K40:K54 K56:K70 K72:K86" name="Range5"/>
    <protectedRange sqref="L12:L13" name="Range2_1"/>
    <protectedRange sqref="L18:L21" name="Range2_2"/>
    <protectedRange sqref="L24:L27" name="Range2_3"/>
    <protectedRange sqref="L40:L41" name="Range2_4"/>
    <protectedRange sqref="B56:B59" name="Range1_1"/>
    <protectedRange sqref="L56:L59" name="Range2_5"/>
    <protectedRange sqref="L72:L73 L75:L76 L78:L79 L84:L85 L81:L82" name="Range2_6"/>
  </protectedRanges>
  <mergeCells count="155">
    <mergeCell ref="D33:E33"/>
    <mergeCell ref="F49:H49"/>
    <mergeCell ref="F79:H79"/>
    <mergeCell ref="D80:E80"/>
    <mergeCell ref="D56:E56"/>
    <mergeCell ref="D57:E57"/>
    <mergeCell ref="D83:E83"/>
    <mergeCell ref="F83:H83"/>
    <mergeCell ref="D75:E75"/>
    <mergeCell ref="F75:H75"/>
    <mergeCell ref="D76:E76"/>
    <mergeCell ref="F76:H76"/>
    <mergeCell ref="D77:E77"/>
    <mergeCell ref="F77:H77"/>
    <mergeCell ref="F80:H80"/>
    <mergeCell ref="D81:E81"/>
    <mergeCell ref="F81:H81"/>
    <mergeCell ref="D82:E82"/>
    <mergeCell ref="F82:H82"/>
    <mergeCell ref="D50:E50"/>
    <mergeCell ref="F50:H50"/>
    <mergeCell ref="D62:E62"/>
    <mergeCell ref="D64:E64"/>
    <mergeCell ref="F64:H64"/>
    <mergeCell ref="D84:E84"/>
    <mergeCell ref="F84:H84"/>
    <mergeCell ref="D66:E66"/>
    <mergeCell ref="F66:H66"/>
    <mergeCell ref="D78:E78"/>
    <mergeCell ref="F78:H78"/>
    <mergeCell ref="F16:H16"/>
    <mergeCell ref="D17:E17"/>
    <mergeCell ref="F17:H17"/>
    <mergeCell ref="D18:E18"/>
    <mergeCell ref="F18:H18"/>
    <mergeCell ref="F31:H31"/>
    <mergeCell ref="F32:H32"/>
    <mergeCell ref="F33:H33"/>
    <mergeCell ref="D25:E25"/>
    <mergeCell ref="F25:H25"/>
    <mergeCell ref="D26:E26"/>
    <mergeCell ref="F26:H26"/>
    <mergeCell ref="D27:E27"/>
    <mergeCell ref="F27:H27"/>
    <mergeCell ref="D28:E28"/>
    <mergeCell ref="F28:H28"/>
    <mergeCell ref="D29:E29"/>
    <mergeCell ref="F29:H29"/>
    <mergeCell ref="D46:E46"/>
    <mergeCell ref="F46:H46"/>
    <mergeCell ref="D47:E47"/>
    <mergeCell ref="F47:H47"/>
    <mergeCell ref="D48:E48"/>
    <mergeCell ref="F48:H48"/>
    <mergeCell ref="D49:E49"/>
    <mergeCell ref="D85:E85"/>
    <mergeCell ref="D70:E70"/>
    <mergeCell ref="F67:H67"/>
    <mergeCell ref="F69:H69"/>
    <mergeCell ref="D61:E61"/>
    <mergeCell ref="F57:H57"/>
    <mergeCell ref="F58:H58"/>
    <mergeCell ref="F59:H59"/>
    <mergeCell ref="F60:H60"/>
    <mergeCell ref="F61:H61"/>
    <mergeCell ref="D67:E67"/>
    <mergeCell ref="D69:E69"/>
    <mergeCell ref="D68:E68"/>
    <mergeCell ref="F68:H68"/>
    <mergeCell ref="D73:E73"/>
    <mergeCell ref="D74:E74"/>
    <mergeCell ref="D58:E58"/>
    <mergeCell ref="D13:E13"/>
    <mergeCell ref="D14:E14"/>
    <mergeCell ref="D36:E36"/>
    <mergeCell ref="D35:E35"/>
    <mergeCell ref="D38:E38"/>
    <mergeCell ref="D45:E45"/>
    <mergeCell ref="D16:E16"/>
    <mergeCell ref="F45:H45"/>
    <mergeCell ref="D51:E51"/>
    <mergeCell ref="F51:H51"/>
    <mergeCell ref="F36:H36"/>
    <mergeCell ref="D37:E37"/>
    <mergeCell ref="F37:H37"/>
    <mergeCell ref="D44:E44"/>
    <mergeCell ref="F44:H44"/>
    <mergeCell ref="D40:E40"/>
    <mergeCell ref="D41:E41"/>
    <mergeCell ref="F40:H40"/>
    <mergeCell ref="F41:H41"/>
    <mergeCell ref="F38:H38"/>
    <mergeCell ref="F42:H42"/>
    <mergeCell ref="F43:H43"/>
    <mergeCell ref="D43:E43"/>
    <mergeCell ref="D42:E42"/>
    <mergeCell ref="F30:H30"/>
    <mergeCell ref="D24:E24"/>
    <mergeCell ref="D30:E30"/>
    <mergeCell ref="D79:E79"/>
    <mergeCell ref="A2:O2"/>
    <mergeCell ref="A10:O10"/>
    <mergeCell ref="A12:A23"/>
    <mergeCell ref="A24:A39"/>
    <mergeCell ref="F12:H12"/>
    <mergeCell ref="F13:H13"/>
    <mergeCell ref="F14:H14"/>
    <mergeCell ref="F15:H15"/>
    <mergeCell ref="F19:H19"/>
    <mergeCell ref="F20:H20"/>
    <mergeCell ref="F21:H21"/>
    <mergeCell ref="F24:H24"/>
    <mergeCell ref="D4:E4"/>
    <mergeCell ref="D5:E5"/>
    <mergeCell ref="D6:E6"/>
    <mergeCell ref="D8:E8"/>
    <mergeCell ref="D31:E31"/>
    <mergeCell ref="D32:E32"/>
    <mergeCell ref="D34:E34"/>
    <mergeCell ref="D12:E12"/>
    <mergeCell ref="F70:H70"/>
    <mergeCell ref="A40:A55"/>
    <mergeCell ref="A72:A87"/>
    <mergeCell ref="F11:H11"/>
    <mergeCell ref="D11:E11"/>
    <mergeCell ref="A56:A71"/>
    <mergeCell ref="D15:E15"/>
    <mergeCell ref="D19:E19"/>
    <mergeCell ref="D20:E20"/>
    <mergeCell ref="D21:E21"/>
    <mergeCell ref="D22:E22"/>
    <mergeCell ref="F22:H22"/>
    <mergeCell ref="D86:E86"/>
    <mergeCell ref="F72:H72"/>
    <mergeCell ref="F73:H73"/>
    <mergeCell ref="F74:H74"/>
    <mergeCell ref="F85:H85"/>
    <mergeCell ref="F86:H86"/>
    <mergeCell ref="D72:E72"/>
    <mergeCell ref="F53:H53"/>
    <mergeCell ref="F54:H54"/>
    <mergeCell ref="F56:H56"/>
    <mergeCell ref="F34:H34"/>
    <mergeCell ref="F35:H35"/>
    <mergeCell ref="D54:E54"/>
    <mergeCell ref="D52:E52"/>
    <mergeCell ref="F52:H52"/>
    <mergeCell ref="D53:E53"/>
    <mergeCell ref="F62:H62"/>
    <mergeCell ref="D63:E63"/>
    <mergeCell ref="F63:H63"/>
    <mergeCell ref="F65:H65"/>
    <mergeCell ref="D60:E60"/>
    <mergeCell ref="D59:E59"/>
    <mergeCell ref="D65:E65"/>
  </mergeCells>
  <conditionalFormatting sqref="O1:O10 O12:O1048576">
    <cfRule type="containsText" dxfId="970" priority="7" operator="containsText" text="erreur">
      <formula>NOT(ISERROR(SEARCH("erreur",O1)))</formula>
    </cfRule>
  </conditionalFormatting>
  <conditionalFormatting sqref="O11">
    <cfRule type="containsText" dxfId="969" priority="1" operator="containsText" text="erreur">
      <formula>NOT(ISERROR(SEARCH("erreur",O11)))</formula>
    </cfRule>
  </conditionalFormatting>
  <dataValidations count="4">
    <dataValidation type="list" allowBlank="1" showInputMessage="1" showErrorMessage="1" sqref="M17" xr:uid="{00000000-0002-0000-0200-000000000000}">
      <formula1>"V1,V2,V3"</formula1>
    </dataValidation>
    <dataValidation type="list" allowBlank="1" showInputMessage="1" showErrorMessage="1" sqref="N24:N38 N12:N22 N40:N54 N56:N70 N72:N86" xr:uid="{00000000-0002-0000-0200-000001000000}">
      <formula1>"T1,T2,T3"</formula1>
    </dataValidation>
    <dataValidation type="list" allowBlank="1" showInputMessage="1" showErrorMessage="1" sqref="M12:M16 M18:M22 M24:M38 M40:M54 M56:M70 M72:M86" xr:uid="{00000000-0002-0000-0200-000002000000}">
      <formula1>"V-nu,V1,V2,V3"</formula1>
    </dataValidation>
    <dataValidation type="list" allowBlank="1" showInputMessage="1" showErrorMessage="1" sqref="K72:K86 K18:K22 K24:K38 K40:K54 K56:K70 K12:K16" xr:uid="{A4CFF528-637C-4D66-85DB-B611B1EAC5B3}">
      <formula1>"L0,L1,L2,L3"</formula1>
    </dataValidation>
  </dataValidations>
  <pageMargins left="0.7" right="0.7" top="0.75" bottom="0.75" header="0.3" footer="0.3"/>
  <pageSetup paperSize="9" scale="36"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V44"/>
  <sheetViews>
    <sheetView topLeftCell="B1" zoomScale="85" zoomScaleNormal="85" workbookViewId="0">
      <selection activeCell="L19" sqref="L19"/>
    </sheetView>
  </sheetViews>
  <sheetFormatPr defaultColWidth="8.7109375" defaultRowHeight="15.75" x14ac:dyDescent="0.25"/>
  <cols>
    <col min="1" max="1" width="11.140625" customWidth="1"/>
    <col min="2" max="2" width="10.85546875" style="135" customWidth="1"/>
    <col min="4" max="4" width="14.28515625" customWidth="1"/>
    <col min="5" max="5" width="12.42578125" customWidth="1"/>
    <col min="6" max="9" width="12.7109375" customWidth="1"/>
    <col min="10" max="10" width="12.7109375" style="534" customWidth="1"/>
    <col min="11" max="11" width="16.140625" customWidth="1"/>
    <col min="12" max="12" width="19.28515625" customWidth="1"/>
    <col min="13" max="13" width="14.85546875" customWidth="1"/>
    <col min="14" max="14" width="10.28515625" customWidth="1"/>
    <col min="15" max="15" width="11.85546875" customWidth="1"/>
    <col min="16" max="16" width="11.28515625" customWidth="1"/>
    <col min="19" max="19" width="15.140625" customWidth="1"/>
    <col min="20" max="20" width="8.7109375" style="367"/>
    <col min="21" max="21" width="11.5703125" style="367" customWidth="1"/>
    <col min="23" max="23" width="2.140625" customWidth="1"/>
  </cols>
  <sheetData>
    <row r="2" spans="1:22" ht="26.25" x14ac:dyDescent="0.4">
      <c r="A2" s="616" t="s">
        <v>131</v>
      </c>
      <c r="B2" s="617"/>
      <c r="C2" s="617"/>
      <c r="D2" s="617"/>
      <c r="E2" s="617"/>
      <c r="F2" s="617"/>
      <c r="G2" s="617"/>
      <c r="H2" s="617"/>
      <c r="I2" s="617"/>
      <c r="J2" s="617"/>
      <c r="K2" s="617"/>
      <c r="L2" s="617"/>
      <c r="M2" s="617"/>
      <c r="N2" s="617"/>
      <c r="O2" s="617"/>
      <c r="P2" s="617"/>
      <c r="Q2" s="617"/>
      <c r="R2" s="617"/>
      <c r="S2" s="617"/>
      <c r="T2" s="617"/>
      <c r="U2" s="617"/>
      <c r="V2" s="617"/>
    </row>
    <row r="3" spans="1:22" x14ac:dyDescent="0.25">
      <c r="A3" s="58"/>
      <c r="B3" s="131"/>
      <c r="C3" s="59"/>
      <c r="D3" s="59"/>
      <c r="E3" s="59"/>
      <c r="F3" s="59"/>
      <c r="G3" s="61"/>
      <c r="H3" s="59"/>
      <c r="I3" s="61"/>
      <c r="J3" s="525"/>
      <c r="K3" s="61"/>
      <c r="L3" s="61"/>
      <c r="M3" s="61"/>
      <c r="N3" s="61"/>
      <c r="O3" s="61"/>
      <c r="P3" s="61"/>
      <c r="Q3" s="61"/>
      <c r="R3" s="61"/>
      <c r="S3" s="61"/>
      <c r="T3" s="61"/>
      <c r="U3" s="61"/>
      <c r="V3" s="61"/>
    </row>
    <row r="4" spans="1:22" x14ac:dyDescent="0.25">
      <c r="A4" s="479" t="s">
        <v>66</v>
      </c>
      <c r="B4" s="152"/>
      <c r="C4" s="62"/>
      <c r="D4" s="590">
        <f>'Table 1-B  Context Analysis'!$C$5</f>
        <v>0</v>
      </c>
      <c r="E4" s="590"/>
      <c r="F4" s="70"/>
      <c r="G4" s="61"/>
      <c r="H4" s="70"/>
      <c r="I4" s="61"/>
      <c r="J4" s="525"/>
      <c r="K4" s="61"/>
      <c r="L4" s="61"/>
      <c r="M4" s="61"/>
      <c r="N4" s="61"/>
      <c r="O4" s="61"/>
      <c r="P4" s="61"/>
      <c r="Q4" s="61"/>
      <c r="R4" s="61"/>
      <c r="S4" s="61"/>
      <c r="T4" s="61"/>
      <c r="U4" s="61"/>
      <c r="V4" s="61"/>
    </row>
    <row r="5" spans="1:22" x14ac:dyDescent="0.25">
      <c r="A5" s="480" t="s">
        <v>74</v>
      </c>
      <c r="B5" s="153"/>
      <c r="C5" s="63"/>
      <c r="D5" s="591">
        <f>'Table 1-B  Context Analysis'!$C$6</f>
        <v>0</v>
      </c>
      <c r="E5" s="591"/>
      <c r="F5" s="70"/>
      <c r="G5" s="61"/>
      <c r="H5" s="70"/>
      <c r="I5" s="61"/>
      <c r="J5" s="525"/>
      <c r="K5" s="61"/>
      <c r="L5" s="61"/>
      <c r="M5" s="61"/>
      <c r="N5" s="61"/>
      <c r="O5" s="61"/>
      <c r="P5" s="61"/>
      <c r="Q5" s="61"/>
      <c r="R5" s="61"/>
      <c r="S5" s="61"/>
      <c r="T5" s="61"/>
      <c r="U5" s="61"/>
      <c r="V5" s="61"/>
    </row>
    <row r="6" spans="1:22" x14ac:dyDescent="0.25">
      <c r="A6" s="480" t="s">
        <v>75</v>
      </c>
      <c r="B6" s="153"/>
      <c r="C6" s="63"/>
      <c r="D6" s="591">
        <f>'Table 1-B  Context Analysis'!$C$7</f>
        <v>0</v>
      </c>
      <c r="E6" s="591"/>
      <c r="F6" s="70"/>
      <c r="G6" s="61"/>
      <c r="H6" s="70"/>
      <c r="I6" s="61"/>
      <c r="J6" s="525"/>
      <c r="K6" s="61"/>
      <c r="L6" s="61"/>
      <c r="M6" s="61"/>
      <c r="N6" s="61"/>
      <c r="O6" s="61"/>
      <c r="P6" s="61"/>
      <c r="Q6" s="61"/>
      <c r="R6" s="61"/>
      <c r="S6" s="61"/>
      <c r="T6" s="61"/>
      <c r="U6" s="61"/>
      <c r="V6" s="61"/>
    </row>
    <row r="7" spans="1:22" x14ac:dyDescent="0.25">
      <c r="A7" s="497"/>
      <c r="B7" s="131"/>
      <c r="C7" s="59"/>
      <c r="D7" s="59"/>
      <c r="E7" s="59"/>
      <c r="F7" s="59"/>
      <c r="G7" s="61"/>
      <c r="H7" s="59"/>
      <c r="I7" s="61"/>
      <c r="J7" s="525"/>
      <c r="K7" s="61"/>
      <c r="L7" s="61"/>
      <c r="M7" s="61"/>
      <c r="N7" s="61"/>
      <c r="O7" s="61"/>
      <c r="P7" s="61"/>
      <c r="Q7" s="61"/>
      <c r="R7" s="61"/>
      <c r="S7" s="61"/>
      <c r="T7" s="61"/>
      <c r="U7" s="61"/>
      <c r="V7" s="61"/>
    </row>
    <row r="8" spans="1:22" x14ac:dyDescent="0.25">
      <c r="A8" s="479" t="s">
        <v>117</v>
      </c>
      <c r="B8" s="152"/>
      <c r="C8" s="62"/>
      <c r="D8" s="592" t="str">
        <f>'Table 1-B  Context Analysis'!$C$9</f>
        <v/>
      </c>
      <c r="E8" s="592"/>
      <c r="F8" s="70"/>
      <c r="G8" s="61"/>
      <c r="H8" s="70"/>
      <c r="I8" s="61"/>
      <c r="J8" s="525"/>
      <c r="K8" s="61"/>
      <c r="L8" s="61"/>
      <c r="M8" s="61"/>
      <c r="N8" s="61"/>
      <c r="O8" s="61"/>
      <c r="P8" s="61"/>
      <c r="Q8" s="61"/>
      <c r="R8" s="61"/>
      <c r="S8" s="61"/>
      <c r="T8" s="61"/>
      <c r="U8" s="61"/>
      <c r="V8" s="61"/>
    </row>
    <row r="9" spans="1:22" x14ac:dyDescent="0.25">
      <c r="A9" s="58"/>
      <c r="B9" s="131"/>
      <c r="C9" s="59"/>
      <c r="D9" s="59"/>
      <c r="E9" s="59"/>
      <c r="F9" s="59"/>
      <c r="G9" s="59"/>
      <c r="H9" s="59"/>
      <c r="I9" s="59"/>
      <c r="J9" s="526"/>
      <c r="K9" s="59"/>
      <c r="L9" s="59"/>
      <c r="M9" s="59"/>
      <c r="N9" s="59"/>
      <c r="O9" s="59"/>
      <c r="P9" s="59"/>
      <c r="Q9" s="59"/>
      <c r="R9" s="59"/>
      <c r="S9" s="59"/>
      <c r="T9" s="59"/>
      <c r="U9" s="59"/>
      <c r="V9" s="59"/>
    </row>
    <row r="10" spans="1:22" ht="23.25" customHeight="1" x14ac:dyDescent="0.25">
      <c r="A10" s="618" t="s">
        <v>132</v>
      </c>
      <c r="B10" s="619"/>
      <c r="C10" s="619"/>
      <c r="D10" s="619"/>
      <c r="E10" s="619"/>
      <c r="F10" s="619"/>
      <c r="G10" s="619"/>
      <c r="H10" s="619"/>
      <c r="I10" s="619"/>
      <c r="J10" s="619"/>
      <c r="K10" s="619"/>
      <c r="L10" s="619"/>
      <c r="M10" s="619"/>
      <c r="N10" s="619"/>
      <c r="O10" s="619"/>
      <c r="P10" s="619"/>
      <c r="Q10" s="619"/>
      <c r="R10" s="619"/>
      <c r="S10" s="619"/>
      <c r="T10" s="619"/>
      <c r="U10" s="619"/>
      <c r="V10" s="619"/>
    </row>
    <row r="12" spans="1:22" ht="79.5" customHeight="1" x14ac:dyDescent="0.25">
      <c r="A12" s="626" t="s">
        <v>133</v>
      </c>
      <c r="B12" s="599" t="s">
        <v>134</v>
      </c>
      <c r="C12" s="626" t="s">
        <v>69</v>
      </c>
      <c r="D12" s="626"/>
      <c r="E12" s="599" t="s">
        <v>1</v>
      </c>
      <c r="F12" s="599"/>
      <c r="G12" s="599" t="s">
        <v>70</v>
      </c>
      <c r="H12" s="599"/>
      <c r="I12" s="599"/>
      <c r="J12" s="603" t="s">
        <v>71</v>
      </c>
      <c r="K12" s="604" t="s">
        <v>135</v>
      </c>
      <c r="L12" s="602" t="s">
        <v>136</v>
      </c>
      <c r="M12" s="602"/>
      <c r="N12" s="602"/>
      <c r="O12" s="602"/>
      <c r="P12" s="602"/>
      <c r="Q12" s="602"/>
      <c r="R12" s="602"/>
      <c r="S12" s="498" t="s">
        <v>275</v>
      </c>
      <c r="T12" s="498" t="s">
        <v>123</v>
      </c>
      <c r="U12" s="498" t="s">
        <v>124</v>
      </c>
      <c r="V12" s="498" t="s">
        <v>125</v>
      </c>
    </row>
    <row r="13" spans="1:22" ht="28.5" customHeight="1" thickBot="1" x14ac:dyDescent="0.3">
      <c r="A13" s="626"/>
      <c r="B13" s="599"/>
      <c r="C13" s="626"/>
      <c r="D13" s="626"/>
      <c r="E13" s="599"/>
      <c r="F13" s="599"/>
      <c r="G13" s="599"/>
      <c r="H13" s="599"/>
      <c r="I13" s="599"/>
      <c r="J13" s="603"/>
      <c r="K13" s="605"/>
      <c r="L13" s="138"/>
      <c r="M13" s="499" t="s">
        <v>137</v>
      </c>
      <c r="N13" s="47"/>
      <c r="O13" s="49"/>
      <c r="P13" s="27"/>
      <c r="Q13" s="28"/>
      <c r="R13" s="29"/>
      <c r="S13" s="139"/>
      <c r="T13" s="139"/>
      <c r="U13" s="139"/>
      <c r="V13" s="500"/>
    </row>
    <row r="14" spans="1:22" ht="21.75" customHeight="1" x14ac:dyDescent="0.25">
      <c r="A14" s="633" t="s">
        <v>138</v>
      </c>
      <c r="B14" s="627">
        <v>1</v>
      </c>
      <c r="C14" s="629" t="e">
        <f>VLOOKUP($B14,'Table 1-A Sources of evidences'!$A$6:$G$31,2,FALSE)</f>
        <v>#N/A</v>
      </c>
      <c r="D14" s="630"/>
      <c r="E14" s="629" t="e">
        <f>VLOOKUP($B14,'Table 1-A Sources of evidences'!$A$6:$G$31,3,FALSE)</f>
        <v>#N/A</v>
      </c>
      <c r="F14" s="630"/>
      <c r="G14" s="629" t="e">
        <f>VLOOKUP($B14,'Table 1-A Sources of evidences'!$A$6:$G$31,4,FALSE)</f>
        <v>#N/A</v>
      </c>
      <c r="H14" s="652"/>
      <c r="I14" s="630"/>
      <c r="J14" s="606" t="e">
        <f>VLOOKUP($B14,'Table 1-A Sources of evidences'!$A$6:$G$31,5,FALSE)</f>
        <v>#N/A</v>
      </c>
      <c r="K14" s="647" t="e">
        <f>VLOOKUP($B14,'Table 1-A Sources of evidences'!$A$6:$G$31,6,FALSE)</f>
        <v>#N/A</v>
      </c>
      <c r="L14" s="600" t="s">
        <v>153</v>
      </c>
      <c r="M14" s="1"/>
      <c r="N14" s="650" t="s">
        <v>2</v>
      </c>
      <c r="O14" s="650"/>
      <c r="P14" s="506" t="s">
        <v>154</v>
      </c>
      <c r="Q14" s="650" t="s">
        <v>98</v>
      </c>
      <c r="R14" s="650"/>
      <c r="S14" s="644"/>
      <c r="T14" s="644"/>
      <c r="U14" s="644"/>
      <c r="V14" s="646" t="str">
        <f>IF(T14="V-nu","R0",IF(AND(T14="V1",U14="T1"),"R0",IF(AND(T14="V1",U14="T2"),"R1",IF(AND(T14="V1",U14="T3"),"R1",IF(AND(T14="V2",U14="T1"),"R1",IF(AND(T14="V2",U14="T2"),"R2",IF(AND(T14="V2",U14="T3"),"R2",IF(AND(T14="V3",U14="T1"),"R1",IF(AND(T14="V3",U14="T2"),"R2",IF(AND(T14="V3",U14="T3"),"R3","Erreur"))))))))))</f>
        <v>Erreur</v>
      </c>
    </row>
    <row r="15" spans="1:22" ht="21.75" customHeight="1" x14ac:dyDescent="0.25">
      <c r="A15" s="633"/>
      <c r="B15" s="628"/>
      <c r="C15" s="631"/>
      <c r="D15" s="632"/>
      <c r="E15" s="631"/>
      <c r="F15" s="632"/>
      <c r="G15" s="631"/>
      <c r="H15" s="653"/>
      <c r="I15" s="632"/>
      <c r="J15" s="607"/>
      <c r="K15" s="648"/>
      <c r="L15" s="600"/>
      <c r="M15" s="301" t="str">
        <f>IF(SUM(N15:R15)=1,"OK","Erreur")</f>
        <v>Erreur</v>
      </c>
      <c r="N15" s="611"/>
      <c r="O15" s="612"/>
      <c r="P15" s="471"/>
      <c r="Q15" s="611"/>
      <c r="R15" s="612"/>
      <c r="S15" s="645"/>
      <c r="T15" s="645"/>
      <c r="U15" s="645"/>
      <c r="V15" s="646"/>
    </row>
    <row r="16" spans="1:22" ht="21.75" customHeight="1" thickBot="1" x14ac:dyDescent="0.3">
      <c r="A16" s="633"/>
      <c r="B16" s="139"/>
      <c r="C16" s="139"/>
      <c r="D16" s="139"/>
      <c r="E16" s="139"/>
      <c r="F16" s="139"/>
      <c r="G16" s="139"/>
      <c r="H16" s="139"/>
      <c r="I16" s="139"/>
      <c r="J16" s="527"/>
      <c r="K16" s="139"/>
      <c r="L16" s="139"/>
      <c r="M16" s="1"/>
      <c r="N16" s="47" t="s">
        <v>39</v>
      </c>
      <c r="O16" s="49" t="s">
        <v>40</v>
      </c>
      <c r="P16" s="27" t="s">
        <v>41</v>
      </c>
      <c r="Q16" s="28" t="s">
        <v>42</v>
      </c>
      <c r="R16" s="29" t="s">
        <v>43</v>
      </c>
      <c r="S16" s="139"/>
      <c r="T16" s="362"/>
      <c r="U16" s="362"/>
      <c r="V16" s="139"/>
    </row>
    <row r="17" spans="1:22" ht="36" customHeight="1" x14ac:dyDescent="0.25">
      <c r="A17" s="633"/>
      <c r="B17" s="204">
        <v>1</v>
      </c>
      <c r="C17" s="610" t="e">
        <f>VLOOKUP($B17,'Table 1-A Sources of evidences'!$A$6:$G$31,2,FALSE)</f>
        <v>#N/A</v>
      </c>
      <c r="D17" s="610"/>
      <c r="E17" s="610" t="e">
        <f>VLOOKUP($B17,'Table 1-A Sources of evidences'!$A$6:$G$31,3,FALSE)</f>
        <v>#N/A</v>
      </c>
      <c r="F17" s="610"/>
      <c r="G17" s="610" t="e">
        <f>VLOOKUP($B17,'Table 1-A Sources of evidences'!$A$6:$G$31,4,FALSE)</f>
        <v>#N/A</v>
      </c>
      <c r="H17" s="610"/>
      <c r="I17" s="610"/>
      <c r="J17" s="528" t="e">
        <f>VLOOKUP($B17,'Table 1-A Sources of evidences'!$A$6:$G$31,5,FALSE)</f>
        <v>#N/A</v>
      </c>
      <c r="K17" s="278" t="e">
        <f>VLOOKUP($B17,'Table 1-A Sources of evidences'!$A$6:$G$31,5,FALSE)</f>
        <v>#N/A</v>
      </c>
      <c r="L17" s="158" t="s">
        <v>3</v>
      </c>
      <c r="M17" s="301" t="str">
        <f>IF(SUM(N17:R17)=1,"OK","Erreur")</f>
        <v>Erreur</v>
      </c>
      <c r="N17" s="471"/>
      <c r="O17" s="471"/>
      <c r="P17" s="471"/>
      <c r="Q17" s="471"/>
      <c r="R17" s="471"/>
      <c r="S17" s="476"/>
      <c r="T17" s="363"/>
      <c r="U17" s="363"/>
      <c r="V17" s="157" t="str">
        <f>IF(T17="V-nu","R0",IF(AND(T17="V1",U17="T1"),"R0",IF(AND(T17="V1",U17="T2"),"R1",IF(AND(T17="V1",U17="T3"),"R1",IF(AND(T17="V2",U17="T1"),"R1",IF(AND(T17="V2",U17="T2"),"R2",IF(AND(T17="V2",U17="T3"),"R2",IF(AND(T17="V3",U17="T1"),"R1",IF(AND(T17="V3",U17="T2"),"R2",IF(AND(T17="V3",U17="T3"),"R3","Erreur"))))))))))</f>
        <v>Erreur</v>
      </c>
    </row>
    <row r="18" spans="1:22" ht="39" customHeight="1" x14ac:dyDescent="0.25">
      <c r="A18" s="633"/>
      <c r="B18" s="204">
        <v>1</v>
      </c>
      <c r="C18" s="610" t="e">
        <f>VLOOKUP($B18,'Table 1-A Sources of evidences'!$A$6:$G$31,2,FALSE)</f>
        <v>#N/A</v>
      </c>
      <c r="D18" s="610"/>
      <c r="E18" s="610" t="e">
        <f>VLOOKUP($B18,'Table 1-A Sources of evidences'!$A$6:$G$31,3,FALSE)</f>
        <v>#N/A</v>
      </c>
      <c r="F18" s="610"/>
      <c r="G18" s="610" t="e">
        <f>VLOOKUP($B18,'Table 1-A Sources of evidences'!$A$6:$G$31,4,FALSE)</f>
        <v>#N/A</v>
      </c>
      <c r="H18" s="610"/>
      <c r="I18" s="610"/>
      <c r="J18" s="528" t="e">
        <f>VLOOKUP($B18,'Table 1-A Sources of evidences'!$A$6:$G$31,5,FALSE)</f>
        <v>#N/A</v>
      </c>
      <c r="K18" s="278" t="e">
        <f>VLOOKUP($B18,'Table 1-A Sources of evidences'!$A$6:$G$31,5,FALSE)</f>
        <v>#N/A</v>
      </c>
      <c r="L18" s="158" t="s">
        <v>4</v>
      </c>
      <c r="M18" s="301" t="str">
        <f t="shared" ref="M18:M19" si="0">IF(SUM(N18:R18)=1,"OK","Erreur")</f>
        <v>Erreur</v>
      </c>
      <c r="N18" s="471"/>
      <c r="O18" s="471"/>
      <c r="P18" s="471"/>
      <c r="Q18" s="471"/>
      <c r="R18" s="471"/>
      <c r="S18" s="476"/>
      <c r="T18" s="363"/>
      <c r="U18" s="363"/>
      <c r="V18" s="524" t="str">
        <f>IF(T18="V-nu","R0",IF(AND(T18="V1",U18="T1"),"R0",IF(AND(T18="V1",U18="T2"),"R1",IF(AND(T18="V1",U18="T3"),"R1",IF(AND(T18="V2",U18="T1"),"R1",IF(AND(T18="V2",U18="T2"),"R2",IF(AND(T18="V2",U18="T3"),"R2",IF(AND(T18="V3",U18="T1"),"R1",IF(AND(T18="V3",U18="T2"),"R2",IF(AND(T18="V3",U18="T3"),"R3","Erreur"))))))))))</f>
        <v>Erreur</v>
      </c>
    </row>
    <row r="19" spans="1:22" ht="43.5" customHeight="1" x14ac:dyDescent="0.25">
      <c r="A19" s="633"/>
      <c r="B19" s="204">
        <v>1</v>
      </c>
      <c r="C19" s="610" t="e">
        <f>VLOOKUP($B19,'Table 1-A Sources of evidences'!$A$6:$G$31,2,FALSE)</f>
        <v>#N/A</v>
      </c>
      <c r="D19" s="610"/>
      <c r="E19" s="610" t="e">
        <f>VLOOKUP($B19,'Table 1-A Sources of evidences'!$A$6:$G$31,3,FALSE)</f>
        <v>#N/A</v>
      </c>
      <c r="F19" s="610"/>
      <c r="G19" s="610" t="e">
        <f>VLOOKUP($B19,'Table 1-A Sources of evidences'!$A$6:$G$31,4,FALSE)</f>
        <v>#N/A</v>
      </c>
      <c r="H19" s="610"/>
      <c r="I19" s="610"/>
      <c r="J19" s="528" t="e">
        <f>VLOOKUP($B19,'Table 1-A Sources of evidences'!$A$6:$G$31,5,FALSE)</f>
        <v>#N/A</v>
      </c>
      <c r="K19" s="278" t="e">
        <f>VLOOKUP($B19,'Table 1-A Sources of evidences'!$A$6:$G$31,5,FALSE)</f>
        <v>#N/A</v>
      </c>
      <c r="L19" s="158" t="s">
        <v>5</v>
      </c>
      <c r="M19" s="301" t="str">
        <f t="shared" si="0"/>
        <v>Erreur</v>
      </c>
      <c r="N19" s="535"/>
      <c r="O19" s="535"/>
      <c r="P19" s="613"/>
      <c r="Q19" s="614"/>
      <c r="R19" s="615"/>
      <c r="S19" s="476"/>
      <c r="T19" s="363"/>
      <c r="U19" s="363"/>
      <c r="V19" s="524" t="str">
        <f>IF(T19="V-nu","R0",IF(AND(T19="V1",U19="T1"),"R0",IF(AND(T19="V1",U19="T2"),"R1",IF(AND(T19="V1",U19="T3"),"R1",IF(AND(T19="V2",U19="T1"),"R1",IF(AND(T19="V2",U19="T2"),"R2",IF(AND(T19="V2",U19="T3"),"R2",IF(AND(T19="V3",U19="T1"),"R1",IF(AND(T19="V3",U19="T2"),"R2",IF(AND(T19="V3",U19="T3"),"R3","Erreur"))))))))))</f>
        <v>Erreur</v>
      </c>
    </row>
    <row r="20" spans="1:22" ht="15" x14ac:dyDescent="0.25">
      <c r="A20" s="633"/>
      <c r="B20" s="634">
        <v>1</v>
      </c>
      <c r="C20" s="622" t="e">
        <f>VLOOKUP($B20,'Table 1-A Sources of evidences'!$A$6:$G$31,2,FALSE)</f>
        <v>#N/A</v>
      </c>
      <c r="D20" s="622"/>
      <c r="E20" s="622" t="e">
        <f>VLOOKUP($B20,'Table 1-A Sources of evidences'!$A$6:$G$31,3,FALSE)</f>
        <v>#N/A</v>
      </c>
      <c r="F20" s="622"/>
      <c r="G20" s="622" t="e">
        <f>VLOOKUP($B20,'Table 1-A Sources of evidences'!$A$6:$G$31,4,FALSE)</f>
        <v>#N/A</v>
      </c>
      <c r="H20" s="622"/>
      <c r="I20" s="622"/>
      <c r="J20" s="621" t="e">
        <f>VLOOKUP($B20,'Table 1-A Sources of evidences'!$A$6:$G$31,5,FALSE)</f>
        <v>#N/A</v>
      </c>
      <c r="K20" s="620" t="e">
        <f>VLOOKUP($B20,'Table 1-A Sources of evidences'!$A$6:$G$31,6,FALSE)</f>
        <v>#N/A</v>
      </c>
      <c r="L20" s="601" t="s">
        <v>6</v>
      </c>
      <c r="M20" s="504" t="s">
        <v>37</v>
      </c>
      <c r="N20" s="136" t="s">
        <v>164</v>
      </c>
      <c r="O20" s="136" t="s">
        <v>165</v>
      </c>
      <c r="P20" s="136" t="s">
        <v>166</v>
      </c>
      <c r="Q20" s="624" t="s">
        <v>167</v>
      </c>
      <c r="R20" s="625"/>
      <c r="S20" s="643"/>
      <c r="T20" s="649"/>
      <c r="U20" s="649"/>
      <c r="V20" s="620" t="str">
        <f>IF(T20="V-nu","R0",IF(AND(T20="V1",U20="T1"),"R0",IF(AND(T20="V1",U20="T2"),"R1",IF(AND(T20="V1",U20="T3"),"R1",IF(AND(T20="V2",U20="T1"),"R1",IF(AND(T20="V2",U20="T2"),"R2",IF(AND(T20="V2",U20="T3"),"R2",IF(AND(T20="V3",U20="T1"),"R1",IF(AND(T20="V3",U20="T2"),"R2",IF(AND(T20="V3",U20="T3"),"R3","erreur"))))))))))</f>
        <v>erreur</v>
      </c>
    </row>
    <row r="21" spans="1:22" ht="15" x14ac:dyDescent="0.25">
      <c r="A21" s="633"/>
      <c r="B21" s="634"/>
      <c r="C21" s="622"/>
      <c r="D21" s="622"/>
      <c r="E21" s="622"/>
      <c r="F21" s="622"/>
      <c r="G21" s="622"/>
      <c r="H21" s="622"/>
      <c r="I21" s="622"/>
      <c r="J21" s="621"/>
      <c r="K21" s="620"/>
      <c r="L21" s="601"/>
      <c r="M21" s="505" t="s">
        <v>145</v>
      </c>
      <c r="N21" s="469"/>
      <c r="O21" s="469"/>
      <c r="P21" s="469"/>
      <c r="Q21" s="608"/>
      <c r="R21" s="609"/>
      <c r="S21" s="643"/>
      <c r="T21" s="649"/>
      <c r="U21" s="649"/>
      <c r="V21" s="620"/>
    </row>
    <row r="22" spans="1:22" ht="15" x14ac:dyDescent="0.25">
      <c r="A22" s="633"/>
      <c r="B22" s="634"/>
      <c r="C22" s="622"/>
      <c r="D22" s="622"/>
      <c r="E22" s="622"/>
      <c r="F22" s="622"/>
      <c r="G22" s="622"/>
      <c r="H22" s="622"/>
      <c r="I22" s="622"/>
      <c r="J22" s="621"/>
      <c r="K22" s="620"/>
      <c r="L22" s="601"/>
      <c r="M22" s="505" t="s">
        <v>146</v>
      </c>
      <c r="N22" s="469"/>
      <c r="O22" s="469"/>
      <c r="P22" s="469"/>
      <c r="Q22" s="608"/>
      <c r="R22" s="609"/>
      <c r="S22" s="643"/>
      <c r="T22" s="649"/>
      <c r="U22" s="649"/>
      <c r="V22" s="620"/>
    </row>
    <row r="23" spans="1:22" ht="15" x14ac:dyDescent="0.25">
      <c r="A23" s="633"/>
      <c r="B23" s="634"/>
      <c r="C23" s="622"/>
      <c r="D23" s="622"/>
      <c r="E23" s="622"/>
      <c r="F23" s="622"/>
      <c r="G23" s="622"/>
      <c r="H23" s="622"/>
      <c r="I23" s="622"/>
      <c r="J23" s="621"/>
      <c r="K23" s="620"/>
      <c r="L23" s="601"/>
      <c r="M23" s="505" t="s">
        <v>147</v>
      </c>
      <c r="N23" s="469"/>
      <c r="O23" s="469"/>
      <c r="P23" s="469"/>
      <c r="Q23" s="608"/>
      <c r="R23" s="609"/>
      <c r="S23" s="643"/>
      <c r="T23" s="649"/>
      <c r="U23" s="649"/>
      <c r="V23" s="620"/>
    </row>
    <row r="24" spans="1:22" ht="15" x14ac:dyDescent="0.25">
      <c r="A24" s="633"/>
      <c r="B24" s="634"/>
      <c r="C24" s="622"/>
      <c r="D24" s="622"/>
      <c r="E24" s="622"/>
      <c r="F24" s="622"/>
      <c r="G24" s="622"/>
      <c r="H24" s="622"/>
      <c r="I24" s="622"/>
      <c r="J24" s="621"/>
      <c r="K24" s="620"/>
      <c r="L24" s="601"/>
      <c r="M24" s="505" t="s">
        <v>148</v>
      </c>
      <c r="N24" s="469"/>
      <c r="O24" s="469"/>
      <c r="P24" s="469"/>
      <c r="Q24" s="608"/>
      <c r="R24" s="609"/>
      <c r="S24" s="643"/>
      <c r="T24" s="649"/>
      <c r="U24" s="649"/>
      <c r="V24" s="620"/>
    </row>
    <row r="25" spans="1:22" ht="15" x14ac:dyDescent="0.25">
      <c r="A25" s="633"/>
      <c r="B25" s="634"/>
      <c r="C25" s="622"/>
      <c r="D25" s="622"/>
      <c r="E25" s="622"/>
      <c r="F25" s="622"/>
      <c r="G25" s="622"/>
      <c r="H25" s="622"/>
      <c r="I25" s="622"/>
      <c r="J25" s="621"/>
      <c r="K25" s="620"/>
      <c r="L25" s="601"/>
      <c r="M25" s="505" t="s">
        <v>149</v>
      </c>
      <c r="N25" s="469"/>
      <c r="O25" s="469"/>
      <c r="P25" s="469"/>
      <c r="Q25" s="608"/>
      <c r="R25" s="609"/>
      <c r="S25" s="643"/>
      <c r="T25" s="649"/>
      <c r="U25" s="649"/>
      <c r="V25" s="620"/>
    </row>
    <row r="26" spans="1:22" ht="15" x14ac:dyDescent="0.25">
      <c r="A26" s="633"/>
      <c r="B26" s="634"/>
      <c r="C26" s="622"/>
      <c r="D26" s="622"/>
      <c r="E26" s="622"/>
      <c r="F26" s="622"/>
      <c r="G26" s="622"/>
      <c r="H26" s="622"/>
      <c r="I26" s="622"/>
      <c r="J26" s="621"/>
      <c r="K26" s="620"/>
      <c r="L26" s="601"/>
      <c r="M26" s="505" t="s">
        <v>150</v>
      </c>
      <c r="N26" s="470"/>
      <c r="O26" s="470"/>
      <c r="P26" s="470"/>
      <c r="Q26" s="608"/>
      <c r="R26" s="609"/>
      <c r="S26" s="643"/>
      <c r="T26" s="649"/>
      <c r="U26" s="649"/>
      <c r="V26" s="620"/>
    </row>
    <row r="27" spans="1:22" ht="15" x14ac:dyDescent="0.25">
      <c r="A27" s="633"/>
      <c r="B27" s="634"/>
      <c r="C27" s="622"/>
      <c r="D27" s="622"/>
      <c r="E27" s="622"/>
      <c r="F27" s="622"/>
      <c r="G27" s="622"/>
      <c r="H27" s="622"/>
      <c r="I27" s="622"/>
      <c r="J27" s="621"/>
      <c r="K27" s="620"/>
      <c r="L27" s="601"/>
      <c r="M27" s="505" t="s">
        <v>151</v>
      </c>
      <c r="N27" s="469"/>
      <c r="O27" s="469"/>
      <c r="P27" s="469"/>
      <c r="Q27" s="608"/>
      <c r="R27" s="609"/>
      <c r="S27" s="643"/>
      <c r="T27" s="649"/>
      <c r="U27" s="649"/>
      <c r="V27" s="620"/>
    </row>
    <row r="28" spans="1:22" ht="15" x14ac:dyDescent="0.25">
      <c r="A28" s="633"/>
      <c r="B28" s="634"/>
      <c r="C28" s="622"/>
      <c r="D28" s="622"/>
      <c r="E28" s="622"/>
      <c r="F28" s="622"/>
      <c r="G28" s="622"/>
      <c r="H28" s="622"/>
      <c r="I28" s="622"/>
      <c r="J28" s="621"/>
      <c r="K28" s="620"/>
      <c r="L28" s="601"/>
      <c r="M28" s="505" t="s">
        <v>152</v>
      </c>
      <c r="N28" s="469"/>
      <c r="O28" s="469"/>
      <c r="P28" s="469"/>
      <c r="Q28" s="608"/>
      <c r="R28" s="609"/>
      <c r="S28" s="643"/>
      <c r="T28" s="649"/>
      <c r="U28" s="649"/>
      <c r="V28" s="620"/>
    </row>
    <row r="29" spans="1:22" s="151" customFormat="1" ht="39.75" customHeight="1" x14ac:dyDescent="0.25">
      <c r="A29" s="633"/>
      <c r="B29" s="204">
        <v>1</v>
      </c>
      <c r="C29" s="622" t="e">
        <f>VLOOKUP($B29,'Table 1-A Sources of evidences'!$A$6:$G$31,2,FALSE)</f>
        <v>#N/A</v>
      </c>
      <c r="D29" s="622"/>
      <c r="E29" s="622" t="e">
        <f>VLOOKUP($B29,'Table 1-A Sources of evidences'!$A$6:$G$31,3,FALSE)</f>
        <v>#N/A</v>
      </c>
      <c r="F29" s="622"/>
      <c r="G29" s="622" t="e">
        <f>VLOOKUP($B29,'Table 1-A Sources of evidences'!$A$6:$G$31,4,FALSE)</f>
        <v>#N/A</v>
      </c>
      <c r="H29" s="622"/>
      <c r="I29" s="622"/>
      <c r="J29" s="529" t="e">
        <f>VLOOKUP($B29,'Table 1-A Sources of evidences'!$A$6:$G$31,5,FALSE)</f>
        <v>#N/A</v>
      </c>
      <c r="K29" s="156" t="e">
        <f>VLOOKUP($B29,'Table 1-A Sources of evidences'!$A$6:$G$31,5,FALSE)</f>
        <v>#N/A</v>
      </c>
      <c r="L29" s="651" t="s">
        <v>156</v>
      </c>
      <c r="M29" s="651"/>
      <c r="N29" s="395" t="s">
        <v>63</v>
      </c>
      <c r="O29" s="173"/>
      <c r="P29" s="173"/>
      <c r="Q29" s="173"/>
      <c r="R29" s="173"/>
      <c r="S29" s="476"/>
      <c r="T29" s="363"/>
      <c r="U29" s="364"/>
      <c r="V29" s="157" t="str">
        <f>IF(T29="V-nu","R0",IF(AND(T29="V1",U29="T1"),"R0",IF(AND(T29="V1",U29="T2"),"R1",IF(AND(T29="V1",U29="T3"),"R1",IF(AND(T29="V2",U29="T1"),"R1",IF(AND(T29="V2",U29="T2"),"R2",IF(AND(T29="V2",U29="T3"),"R2",IF(AND(T29="V3",U29="T1"),"R1",IF(AND(T29="V3",U29="T2"),"R2",IF(AND(T29="V3",U29="T3"),"R3","erreur"))))))))))</f>
        <v>erreur</v>
      </c>
    </row>
    <row r="30" spans="1:22" ht="9" customHeight="1" x14ac:dyDescent="0.25">
      <c r="A30" s="148"/>
      <c r="B30" s="154"/>
      <c r="C30" s="143"/>
      <c r="D30" s="143"/>
      <c r="E30" s="143"/>
      <c r="F30" s="143"/>
      <c r="G30" s="143"/>
      <c r="H30" s="143"/>
      <c r="I30" s="143"/>
      <c r="J30" s="530"/>
      <c r="K30" s="142"/>
      <c r="L30" s="144"/>
      <c r="M30" s="145"/>
      <c r="N30" s="142"/>
      <c r="O30" s="142"/>
      <c r="P30" s="142"/>
      <c r="Q30" s="142"/>
      <c r="R30" s="142"/>
      <c r="S30" s="142"/>
      <c r="T30" s="365"/>
      <c r="U30" s="365"/>
      <c r="V30" s="142"/>
    </row>
    <row r="31" spans="1:22" ht="37.5" customHeight="1" x14ac:dyDescent="0.25">
      <c r="A31" s="656" t="s">
        <v>139</v>
      </c>
      <c r="B31" s="627">
        <v>1</v>
      </c>
      <c r="C31" s="639" t="e">
        <f>VLOOKUP($B31,'Table 1-A Sources of evidences'!$A$6:$G$31,2,FALSE)</f>
        <v>#N/A</v>
      </c>
      <c r="D31" s="640"/>
      <c r="E31" s="639" t="e">
        <f>VLOOKUP($B31,'Table 1-A Sources of evidences'!$A$6:$G$31,3,FALSE)</f>
        <v>#N/A</v>
      </c>
      <c r="F31" s="640"/>
      <c r="G31" s="622" t="e">
        <f>VLOOKUP($B31,'Table 1-A Sources of evidences'!$A$6:$G$31,4,FALSE)</f>
        <v>#N/A</v>
      </c>
      <c r="H31" s="622"/>
      <c r="I31" s="622"/>
      <c r="J31" s="637" t="e">
        <f>VLOOKUP($B31,'Table 1-A Sources of evidences'!$A$6:$G$31,5,FALSE)</f>
        <v>#N/A</v>
      </c>
      <c r="K31" s="635" t="e">
        <f>VLOOKUP($B31,'Table 1-A Sources of evidences'!$A$6:$G$31,6,FALSE)</f>
        <v>#N/A</v>
      </c>
      <c r="L31" s="623" t="s">
        <v>155</v>
      </c>
      <c r="M31" s="147" t="s">
        <v>144</v>
      </c>
      <c r="N31" s="502">
        <v>1</v>
      </c>
      <c r="O31" s="503">
        <v>2</v>
      </c>
      <c r="P31" s="503">
        <v>3</v>
      </c>
      <c r="Q31" s="503">
        <v>4</v>
      </c>
      <c r="R31" s="146"/>
      <c r="S31" s="643"/>
      <c r="T31" s="644"/>
      <c r="U31" s="644"/>
      <c r="V31" s="646" t="str">
        <f>IF(T31="V-nu","R0",IF(AND(T31="V1",U31="T1"),"R0",IF(AND(T31="V1",U31="T2"),"R1",IF(AND(T31="V1",U31="T3"),"R1",IF(AND(T31="V2",U31="T1"),"R1",IF(AND(T31="V2",U31="T2"),"R2",IF(AND(T31="V2",U31="T3"),"R2",IF(AND(T31="V3",U31="T1"),"R1",IF(AND(T31="V3",U31="T2"),"R2",IF(AND(T31="V3",U31="T3"),"R3","erreur"))))))))))</f>
        <v>erreur</v>
      </c>
    </row>
    <row r="32" spans="1:22" ht="57.75" customHeight="1" x14ac:dyDescent="0.25">
      <c r="A32" s="656"/>
      <c r="B32" s="628"/>
      <c r="C32" s="641"/>
      <c r="D32" s="642"/>
      <c r="E32" s="641"/>
      <c r="F32" s="642"/>
      <c r="G32" s="622"/>
      <c r="H32" s="622"/>
      <c r="I32" s="622"/>
      <c r="J32" s="638"/>
      <c r="K32" s="636"/>
      <c r="L32" s="623"/>
      <c r="M32" s="301" t="str">
        <f t="shared" ref="M32" si="1">IF(SUM(N32:R32)=1,"OK","Erreur")</f>
        <v>Erreur</v>
      </c>
      <c r="N32" s="471"/>
      <c r="O32" s="471"/>
      <c r="P32" s="471"/>
      <c r="Q32" s="471"/>
      <c r="R32" s="146"/>
      <c r="S32" s="643"/>
      <c r="T32" s="645"/>
      <c r="U32" s="645"/>
      <c r="V32" s="646"/>
    </row>
    <row r="33" spans="1:22" ht="8.25" customHeight="1" x14ac:dyDescent="0.25">
      <c r="A33" s="149"/>
      <c r="B33" s="155"/>
      <c r="C33" s="146"/>
      <c r="D33" s="146"/>
      <c r="E33" s="146"/>
      <c r="F33" s="146"/>
      <c r="G33" s="146"/>
      <c r="H33" s="146"/>
      <c r="I33" s="146"/>
      <c r="J33" s="531"/>
      <c r="K33" s="146"/>
      <c r="L33" s="146"/>
      <c r="M33" s="146"/>
      <c r="N33" s="146"/>
      <c r="O33" s="146"/>
      <c r="P33" s="146"/>
      <c r="Q33" s="146"/>
      <c r="R33" s="146"/>
      <c r="S33" s="146"/>
      <c r="T33" s="366"/>
      <c r="U33" s="366"/>
      <c r="V33" s="146"/>
    </row>
    <row r="34" spans="1:22" ht="21.75" customHeight="1" x14ac:dyDescent="0.25">
      <c r="A34" s="654" t="s">
        <v>140</v>
      </c>
      <c r="B34" s="139"/>
      <c r="C34" s="139"/>
      <c r="D34" s="139"/>
      <c r="E34" s="139"/>
      <c r="F34" s="139"/>
      <c r="G34" s="139"/>
      <c r="H34" s="139"/>
      <c r="I34" s="139"/>
      <c r="J34" s="527"/>
      <c r="K34" s="139"/>
      <c r="L34" s="139"/>
      <c r="M34" s="160" t="s">
        <v>143</v>
      </c>
      <c r="N34" s="146"/>
      <c r="O34" s="146"/>
      <c r="P34" s="146"/>
      <c r="Q34" s="146"/>
      <c r="R34" s="146"/>
      <c r="S34" s="139"/>
      <c r="T34" s="362"/>
      <c r="U34" s="362"/>
      <c r="V34" s="139"/>
    </row>
    <row r="35" spans="1:22" ht="99" customHeight="1" x14ac:dyDescent="0.25">
      <c r="A35" s="655"/>
      <c r="B35" s="204">
        <v>17</v>
      </c>
      <c r="C35" s="610" t="e">
        <f>VLOOKUP($B35,'Table 1-A Sources of evidences'!$A$6:$G$31,2,FALSE)</f>
        <v>#N/A</v>
      </c>
      <c r="D35" s="610"/>
      <c r="E35" s="610" t="e">
        <f>VLOOKUP($B35,'Table 1-A Sources of evidences'!$A$6:$G$31,3,FALSE)</f>
        <v>#N/A</v>
      </c>
      <c r="F35" s="610"/>
      <c r="G35" s="610" t="e">
        <f>VLOOKUP($B35,'Table 1-A Sources of evidences'!$A$6:$G$31,4,FALSE)</f>
        <v>#N/A</v>
      </c>
      <c r="H35" s="610"/>
      <c r="I35" s="610"/>
      <c r="J35" s="532" t="e">
        <f>VLOOKUP($B35,'Table 1-A Sources of evidences'!$A$6:$G$31,5,FALSE)</f>
        <v>#N/A</v>
      </c>
      <c r="K35" s="150" t="e">
        <f>VLOOKUP($B35,'Table 1-A Sources of evidences'!$A$6:$G$31,5,FALSE)</f>
        <v>#N/A</v>
      </c>
      <c r="L35" s="159" t="s">
        <v>157</v>
      </c>
      <c r="M35" s="471"/>
      <c r="N35" s="146"/>
      <c r="O35" s="146"/>
      <c r="P35" s="146"/>
      <c r="Q35" s="146"/>
      <c r="R35" s="146"/>
      <c r="S35" s="476"/>
      <c r="T35" s="363"/>
      <c r="U35" s="364"/>
      <c r="V35" s="157" t="str">
        <f>IF(T35="V-nu","R0",IF(AND(T35="V1",U35="T1"),"R0",IF(AND(T35="V1",U35="T2"),"1",IF(AND(T35="V1",U35="T3"),"R1",IF(AND(T35="V2",U35="T1"),"R1",IF(AND(T35="V2",U35="T2"),"R2",IF(AND(T35="V2",U35="T3"),"R2",IF(AND(T35="V3",U35="T1"),"R1",IF(AND(T35="V3",U35="T2"),"R2",IF(AND(T35="V3",U35="T3"),"R3","erreur"))))))))))</f>
        <v>erreur</v>
      </c>
    </row>
    <row r="36" spans="1:22" ht="39" customHeight="1" x14ac:dyDescent="0.25">
      <c r="A36" s="655"/>
      <c r="B36" s="282">
        <v>17</v>
      </c>
      <c r="C36" s="610" t="e">
        <f>VLOOKUP($B36,'Table 1-A Sources of evidences'!$A$6:$G$31,2,FALSE)</f>
        <v>#N/A</v>
      </c>
      <c r="D36" s="610"/>
      <c r="E36" s="610" t="e">
        <f>VLOOKUP($B36,'Table 1-A Sources of evidences'!$A$6:$G$31,3,FALSE)</f>
        <v>#N/A</v>
      </c>
      <c r="F36" s="610"/>
      <c r="G36" s="610" t="e">
        <f>VLOOKUP($B36,'Table 1-A Sources of evidences'!$A$6:$G$31,4,FALSE)</f>
        <v>#N/A</v>
      </c>
      <c r="H36" s="610"/>
      <c r="I36" s="610"/>
      <c r="J36" s="532" t="e">
        <f>VLOOKUP($B36,'Table 1-A Sources of evidences'!$A$6:$G$31,5,FALSE)</f>
        <v>#N/A</v>
      </c>
      <c r="K36" s="150" t="e">
        <f>VLOOKUP($B36,'Table 1-A Sources of evidences'!$A$6:$G$31,5,FALSE)</f>
        <v>#N/A</v>
      </c>
      <c r="L36" s="293" t="s">
        <v>158</v>
      </c>
      <c r="M36" s="471"/>
      <c r="N36" s="146"/>
      <c r="O36" s="146"/>
      <c r="P36" s="146"/>
      <c r="Q36" s="146"/>
      <c r="R36" s="146"/>
      <c r="S36" s="476"/>
      <c r="T36" s="363"/>
      <c r="U36" s="364"/>
      <c r="V36" s="524" t="str">
        <f>IF(T36="V-nu","R0",IF(AND(T36="V1",U36="T1"),"R0",IF(AND(T36="V1",U36="T2"),"1",IF(AND(T36="V1",U36="T3"),"R1",IF(AND(T36="V2",U36="T1"),"R1",IF(AND(T36="V2",U36="T2"),"R2",IF(AND(T36="V2",U36="T3"),"R2",IF(AND(T36="V3",U36="T1"),"R1",IF(AND(T36="V3",U36="T2"),"R2",IF(AND(T36="V3",U36="T3"),"R3","erreur"))))))))))</f>
        <v>erreur</v>
      </c>
    </row>
    <row r="37" spans="1:22" ht="39" customHeight="1" x14ac:dyDescent="0.25">
      <c r="A37" s="655"/>
      <c r="B37" s="204">
        <v>17</v>
      </c>
      <c r="C37" s="610" t="e">
        <f>VLOOKUP($B37,'Table 1-A Sources of evidences'!$A$6:$G$31,2,FALSE)</f>
        <v>#N/A</v>
      </c>
      <c r="D37" s="610"/>
      <c r="E37" s="610" t="e">
        <f>VLOOKUP($B37,'Table 1-A Sources of evidences'!$A$6:$G$31,3,FALSE)</f>
        <v>#N/A</v>
      </c>
      <c r="F37" s="610"/>
      <c r="G37" s="610" t="e">
        <f>VLOOKUP($B37,'Table 1-A Sources of evidences'!$A$6:$G$31,4,FALSE)</f>
        <v>#N/A</v>
      </c>
      <c r="H37" s="610"/>
      <c r="I37" s="610"/>
      <c r="J37" s="532" t="e">
        <f>VLOOKUP($B37,'Table 1-A Sources of evidences'!$A$6:$G$31,5,FALSE)</f>
        <v>#N/A</v>
      </c>
      <c r="K37" s="150" t="e">
        <f>VLOOKUP($B37,'Table 1-A Sources of evidences'!$A$6:$G$31,5,FALSE)</f>
        <v>#N/A</v>
      </c>
      <c r="L37" s="294" t="s">
        <v>159</v>
      </c>
      <c r="M37" s="471"/>
      <c r="N37" s="146"/>
      <c r="O37" s="146"/>
      <c r="P37" s="146"/>
      <c r="Q37" s="146"/>
      <c r="R37" s="146"/>
      <c r="S37" s="476"/>
      <c r="T37" s="363"/>
      <c r="U37" s="364"/>
      <c r="V37" s="524" t="str">
        <f t="shared" ref="V37:V39" si="2">IF(T37="V-nu","R0",IF(AND(T37="V1",U37="T1"),"R0",IF(AND(T37="V1",U37="T2"),"1",IF(AND(T37="V1",U37="T3"),"R1",IF(AND(T37="V2",U37="T1"),"R1",IF(AND(T37="V2",U37="T2"),"R2",IF(AND(T37="V2",U37="T3"),"R2",IF(AND(T37="V3",U37="T1"),"R1",IF(AND(T37="V3",U37="T2"),"R2",IF(AND(T37="V3",U37="T3"),"R3","erreur"))))))))))</f>
        <v>erreur</v>
      </c>
    </row>
    <row r="38" spans="1:22" ht="36.75" customHeight="1" x14ac:dyDescent="0.25">
      <c r="A38" s="655"/>
      <c r="B38" s="204">
        <v>17</v>
      </c>
      <c r="C38" s="610" t="e">
        <f>VLOOKUP($B38,'Table 1-A Sources of evidences'!$A$6:$G$31,2,FALSE)</f>
        <v>#N/A</v>
      </c>
      <c r="D38" s="610"/>
      <c r="E38" s="610" t="e">
        <f>VLOOKUP($B38,'Table 1-A Sources of evidences'!$A$6:$G$31,3,FALSE)</f>
        <v>#N/A</v>
      </c>
      <c r="F38" s="610"/>
      <c r="G38" s="610" t="e">
        <f>VLOOKUP($B38,'Table 1-A Sources of evidences'!$A$6:$G$31,4,FALSE)</f>
        <v>#N/A</v>
      </c>
      <c r="H38" s="610"/>
      <c r="I38" s="610"/>
      <c r="J38" s="532" t="e">
        <f>VLOOKUP($B38,'Table 1-A Sources of evidences'!$A$6:$G$31,5,FALSE)</f>
        <v>#N/A</v>
      </c>
      <c r="K38" s="150" t="e">
        <f>VLOOKUP($B38,'Table 1-A Sources of evidences'!$A$6:$G$31,5,FALSE)</f>
        <v>#N/A</v>
      </c>
      <c r="L38" s="159" t="s">
        <v>160</v>
      </c>
      <c r="M38" s="471"/>
      <c r="N38" s="146"/>
      <c r="O38" s="146"/>
      <c r="P38" s="146"/>
      <c r="Q38" s="146"/>
      <c r="R38" s="146"/>
      <c r="S38" s="476"/>
      <c r="T38" s="363"/>
      <c r="U38" s="364"/>
      <c r="V38" s="524" t="str">
        <f t="shared" si="2"/>
        <v>erreur</v>
      </c>
    </row>
    <row r="39" spans="1:22" ht="45.75" customHeight="1" x14ac:dyDescent="0.25">
      <c r="A39" s="655"/>
      <c r="B39" s="204">
        <v>17</v>
      </c>
      <c r="C39" s="610" t="e">
        <f>VLOOKUP($B39,'Table 1-A Sources of evidences'!$A$6:$G$31,2,FALSE)</f>
        <v>#N/A</v>
      </c>
      <c r="D39" s="610"/>
      <c r="E39" s="610" t="e">
        <f>VLOOKUP($B39,'Table 1-A Sources of evidences'!$A$6:$G$31,3,FALSE)</f>
        <v>#N/A</v>
      </c>
      <c r="F39" s="610"/>
      <c r="G39" s="610" t="e">
        <f>VLOOKUP($B39,'Table 1-A Sources of evidences'!$A$6:$G$31,4,FALSE)</f>
        <v>#N/A</v>
      </c>
      <c r="H39" s="610"/>
      <c r="I39" s="610"/>
      <c r="J39" s="532" t="e">
        <f>VLOOKUP($B39,'Table 1-A Sources of evidences'!$A$6:$G$31,5,FALSE)</f>
        <v>#N/A</v>
      </c>
      <c r="K39" s="150" t="e">
        <f>VLOOKUP($B39,'Table 1-A Sources of evidences'!$A$6:$G$31,5,FALSE)</f>
        <v>#N/A</v>
      </c>
      <c r="L39" s="159" t="s">
        <v>161</v>
      </c>
      <c r="M39" s="471"/>
      <c r="N39" s="146"/>
      <c r="O39" s="146"/>
      <c r="P39" s="146"/>
      <c r="Q39" s="146"/>
      <c r="R39" s="146"/>
      <c r="S39" s="476"/>
      <c r="T39" s="363"/>
      <c r="U39" s="364"/>
      <c r="V39" s="524" t="str">
        <f t="shared" si="2"/>
        <v>erreur</v>
      </c>
    </row>
    <row r="40" spans="1:22" ht="10.5" customHeight="1" x14ac:dyDescent="0.25">
      <c r="A40" s="149"/>
      <c r="B40" s="149"/>
      <c r="C40" s="149"/>
      <c r="D40" s="149"/>
      <c r="E40" s="149"/>
      <c r="F40" s="149"/>
      <c r="G40" s="149"/>
      <c r="H40" s="149"/>
      <c r="I40" s="149"/>
      <c r="J40" s="533"/>
      <c r="K40" s="149"/>
      <c r="L40" s="149"/>
      <c r="M40" s="149"/>
      <c r="N40" s="149"/>
      <c r="O40" s="149"/>
      <c r="P40" s="149"/>
      <c r="Q40" s="149"/>
      <c r="R40" s="149"/>
      <c r="S40" s="149"/>
      <c r="T40" s="149"/>
      <c r="U40" s="149"/>
      <c r="V40" s="149"/>
    </row>
    <row r="41" spans="1:22" ht="35.1" customHeight="1" x14ac:dyDescent="0.25">
      <c r="A41" s="577" t="s">
        <v>141</v>
      </c>
      <c r="B41" s="139"/>
      <c r="C41" s="139"/>
      <c r="D41" s="139"/>
      <c r="E41" s="139"/>
      <c r="F41" s="139"/>
      <c r="G41" s="139"/>
      <c r="H41" s="139"/>
      <c r="I41" s="139"/>
      <c r="J41" s="527"/>
      <c r="K41" s="139"/>
      <c r="L41" s="139"/>
      <c r="M41" s="501" t="s">
        <v>142</v>
      </c>
      <c r="N41" s="149"/>
      <c r="O41" s="149"/>
      <c r="P41" s="149"/>
      <c r="Q41" s="149"/>
      <c r="R41" s="149"/>
      <c r="S41" s="139"/>
      <c r="T41" s="362"/>
      <c r="U41" s="362"/>
      <c r="V41" s="139"/>
    </row>
    <row r="42" spans="1:22" ht="36.75" customHeight="1" x14ac:dyDescent="0.25">
      <c r="A42" s="578"/>
      <c r="B42" s="204">
        <v>17</v>
      </c>
      <c r="C42" s="610" t="e">
        <f>VLOOKUP($B42,'Table 1-A Sources of evidences'!$A$6:$G$31,2,FALSE)</f>
        <v>#N/A</v>
      </c>
      <c r="D42" s="610"/>
      <c r="E42" s="610" t="e">
        <f>VLOOKUP($B42,'Table 1-A Sources of evidences'!$A$6:$G$31,3,FALSE)</f>
        <v>#N/A</v>
      </c>
      <c r="F42" s="610"/>
      <c r="G42" s="610" t="e">
        <f>VLOOKUP($B42,'Table 1-A Sources of evidences'!$A$6:$G$31,4,FALSE)</f>
        <v>#N/A</v>
      </c>
      <c r="H42" s="610"/>
      <c r="I42" s="610"/>
      <c r="J42" s="532" t="e">
        <f>VLOOKUP($B42,'Table 1-A Sources of evidences'!$A$6:$G$31,5,FALSE)</f>
        <v>#N/A</v>
      </c>
      <c r="K42" s="150" t="e">
        <f>VLOOKUP($B42,'Table 1-A Sources of evidences'!$A$6:$G$31,5,FALSE)</f>
        <v>#N/A</v>
      </c>
      <c r="L42" s="159" t="s">
        <v>162</v>
      </c>
      <c r="M42" s="205"/>
      <c r="N42" s="149"/>
      <c r="O42" s="149"/>
      <c r="P42" s="149"/>
      <c r="Q42" s="149"/>
      <c r="R42" s="149"/>
      <c r="S42" s="476"/>
      <c r="T42" s="363"/>
      <c r="U42" s="364"/>
      <c r="V42" s="157" t="str">
        <f>IF(T42="V-nu","R0",IF(AND(T42="V1",U42="T1"),"R0",IF(AND(T42="V1",U42="T2"),"R1",IF(AND(T42="V1",U42="T3"),"R1",IF(AND(T42="V2",U42="T1"),"R1",IF(AND(T42="V2",U42="T2"),"R2",IF(AND(T42="V2",U42="T3"),"R2",IF(AND(T42="V3",U42="T1"),"R1",IF(AND(T42="V3",U42="T2"),"R2",IF(AND(T42="V3",U42="T3"),"R3","erreur"))))))))))</f>
        <v>erreur</v>
      </c>
    </row>
    <row r="43" spans="1:22" ht="43.5" customHeight="1" x14ac:dyDescent="0.25">
      <c r="A43" s="579"/>
      <c r="B43" s="204">
        <v>17</v>
      </c>
      <c r="C43" s="610" t="e">
        <f>VLOOKUP($B43,'Table 1-A Sources of evidences'!$A$6:$G$31,2,FALSE)</f>
        <v>#N/A</v>
      </c>
      <c r="D43" s="610"/>
      <c r="E43" s="610" t="e">
        <f>VLOOKUP($B43,'Table 1-A Sources of evidences'!$A$6:$G$31,3,FALSE)</f>
        <v>#N/A</v>
      </c>
      <c r="F43" s="610"/>
      <c r="G43" s="610" t="e">
        <f>VLOOKUP($B43,'Table 1-A Sources of evidences'!$A$6:$G$31,4,FALSE)</f>
        <v>#N/A</v>
      </c>
      <c r="H43" s="610"/>
      <c r="I43" s="610"/>
      <c r="J43" s="532" t="e">
        <f>VLOOKUP($B43,'Table 1-A Sources of evidences'!$A$6:$G$31,5,FALSE)</f>
        <v>#N/A</v>
      </c>
      <c r="K43" s="150" t="e">
        <f>VLOOKUP($B43,'Table 1-A Sources of evidences'!$A$6:$G$31,5,FALSE)</f>
        <v>#N/A</v>
      </c>
      <c r="L43" s="159" t="s">
        <v>163</v>
      </c>
      <c r="M43" s="205"/>
      <c r="N43" s="149"/>
      <c r="O43" s="149"/>
      <c r="P43" s="149"/>
      <c r="Q43" s="149"/>
      <c r="R43" s="149"/>
      <c r="S43" s="476"/>
      <c r="T43" s="363"/>
      <c r="U43" s="364"/>
      <c r="V43" s="157" t="str">
        <f>IF(T43="V-nu","F0",IF(AND(T43="V1",U43="T1"),"R0",IF(AND(T43="V1",U43="T2"),"R1",IF(AND(T43="V1",U43="T3"),"R1",IF(AND(T43="V2",U43="T1"),"R1",IF(AND(T43="V2",U43="T2"),"R2",IF(AND(T43="V2",U43="T3"),"R2",IF(AND(T43="V3",U43="T1"),"R1",IF(AND(T43="V3",U43="T2"),"R2",IF(AND(T43="V3",U43="T3"),"R3","erreur"))))))))))</f>
        <v>erreur</v>
      </c>
    </row>
    <row r="44" spans="1:22" ht="11.25" customHeight="1" x14ac:dyDescent="0.25">
      <c r="A44" s="149"/>
      <c r="B44" s="149"/>
      <c r="C44" s="149"/>
      <c r="D44" s="149"/>
      <c r="E44" s="149"/>
      <c r="F44" s="149"/>
      <c r="G44" s="149"/>
      <c r="H44" s="149"/>
      <c r="I44" s="149"/>
      <c r="J44" s="533"/>
      <c r="K44" s="149"/>
      <c r="L44" s="149"/>
      <c r="M44" s="149"/>
      <c r="N44" s="149"/>
      <c r="O44" s="149"/>
      <c r="P44" s="149"/>
      <c r="Q44" s="149"/>
      <c r="R44" s="149"/>
      <c r="S44" s="149"/>
      <c r="T44" s="149"/>
      <c r="U44" s="149"/>
      <c r="V44" s="149"/>
    </row>
  </sheetData>
  <sheetProtection formatCells="0" formatColumns="0" formatRows="0" insertRows="0"/>
  <protectedRanges>
    <protectedRange sqref="S14 S17:S29 S31 S35:S39 S42:S43" name="Range5"/>
    <protectedRange sqref="T42:U43 T35:U39 T31:U32 T17:U29 T14:U15" name="Range3"/>
    <protectedRange sqref="N15:R15 N17:R18 M42:M43 N32:Q32 M35:M39 N21:R28" name="Range2"/>
    <protectedRange sqref="B14:B15 B17:B29 B31 B35:B39 B42:B43" name="Range1"/>
    <protectedRange sqref="N29" name="Range4"/>
    <protectedRange sqref="N19" name="Range2_2"/>
    <protectedRange sqref="O19" name="Range2_3"/>
    <protectedRange sqref="P19:R19" name="Range2_4"/>
  </protectedRanges>
  <mergeCells count="99">
    <mergeCell ref="C38:D38"/>
    <mergeCell ref="G14:I15"/>
    <mergeCell ref="E14:F15"/>
    <mergeCell ref="A34:A39"/>
    <mergeCell ref="C39:D39"/>
    <mergeCell ref="E39:F39"/>
    <mergeCell ref="C37:D37"/>
    <mergeCell ref="E37:F37"/>
    <mergeCell ref="G37:I37"/>
    <mergeCell ref="G39:I39"/>
    <mergeCell ref="E35:F35"/>
    <mergeCell ref="G35:I35"/>
    <mergeCell ref="E38:F38"/>
    <mergeCell ref="G38:I38"/>
    <mergeCell ref="G20:I28"/>
    <mergeCell ref="A31:A32"/>
    <mergeCell ref="A41:A43"/>
    <mergeCell ref="C42:D42"/>
    <mergeCell ref="E42:F42"/>
    <mergeCell ref="G42:I42"/>
    <mergeCell ref="C43:D43"/>
    <mergeCell ref="E43:F43"/>
    <mergeCell ref="G43:I43"/>
    <mergeCell ref="S31:S32"/>
    <mergeCell ref="U31:U32"/>
    <mergeCell ref="V31:V32"/>
    <mergeCell ref="K14:K15"/>
    <mergeCell ref="S20:S28"/>
    <mergeCell ref="T20:T28"/>
    <mergeCell ref="U20:U28"/>
    <mergeCell ref="V20:V28"/>
    <mergeCell ref="S14:S15"/>
    <mergeCell ref="T14:T15"/>
    <mergeCell ref="U14:U15"/>
    <mergeCell ref="V14:V15"/>
    <mergeCell ref="N14:O14"/>
    <mergeCell ref="Q14:R14"/>
    <mergeCell ref="L29:M29"/>
    <mergeCell ref="T31:T32"/>
    <mergeCell ref="K31:K32"/>
    <mergeCell ref="J31:J32"/>
    <mergeCell ref="B31:B32"/>
    <mergeCell ref="C31:D32"/>
    <mergeCell ref="E31:F32"/>
    <mergeCell ref="G31:I32"/>
    <mergeCell ref="A12:A13"/>
    <mergeCell ref="B12:B13"/>
    <mergeCell ref="C12:D13"/>
    <mergeCell ref="E12:F13"/>
    <mergeCell ref="E19:F19"/>
    <mergeCell ref="E17:F17"/>
    <mergeCell ref="E18:F18"/>
    <mergeCell ref="B14:B15"/>
    <mergeCell ref="C17:D17"/>
    <mergeCell ref="C18:D18"/>
    <mergeCell ref="C14:D15"/>
    <mergeCell ref="A14:A29"/>
    <mergeCell ref="B20:B28"/>
    <mergeCell ref="E20:F28"/>
    <mergeCell ref="C20:D28"/>
    <mergeCell ref="C19:D19"/>
    <mergeCell ref="C36:D36"/>
    <mergeCell ref="E36:F36"/>
    <mergeCell ref="G36:I36"/>
    <mergeCell ref="Q21:R21"/>
    <mergeCell ref="Q22:R22"/>
    <mergeCell ref="Q23:R23"/>
    <mergeCell ref="Q24:R24"/>
    <mergeCell ref="Q25:R25"/>
    <mergeCell ref="K20:K28"/>
    <mergeCell ref="J20:J28"/>
    <mergeCell ref="C29:D29"/>
    <mergeCell ref="E29:F29"/>
    <mergeCell ref="G29:I29"/>
    <mergeCell ref="L31:L32"/>
    <mergeCell ref="Q20:R20"/>
    <mergeCell ref="C35:D35"/>
    <mergeCell ref="A2:V2"/>
    <mergeCell ref="A10:V10"/>
    <mergeCell ref="D4:E4"/>
    <mergeCell ref="D5:E5"/>
    <mergeCell ref="D6:E6"/>
    <mergeCell ref="D8:E8"/>
    <mergeCell ref="G12:I13"/>
    <mergeCell ref="L14:L15"/>
    <mergeCell ref="L20:L28"/>
    <mergeCell ref="L12:R12"/>
    <mergeCell ref="J12:J13"/>
    <mergeCell ref="K12:K13"/>
    <mergeCell ref="J14:J15"/>
    <mergeCell ref="Q26:R26"/>
    <mergeCell ref="Q27:R27"/>
    <mergeCell ref="Q28:R28"/>
    <mergeCell ref="G19:I19"/>
    <mergeCell ref="G17:I17"/>
    <mergeCell ref="G18:I18"/>
    <mergeCell ref="N15:O15"/>
    <mergeCell ref="P19:R19"/>
    <mergeCell ref="Q15:R15"/>
  </mergeCells>
  <conditionalFormatting sqref="V1:V11 V14:V1048576">
    <cfRule type="containsText" dxfId="968" priority="20" operator="containsText" text="erreur">
      <formula>NOT(ISERROR(SEARCH("erreur",V1)))</formula>
    </cfRule>
  </conditionalFormatting>
  <conditionalFormatting sqref="V13">
    <cfRule type="containsText" dxfId="967" priority="2" operator="containsText" text="error">
      <formula>NOT(ISERROR(SEARCH("error",V13)))</formula>
    </cfRule>
  </conditionalFormatting>
  <conditionalFormatting sqref="V12">
    <cfRule type="containsText" dxfId="966" priority="1" operator="containsText" text="erreur">
      <formula>NOT(ISERROR(SEARCH("erreur",V12)))</formula>
    </cfRule>
  </conditionalFormatting>
  <dataValidations count="3">
    <dataValidation type="list" allowBlank="1" showInputMessage="1" showErrorMessage="1" sqref="U14 U17:U20 U29 U31 U42:U43 U35:U39" xr:uid="{00000000-0002-0000-0300-000000000000}">
      <formula1>"T1,T2,T3"</formula1>
    </dataValidation>
    <dataValidation type="list" allowBlank="1" showInputMessage="1" showErrorMessage="1" sqref="T42:T43 T14 T29 T17:T20 T31 T35:T39" xr:uid="{00000000-0002-0000-0300-000001000000}">
      <formula1>"V-nu,V1,V2,V3"</formula1>
    </dataValidation>
    <dataValidation type="list" allowBlank="1" showInputMessage="1" showErrorMessage="1" sqref="S42:S43 S17:S29 S31:S32 S35:S39 S14:S15" xr:uid="{BBE1A957-B508-4567-91C4-7F691AE1F768}">
      <formula1>"L0,L1,L2,L3"</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173"/>
  <sheetViews>
    <sheetView topLeftCell="A16" zoomScale="80" zoomScaleNormal="80" zoomScaleSheetLayoutView="90" workbookViewId="0">
      <selection activeCell="D35" sqref="D35"/>
    </sheetView>
  </sheetViews>
  <sheetFormatPr defaultColWidth="11.5703125" defaultRowHeight="15" x14ac:dyDescent="0.25"/>
  <cols>
    <col min="2" max="2" width="8.42578125" customWidth="1"/>
    <col min="3" max="3" width="7" customWidth="1"/>
    <col min="4" max="4" width="16.7109375" style="87" customWidth="1"/>
    <col min="5" max="9" width="13.42578125" style="87" customWidth="1"/>
    <col min="10" max="10" width="1" customWidth="1"/>
    <col min="12" max="12" width="14.85546875" customWidth="1"/>
    <col min="13" max="13" width="16.28515625" customWidth="1"/>
    <col min="14" max="14" width="9.42578125" customWidth="1"/>
  </cols>
  <sheetData>
    <row r="1" spans="1:16" ht="15.75" x14ac:dyDescent="0.25">
      <c r="A1" s="3"/>
      <c r="B1" s="3"/>
      <c r="C1" s="3"/>
      <c r="D1" s="74"/>
      <c r="E1" s="74"/>
      <c r="F1" s="74"/>
      <c r="G1" s="74"/>
      <c r="H1" s="74"/>
      <c r="I1" s="74"/>
      <c r="J1" s="3"/>
      <c r="K1" s="3"/>
      <c r="L1" s="3"/>
      <c r="M1" s="3"/>
      <c r="N1" s="3"/>
      <c r="O1" s="3"/>
      <c r="P1" s="3"/>
    </row>
    <row r="2" spans="1:16" ht="23.25" x14ac:dyDescent="0.25">
      <c r="A2" s="676" t="s">
        <v>168</v>
      </c>
      <c r="B2" s="676"/>
      <c r="C2" s="676"/>
      <c r="D2" s="676"/>
      <c r="E2" s="676"/>
      <c r="F2" s="676"/>
      <c r="G2" s="676"/>
      <c r="H2" s="676"/>
      <c r="I2" s="676"/>
      <c r="J2" s="676"/>
      <c r="K2" s="676"/>
      <c r="L2" s="676"/>
      <c r="M2" s="676"/>
      <c r="N2" s="676"/>
      <c r="O2" s="676"/>
      <c r="P2" s="676"/>
    </row>
    <row r="3" spans="1:16" ht="15.75" x14ac:dyDescent="0.25">
      <c r="A3" s="58"/>
      <c r="B3" s="59"/>
      <c r="C3" s="59"/>
      <c r="D3" s="75"/>
      <c r="E3" s="75"/>
      <c r="F3" s="75"/>
      <c r="G3" s="75"/>
      <c r="H3" s="75"/>
      <c r="I3" s="75"/>
      <c r="J3" s="60"/>
      <c r="K3" s="61"/>
      <c r="L3" s="61"/>
      <c r="M3" s="61"/>
      <c r="N3" s="61"/>
      <c r="O3" s="61"/>
      <c r="P3" s="61"/>
    </row>
    <row r="4" spans="1:16" ht="15.75" x14ac:dyDescent="0.25">
      <c r="A4" s="479" t="s">
        <v>66</v>
      </c>
      <c r="B4" s="62"/>
      <c r="C4" s="62"/>
      <c r="D4" s="590">
        <f>'Table 1-B  Context Analysis'!$C$5</f>
        <v>0</v>
      </c>
      <c r="E4" s="590"/>
      <c r="F4" s="76"/>
      <c r="G4" s="76"/>
      <c r="H4" s="76"/>
      <c r="I4" s="76"/>
      <c r="J4" s="61"/>
      <c r="K4" s="61"/>
      <c r="L4" s="61"/>
      <c r="M4" s="61"/>
      <c r="N4" s="61"/>
      <c r="O4" s="61"/>
      <c r="P4" s="61"/>
    </row>
    <row r="5" spans="1:16" ht="15.75" x14ac:dyDescent="0.25">
      <c r="A5" s="480" t="s">
        <v>74</v>
      </c>
      <c r="B5" s="63"/>
      <c r="C5" s="63"/>
      <c r="D5" s="591">
        <f>'Table 1-B  Context Analysis'!$C$6</f>
        <v>0</v>
      </c>
      <c r="E5" s="591"/>
      <c r="F5" s="77"/>
      <c r="G5" s="77"/>
      <c r="H5" s="77"/>
      <c r="I5" s="77"/>
      <c r="J5" s="61"/>
      <c r="K5" s="61"/>
      <c r="L5" s="61"/>
      <c r="M5" s="61"/>
      <c r="N5" s="61"/>
      <c r="O5" s="61"/>
      <c r="P5" s="61"/>
    </row>
    <row r="6" spans="1:16" ht="15.75" x14ac:dyDescent="0.25">
      <c r="A6" s="480" t="s">
        <v>75</v>
      </c>
      <c r="B6" s="63"/>
      <c r="C6" s="63"/>
      <c r="D6" s="591">
        <f>'Table 1-B  Context Analysis'!$C$7</f>
        <v>0</v>
      </c>
      <c r="E6" s="591"/>
      <c r="F6" s="77"/>
      <c r="G6" s="77"/>
      <c r="H6" s="77"/>
      <c r="I6" s="77"/>
      <c r="J6" s="61"/>
      <c r="K6" s="61"/>
      <c r="L6" s="61"/>
      <c r="M6" s="61"/>
      <c r="N6" s="61"/>
      <c r="O6" s="61"/>
      <c r="P6" s="61"/>
    </row>
    <row r="7" spans="1:16" ht="15.75" x14ac:dyDescent="0.25">
      <c r="A7" s="497"/>
      <c r="B7" s="59"/>
      <c r="C7" s="59"/>
      <c r="D7" s="75"/>
      <c r="E7" s="75"/>
      <c r="F7" s="75"/>
      <c r="G7" s="75"/>
      <c r="H7" s="75"/>
      <c r="I7" s="75"/>
      <c r="J7" s="61"/>
      <c r="K7" s="61"/>
      <c r="L7" s="61"/>
      <c r="M7" s="61"/>
      <c r="N7" s="61"/>
      <c r="O7" s="61"/>
      <c r="P7" s="61"/>
    </row>
    <row r="8" spans="1:16" ht="15.75" x14ac:dyDescent="0.25">
      <c r="A8" s="479" t="s">
        <v>117</v>
      </c>
      <c r="B8" s="62"/>
      <c r="C8" s="62"/>
      <c r="D8" s="592" t="str">
        <f>'Table 1-B  Context Analysis'!$C$9</f>
        <v/>
      </c>
      <c r="E8" s="592"/>
      <c r="F8" s="76"/>
      <c r="G8" s="76"/>
      <c r="H8" s="76"/>
      <c r="I8" s="76"/>
      <c r="J8" s="61"/>
      <c r="K8" s="61"/>
      <c r="L8" s="61"/>
      <c r="M8" s="61"/>
      <c r="N8" s="61"/>
      <c r="O8" s="61"/>
      <c r="P8" s="61"/>
    </row>
    <row r="9" spans="1:16" ht="15.75" x14ac:dyDescent="0.25">
      <c r="A9" s="58"/>
      <c r="B9" s="59"/>
      <c r="C9" s="59"/>
      <c r="D9" s="75"/>
      <c r="E9" s="75"/>
      <c r="F9" s="75"/>
      <c r="G9" s="75"/>
      <c r="H9" s="75"/>
      <c r="I9" s="75"/>
      <c r="J9" s="59"/>
      <c r="K9" s="59"/>
      <c r="L9" s="59"/>
      <c r="M9" s="59"/>
      <c r="N9" s="59"/>
      <c r="O9" s="59"/>
      <c r="P9" s="64"/>
    </row>
    <row r="10" spans="1:16" ht="23.25" customHeight="1" thickBot="1" x14ac:dyDescent="0.3">
      <c r="A10" s="682" t="s">
        <v>169</v>
      </c>
      <c r="B10" s="683"/>
      <c r="C10" s="683"/>
      <c r="D10" s="683"/>
      <c r="E10" s="683"/>
      <c r="F10" s="683"/>
      <c r="G10" s="683"/>
      <c r="H10" s="683"/>
      <c r="I10" s="683"/>
      <c r="J10" s="683"/>
      <c r="K10" s="683"/>
      <c r="L10" s="683"/>
      <c r="M10" s="683"/>
      <c r="N10" s="683"/>
      <c r="O10" s="683"/>
      <c r="P10" s="684"/>
    </row>
    <row r="11" spans="1:16" ht="23.25" customHeight="1" x14ac:dyDescent="0.25">
      <c r="A11" s="7"/>
      <c r="B11" s="7"/>
      <c r="C11" s="7"/>
      <c r="D11" s="702" t="s">
        <v>172</v>
      </c>
      <c r="E11" s="702"/>
      <c r="F11" s="702"/>
      <c r="G11" s="702"/>
      <c r="H11" s="702"/>
      <c r="I11" s="702"/>
      <c r="J11" s="509"/>
      <c r="K11" s="701" t="s">
        <v>173</v>
      </c>
      <c r="L11" s="701"/>
      <c r="M11" s="701"/>
      <c r="N11" s="701"/>
      <c r="O11" s="701"/>
      <c r="P11" s="701"/>
    </row>
    <row r="12" spans="1:16" s="2" customFormat="1" ht="29.85" customHeight="1" x14ac:dyDescent="0.25">
      <c r="A12" s="507" t="s">
        <v>119</v>
      </c>
      <c r="B12" s="685" t="s">
        <v>170</v>
      </c>
      <c r="C12" s="686"/>
      <c r="D12" s="703" t="s">
        <v>278</v>
      </c>
      <c r="E12" s="704"/>
      <c r="F12" s="704"/>
      <c r="G12" s="704"/>
      <c r="H12" s="704"/>
      <c r="I12" s="705"/>
      <c r="J12" s="508"/>
      <c r="K12" s="677" t="s">
        <v>171</v>
      </c>
      <c r="L12" s="678"/>
      <c r="M12" s="678"/>
      <c r="N12" s="678"/>
      <c r="O12" s="678"/>
      <c r="P12" s="679"/>
    </row>
    <row r="13" spans="1:16" ht="51.75" customHeight="1" x14ac:dyDescent="0.25">
      <c r="A13" s="707" t="s">
        <v>0</v>
      </c>
      <c r="B13" s="737" t="s">
        <v>174</v>
      </c>
      <c r="C13" s="738"/>
      <c r="D13" s="706" t="str">
        <f>IF('Table 1-B  Context Analysis'!$K$7="Yes",IF('Table 1-C  Cont Factors'!L12="","N/A",'Table 1-C  Cont Factors'!L12),IF('Table 1-C  Cont Factors'!O12="R0",IF('Table 1-C  Cont Factors'!L12="","N/A","Reliability Score nul-R0"),IF('Table 1-C  Cont Factors'!L12="","N/A",'Table 1-C  Cont Factors'!L12)))</f>
        <v>N/A</v>
      </c>
      <c r="E13" s="660"/>
      <c r="F13" s="660"/>
      <c r="G13" s="660"/>
      <c r="H13" s="660"/>
      <c r="I13" s="660"/>
      <c r="J13" s="50"/>
      <c r="K13" s="747"/>
      <c r="L13" s="695"/>
      <c r="M13" s="695"/>
      <c r="N13" s="695"/>
      <c r="O13" s="695"/>
      <c r="P13" s="696"/>
    </row>
    <row r="14" spans="1:16" ht="22.5" customHeight="1" x14ac:dyDescent="0.25">
      <c r="A14" s="708"/>
      <c r="B14" s="737"/>
      <c r="C14" s="738"/>
      <c r="D14" s="706" t="str">
        <f>IF('Table 1-B  Context Analysis'!$K$7="Yes",IF('Table 1-C  Cont Factors'!L13="","N/A",'Table 1-C  Cont Factors'!L13),IF('Table 1-C  Cont Factors'!O13="R0",IF('Table 1-C  Cont Factors'!L13="","N/A","Reliability Score nul-R0"),IF('Table 1-C  Cont Factors'!L13="","N/A",'Table 1-C  Cont Factors'!L13)))</f>
        <v>N/A</v>
      </c>
      <c r="E14" s="660"/>
      <c r="F14" s="660"/>
      <c r="G14" s="660"/>
      <c r="H14" s="660"/>
      <c r="I14" s="660"/>
      <c r="J14" s="50"/>
      <c r="K14" s="747"/>
      <c r="L14" s="695"/>
      <c r="M14" s="695"/>
      <c r="N14" s="695"/>
      <c r="O14" s="695"/>
      <c r="P14" s="696"/>
    </row>
    <row r="15" spans="1:16" ht="22.5" customHeight="1" x14ac:dyDescent="0.25">
      <c r="A15" s="708"/>
      <c r="B15" s="737"/>
      <c r="C15" s="738"/>
      <c r="D15" s="706" t="str">
        <f>IF('Table 1-B  Context Analysis'!$K$7="Yes",IF('Table 1-C  Cont Factors'!L14="","N/A",'Table 1-C  Cont Factors'!L14),IF('Table 1-C  Cont Factors'!O14="R0",IF('Table 1-C  Cont Factors'!L14="","N/A","Reliability Score nul-R0"),IF('Table 1-C  Cont Factors'!L14="","N/A",'Table 1-C  Cont Factors'!L14)))</f>
        <v>N/A</v>
      </c>
      <c r="E15" s="660"/>
      <c r="F15" s="660"/>
      <c r="G15" s="660"/>
      <c r="H15" s="660"/>
      <c r="I15" s="660"/>
      <c r="J15" s="50"/>
      <c r="K15" s="747"/>
      <c r="L15" s="695"/>
      <c r="M15" s="695"/>
      <c r="N15" s="695"/>
      <c r="O15" s="695"/>
      <c r="P15" s="696"/>
    </row>
    <row r="16" spans="1:16" ht="22.5" customHeight="1" x14ac:dyDescent="0.25">
      <c r="A16" s="708"/>
      <c r="B16" s="737"/>
      <c r="C16" s="738"/>
      <c r="D16" s="706" t="str">
        <f>IF('Table 1-B  Context Analysis'!$K$7="Yes",IF('Table 1-C  Cont Factors'!L15="","N/A",'Table 1-C  Cont Factors'!L15),IF('Table 1-C  Cont Factors'!O15="R0",IF('Table 1-C  Cont Factors'!L15="","N/A","Reliability Score nul-R0"),IF('Table 1-C  Cont Factors'!L15="","N/A",'Table 1-C  Cont Factors'!L15)))</f>
        <v>N/A</v>
      </c>
      <c r="E16" s="660"/>
      <c r="F16" s="660"/>
      <c r="G16" s="660"/>
      <c r="H16" s="660"/>
      <c r="I16" s="660"/>
      <c r="J16" s="50"/>
      <c r="K16" s="695"/>
      <c r="L16" s="695"/>
      <c r="M16" s="695"/>
      <c r="N16" s="695"/>
      <c r="O16" s="695"/>
      <c r="P16" s="696"/>
    </row>
    <row r="17" spans="1:16" ht="22.5" customHeight="1" thickBot="1" x14ac:dyDescent="0.3">
      <c r="A17" s="708"/>
      <c r="B17" s="737"/>
      <c r="C17" s="738"/>
      <c r="D17" s="706" t="str">
        <f>IF('Table 1-B  Context Analysis'!$K$7="Yes",IF('Table 1-C  Cont Factors'!L16="","N/A",'Table 1-C  Cont Factors'!L16),IF('Table 1-C  Cont Factors'!O16="R0",IF('Table 1-C  Cont Factors'!L16="","N/A","Reliability Score nul-R0"),IF('Table 1-C  Cont Factors'!L16="","N/A",'Table 1-C  Cont Factors'!L16)))</f>
        <v>N/A</v>
      </c>
      <c r="E17" s="660"/>
      <c r="F17" s="660"/>
      <c r="G17" s="660"/>
      <c r="H17" s="660"/>
      <c r="I17" s="660"/>
      <c r="J17" s="50"/>
      <c r="K17" s="695"/>
      <c r="L17" s="695"/>
      <c r="M17" s="695"/>
      <c r="N17" s="695"/>
      <c r="O17" s="695"/>
      <c r="P17" s="696"/>
    </row>
    <row r="18" spans="1:16" ht="22.5" customHeight="1" thickBot="1" x14ac:dyDescent="0.3">
      <c r="A18" s="708"/>
      <c r="B18" s="737"/>
      <c r="C18" s="738"/>
      <c r="D18" s="760"/>
      <c r="E18" s="761"/>
      <c r="F18" s="761"/>
      <c r="G18" s="761"/>
      <c r="H18" s="761"/>
      <c r="I18" s="762"/>
      <c r="J18" s="50"/>
      <c r="K18" s="697"/>
      <c r="L18" s="697"/>
      <c r="M18" s="697"/>
      <c r="N18" s="697"/>
      <c r="O18" s="697"/>
      <c r="P18" s="698"/>
    </row>
    <row r="19" spans="1:16" ht="8.1" customHeight="1" x14ac:dyDescent="0.25">
      <c r="A19" s="708"/>
      <c r="B19" s="737"/>
      <c r="C19" s="738"/>
      <c r="D19" s="760"/>
      <c r="E19" s="761"/>
      <c r="F19" s="761"/>
      <c r="G19" s="761"/>
      <c r="H19" s="761"/>
      <c r="I19" s="762"/>
      <c r="J19" s="50"/>
      <c r="K19" s="697"/>
      <c r="L19" s="697"/>
      <c r="M19" s="697"/>
      <c r="N19" s="697"/>
      <c r="O19" s="697"/>
      <c r="P19" s="698"/>
    </row>
    <row r="20" spans="1:16" ht="8.25" customHeight="1" x14ac:dyDescent="0.25">
      <c r="A20" s="708"/>
      <c r="B20" s="6"/>
      <c r="C20" s="12"/>
      <c r="D20" s="78"/>
      <c r="E20" s="79"/>
      <c r="F20" s="78"/>
      <c r="G20" s="79"/>
      <c r="H20" s="80"/>
      <c r="I20" s="78"/>
      <c r="J20" s="51"/>
      <c r="K20" s="52"/>
      <c r="L20" s="53"/>
      <c r="M20" s="54"/>
      <c r="N20" s="52"/>
      <c r="O20" s="53"/>
      <c r="P20" s="53"/>
    </row>
    <row r="21" spans="1:16" ht="42" customHeight="1" x14ac:dyDescent="0.25">
      <c r="A21" s="708"/>
      <c r="B21" s="739" t="s">
        <v>175</v>
      </c>
      <c r="C21" s="740"/>
      <c r="D21" s="706" t="str">
        <f>IF('Table 1-B  Context Analysis'!$K$7="Yes",IF('Table 1-C  Cont Factors'!L18="","N/A",'Table 1-C  Cont Factors'!L18),IF('Table 1-C  Cont Factors'!O18="R0",IF('Table 1-C  Cont Factors'!L18="","N/A","Reliability Score nul-R0"),IF('Table 1-C  Cont Factors'!L18="","N/A",'Table 1-C  Cont Factors'!L18)))</f>
        <v>N/A</v>
      </c>
      <c r="E21" s="660"/>
      <c r="F21" s="660"/>
      <c r="G21" s="660"/>
      <c r="H21" s="660"/>
      <c r="I21" s="660"/>
      <c r="J21" s="51"/>
      <c r="K21" s="763"/>
      <c r="L21" s="764"/>
      <c r="M21" s="764"/>
      <c r="N21" s="764"/>
      <c r="O21" s="764"/>
      <c r="P21" s="765"/>
    </row>
    <row r="22" spans="1:16" ht="20.25" customHeight="1" x14ac:dyDescent="0.25">
      <c r="A22" s="708"/>
      <c r="B22" s="710"/>
      <c r="C22" s="711"/>
      <c r="D22" s="706" t="str">
        <f>IF('Table 1-B  Context Analysis'!$K$7="Yes",IF('Table 1-C  Cont Factors'!L19="","N/A",'Table 1-C  Cont Factors'!L19),IF('Table 1-C  Cont Factors'!O19="R0",IF('Table 1-C  Cont Factors'!L19="","N/A","Reliability Score nul-R0"),IF('Table 1-C  Cont Factors'!L19="","N/A",'Table 1-C  Cont Factors'!L19)))</f>
        <v>N/A</v>
      </c>
      <c r="E22" s="660"/>
      <c r="F22" s="660"/>
      <c r="G22" s="660"/>
      <c r="H22" s="660"/>
      <c r="I22" s="660"/>
      <c r="J22" s="51"/>
      <c r="K22" s="747"/>
      <c r="L22" s="695"/>
      <c r="M22" s="695"/>
      <c r="N22" s="695"/>
      <c r="O22" s="695"/>
      <c r="P22" s="696"/>
    </row>
    <row r="23" spans="1:16" ht="34.5" customHeight="1" x14ac:dyDescent="0.25">
      <c r="A23" s="708"/>
      <c r="B23" s="710"/>
      <c r="C23" s="711"/>
      <c r="D23" s="706" t="str">
        <f>IF('Table 1-B  Context Analysis'!$K$7="Yes",IF('Table 1-C  Cont Factors'!L20="","N/A",'Table 1-C  Cont Factors'!L20),IF('Table 1-C  Cont Factors'!O20="R0",IF('Table 1-C  Cont Factors'!L20="","N/A","Reliability Score nul-R0"),IF('Table 1-C  Cont Factors'!L20="","N/A",'Table 1-C  Cont Factors'!L20)))</f>
        <v>N/A</v>
      </c>
      <c r="E23" s="660"/>
      <c r="F23" s="660"/>
      <c r="G23" s="660"/>
      <c r="H23" s="660"/>
      <c r="I23" s="660"/>
      <c r="J23" s="51"/>
      <c r="K23" s="695"/>
      <c r="L23" s="695"/>
      <c r="M23" s="695"/>
      <c r="N23" s="695"/>
      <c r="O23" s="695"/>
      <c r="P23" s="696"/>
    </row>
    <row r="24" spans="1:16" ht="54.75" customHeight="1" x14ac:dyDescent="0.25">
      <c r="A24" s="708"/>
      <c r="B24" s="710"/>
      <c r="C24" s="711"/>
      <c r="D24" s="706" t="str">
        <f>IF('Table 1-B  Context Analysis'!$K$7="Yes",IF('Table 1-C  Cont Factors'!L21="","N/A",'Table 1-C  Cont Factors'!L21),IF('Table 1-C  Cont Factors'!O21="R0",IF('Table 1-C  Cont Factors'!L21="","N/A","Reliability Score nul-R0"),IF('Table 1-C  Cont Factors'!L21="","N/A",'Table 1-C  Cont Factors'!L21)))</f>
        <v>N/A</v>
      </c>
      <c r="E24" s="660"/>
      <c r="F24" s="660"/>
      <c r="G24" s="660"/>
      <c r="H24" s="660"/>
      <c r="I24" s="660"/>
      <c r="J24" s="51"/>
      <c r="K24" s="747"/>
      <c r="L24" s="695"/>
      <c r="M24" s="695"/>
      <c r="N24" s="695"/>
      <c r="O24" s="695"/>
      <c r="P24" s="696"/>
    </row>
    <row r="25" spans="1:16" ht="20.25" customHeight="1" thickBot="1" x14ac:dyDescent="0.3">
      <c r="A25" s="708"/>
      <c r="B25" s="710"/>
      <c r="C25" s="711"/>
      <c r="D25" s="706" t="str">
        <f>IF('Table 1-B  Context Analysis'!$K$7="Yes",IF('Table 1-C  Cont Factors'!L22="","N/A",'Table 1-C  Cont Factors'!L22),IF('Table 1-C  Cont Factors'!O22="R0",IF('Table 1-C  Cont Factors'!L22="","N/A","Reliability Score nul-R0"),IF('Table 1-C  Cont Factors'!L22="","N/A",'Table 1-C  Cont Factors'!L22)))</f>
        <v>N/A</v>
      </c>
      <c r="E25" s="660"/>
      <c r="F25" s="660"/>
      <c r="G25" s="660"/>
      <c r="H25" s="660"/>
      <c r="I25" s="660"/>
      <c r="J25" s="51"/>
      <c r="K25" s="695"/>
      <c r="L25" s="695"/>
      <c r="M25" s="695"/>
      <c r="N25" s="695"/>
      <c r="O25" s="695"/>
      <c r="P25" s="696"/>
    </row>
    <row r="26" spans="1:16" ht="20.25" customHeight="1" x14ac:dyDescent="0.25">
      <c r="A26" s="708"/>
      <c r="B26" s="710"/>
      <c r="C26" s="711"/>
      <c r="D26" s="760"/>
      <c r="E26" s="761"/>
      <c r="F26" s="761"/>
      <c r="G26" s="761"/>
      <c r="H26" s="761"/>
      <c r="I26" s="762"/>
      <c r="J26" s="51"/>
      <c r="K26" s="697"/>
      <c r="L26" s="697"/>
      <c r="M26" s="697"/>
      <c r="N26" s="697"/>
      <c r="O26" s="697"/>
      <c r="P26" s="698"/>
    </row>
    <row r="27" spans="1:16" ht="7.35" customHeight="1" x14ac:dyDescent="0.25">
      <c r="A27" s="708"/>
      <c r="B27" s="710"/>
      <c r="C27" s="711"/>
      <c r="D27" s="81"/>
      <c r="E27" s="81"/>
      <c r="F27" s="81"/>
      <c r="G27" s="81"/>
      <c r="H27" s="81"/>
      <c r="I27" s="81"/>
      <c r="J27" s="10"/>
      <c r="K27" s="9"/>
      <c r="L27" s="9"/>
      <c r="M27" s="9"/>
      <c r="N27" s="9"/>
      <c r="O27" s="9"/>
      <c r="P27" s="9"/>
    </row>
    <row r="28" spans="1:16" ht="9" customHeight="1" x14ac:dyDescent="0.25">
      <c r="A28" s="708"/>
      <c r="B28" s="687" t="s">
        <v>14</v>
      </c>
      <c r="C28" s="688"/>
      <c r="D28" s="712"/>
      <c r="E28" s="713"/>
      <c r="F28" s="713"/>
      <c r="G28" s="713"/>
      <c r="H28" s="713"/>
      <c r="I28" s="713"/>
      <c r="J28" s="10"/>
      <c r="K28" s="730"/>
      <c r="L28" s="731"/>
      <c r="M28" s="731"/>
      <c r="N28" s="731"/>
      <c r="O28" s="731"/>
      <c r="P28" s="732"/>
    </row>
    <row r="29" spans="1:16" ht="9" customHeight="1" x14ac:dyDescent="0.25">
      <c r="A29" s="708"/>
      <c r="B29" s="687"/>
      <c r="C29" s="688"/>
      <c r="D29" s="714"/>
      <c r="E29" s="715"/>
      <c r="F29" s="715"/>
      <c r="G29" s="715"/>
      <c r="H29" s="715"/>
      <c r="I29" s="715"/>
      <c r="J29" s="10"/>
      <c r="K29" s="733"/>
      <c r="L29" s="733"/>
      <c r="M29" s="733"/>
      <c r="N29" s="733"/>
      <c r="O29" s="733"/>
      <c r="P29" s="734"/>
    </row>
    <row r="30" spans="1:16" ht="9" customHeight="1" x14ac:dyDescent="0.25">
      <c r="A30" s="708"/>
      <c r="B30" s="687"/>
      <c r="C30" s="688"/>
      <c r="D30" s="714"/>
      <c r="E30" s="715"/>
      <c r="F30" s="715"/>
      <c r="G30" s="715"/>
      <c r="H30" s="715"/>
      <c r="I30" s="715"/>
      <c r="J30" s="10"/>
      <c r="K30" s="733"/>
      <c r="L30" s="733"/>
      <c r="M30" s="733"/>
      <c r="N30" s="733"/>
      <c r="O30" s="733"/>
      <c r="P30" s="734"/>
    </row>
    <row r="31" spans="1:16" ht="9" customHeight="1" x14ac:dyDescent="0.25">
      <c r="A31" s="708"/>
      <c r="B31" s="687"/>
      <c r="C31" s="688"/>
      <c r="D31" s="714"/>
      <c r="E31" s="715"/>
      <c r="F31" s="715"/>
      <c r="G31" s="715"/>
      <c r="H31" s="715"/>
      <c r="I31" s="715"/>
      <c r="J31" s="10"/>
      <c r="K31" s="733"/>
      <c r="L31" s="733"/>
      <c r="M31" s="733"/>
      <c r="N31" s="733"/>
      <c r="O31" s="733"/>
      <c r="P31" s="734"/>
    </row>
    <row r="32" spans="1:16" ht="81.75" customHeight="1" thickBot="1" x14ac:dyDescent="0.3">
      <c r="A32" s="708"/>
      <c r="B32" s="687"/>
      <c r="C32" s="688"/>
      <c r="D32" s="714"/>
      <c r="E32" s="715"/>
      <c r="F32" s="715"/>
      <c r="G32" s="715"/>
      <c r="H32" s="715"/>
      <c r="I32" s="715"/>
      <c r="J32" s="10"/>
      <c r="K32" s="735"/>
      <c r="L32" s="735"/>
      <c r="M32" s="735"/>
      <c r="N32" s="735"/>
      <c r="O32" s="735"/>
      <c r="P32" s="736"/>
    </row>
    <row r="33" spans="1:16" ht="15.75" customHeight="1" x14ac:dyDescent="0.25">
      <c r="A33" s="708"/>
      <c r="B33" s="655" t="s">
        <v>176</v>
      </c>
      <c r="C33" s="13"/>
      <c r="D33" s="692" t="s">
        <v>179</v>
      </c>
      <c r="E33" s="693"/>
      <c r="F33" s="694"/>
      <c r="G33" s="663" t="s">
        <v>180</v>
      </c>
      <c r="H33" s="664"/>
      <c r="I33" s="665"/>
      <c r="J33" s="14"/>
      <c r="K33" s="699" t="s">
        <v>179</v>
      </c>
      <c r="L33" s="700"/>
      <c r="M33" s="700"/>
      <c r="N33" s="666" t="s">
        <v>180</v>
      </c>
      <c r="O33" s="667"/>
      <c r="P33" s="668"/>
    </row>
    <row r="34" spans="1:16" ht="15.75" x14ac:dyDescent="0.25">
      <c r="A34" s="708"/>
      <c r="B34" s="689"/>
      <c r="C34" s="13"/>
      <c r="D34" s="307" t="s">
        <v>181</v>
      </c>
      <c r="E34" s="43" t="s">
        <v>182</v>
      </c>
      <c r="F34" s="306" t="s">
        <v>183</v>
      </c>
      <c r="G34" s="82" t="s">
        <v>183</v>
      </c>
      <c r="H34" s="83" t="s">
        <v>182</v>
      </c>
      <c r="I34" s="84" t="s">
        <v>181</v>
      </c>
      <c r="J34" s="14"/>
      <c r="K34" s="307" t="s">
        <v>181</v>
      </c>
      <c r="L34" s="43" t="s">
        <v>182</v>
      </c>
      <c r="M34" s="306" t="s">
        <v>183</v>
      </c>
      <c r="N34" s="40" t="s">
        <v>183</v>
      </c>
      <c r="O34" s="41" t="s">
        <v>182</v>
      </c>
      <c r="P34" s="42" t="s">
        <v>181</v>
      </c>
    </row>
    <row r="35" spans="1:16" ht="18" customHeight="1" x14ac:dyDescent="0.25">
      <c r="A35" s="708"/>
      <c r="B35" s="689"/>
      <c r="C35" s="369" t="s">
        <v>177</v>
      </c>
      <c r="D35" s="137" t="s">
        <v>282</v>
      </c>
      <c r="E35" s="137"/>
      <c r="F35" s="398"/>
      <c r="G35" s="222"/>
      <c r="H35" s="137"/>
      <c r="I35" s="137"/>
      <c r="J35" s="163"/>
      <c r="K35" s="137"/>
      <c r="L35" s="137"/>
      <c r="M35" s="162"/>
      <c r="N35" s="222"/>
      <c r="O35" s="137"/>
      <c r="P35" s="137"/>
    </row>
    <row r="36" spans="1:16" ht="18" customHeight="1" x14ac:dyDescent="0.25">
      <c r="A36" s="708"/>
      <c r="B36" s="689"/>
      <c r="C36" s="369" t="s">
        <v>178</v>
      </c>
      <c r="D36" s="137"/>
      <c r="E36" s="137"/>
      <c r="F36" s="398"/>
      <c r="G36" s="222"/>
      <c r="H36" s="137"/>
      <c r="I36" s="137"/>
      <c r="J36" s="163"/>
      <c r="K36" s="137"/>
      <c r="L36" s="137"/>
      <c r="M36" s="162"/>
      <c r="N36" s="222"/>
      <c r="O36" s="137"/>
      <c r="P36" s="137"/>
    </row>
    <row r="37" spans="1:16" ht="18" customHeight="1" x14ac:dyDescent="0.25">
      <c r="A37" s="708"/>
      <c r="B37" s="689"/>
      <c r="C37" s="369" t="s">
        <v>15</v>
      </c>
      <c r="D37" s="137"/>
      <c r="E37" s="137"/>
      <c r="F37" s="162"/>
      <c r="G37" s="222"/>
      <c r="H37" s="137"/>
      <c r="I37" s="137"/>
      <c r="J37" s="163"/>
      <c r="K37" s="137"/>
      <c r="L37" s="137"/>
      <c r="M37" s="162"/>
      <c r="N37" s="222"/>
      <c r="O37" s="137"/>
      <c r="P37" s="137"/>
    </row>
    <row r="38" spans="1:16" ht="18" customHeight="1" x14ac:dyDescent="0.25">
      <c r="A38" s="708"/>
      <c r="B38" s="690"/>
      <c r="C38" s="369" t="s">
        <v>16</v>
      </c>
      <c r="D38" s="137"/>
      <c r="E38" s="137"/>
      <c r="F38" s="162"/>
      <c r="G38" s="222"/>
      <c r="H38" s="137"/>
      <c r="I38" s="137"/>
      <c r="J38" s="163"/>
      <c r="K38" s="137"/>
      <c r="L38" s="137"/>
      <c r="M38" s="162"/>
      <c r="N38" s="222"/>
      <c r="O38" s="137"/>
      <c r="P38" s="137"/>
    </row>
    <row r="39" spans="1:16" ht="5.85" customHeight="1" x14ac:dyDescent="0.25">
      <c r="A39" s="708"/>
      <c r="B39" s="9"/>
      <c r="C39" s="9"/>
      <c r="D39" s="81"/>
      <c r="E39" s="81"/>
      <c r="F39" s="81"/>
      <c r="G39" s="81"/>
      <c r="H39" s="81"/>
      <c r="I39" s="81"/>
      <c r="J39" s="10"/>
      <c r="K39" s="9"/>
      <c r="L39" s="9"/>
      <c r="M39" s="9"/>
      <c r="N39" s="9"/>
      <c r="O39" s="9"/>
      <c r="P39" s="9"/>
    </row>
    <row r="40" spans="1:16" s="15" customFormat="1" ht="48.75" customHeight="1" x14ac:dyDescent="0.25">
      <c r="A40" s="708"/>
      <c r="B40" s="691" t="s">
        <v>188</v>
      </c>
      <c r="C40" s="691"/>
      <c r="D40" s="691"/>
      <c r="E40" s="691"/>
      <c r="F40" s="691"/>
      <c r="G40" s="510" t="s">
        <v>184</v>
      </c>
      <c r="H40" s="510" t="s">
        <v>185</v>
      </c>
      <c r="I40" s="510" t="s">
        <v>186</v>
      </c>
      <c r="J40" s="511"/>
      <c r="K40" s="680" t="s">
        <v>184</v>
      </c>
      <c r="L40" s="681"/>
      <c r="M40" s="680" t="s">
        <v>187</v>
      </c>
      <c r="N40" s="681"/>
      <c r="O40" s="680" t="s">
        <v>186</v>
      </c>
      <c r="P40" s="681"/>
    </row>
    <row r="41" spans="1:16" ht="12" customHeight="1" x14ac:dyDescent="0.25">
      <c r="A41" s="708"/>
      <c r="B41" s="691"/>
      <c r="C41" s="691"/>
      <c r="D41" s="691"/>
      <c r="E41" s="691"/>
      <c r="F41" s="691"/>
      <c r="G41" s="727"/>
      <c r="H41" s="727"/>
      <c r="I41" s="779"/>
      <c r="J41" s="16"/>
      <c r="K41" s="782"/>
      <c r="L41" s="783"/>
      <c r="M41" s="754"/>
      <c r="N41" s="755"/>
      <c r="O41" s="786"/>
      <c r="P41" s="755"/>
    </row>
    <row r="42" spans="1:16" ht="12" customHeight="1" x14ac:dyDescent="0.25">
      <c r="A42" s="708"/>
      <c r="B42" s="691"/>
      <c r="C42" s="691"/>
      <c r="D42" s="691"/>
      <c r="E42" s="691"/>
      <c r="F42" s="691"/>
      <c r="G42" s="728"/>
      <c r="H42" s="728"/>
      <c r="I42" s="780"/>
      <c r="J42" s="16"/>
      <c r="K42" s="687"/>
      <c r="L42" s="688"/>
      <c r="M42" s="756"/>
      <c r="N42" s="757"/>
      <c r="O42" s="756"/>
      <c r="P42" s="757"/>
    </row>
    <row r="43" spans="1:16" ht="12" customHeight="1" x14ac:dyDescent="0.25">
      <c r="A43" s="709"/>
      <c r="B43" s="691"/>
      <c r="C43" s="691"/>
      <c r="D43" s="691"/>
      <c r="E43" s="691"/>
      <c r="F43" s="691"/>
      <c r="G43" s="729"/>
      <c r="H43" s="729"/>
      <c r="I43" s="781"/>
      <c r="J43" s="16"/>
      <c r="K43" s="784"/>
      <c r="L43" s="785"/>
      <c r="M43" s="758"/>
      <c r="N43" s="759"/>
      <c r="O43" s="758"/>
      <c r="P43" s="759"/>
    </row>
    <row r="44" spans="1:16" ht="6.75" customHeight="1" x14ac:dyDescent="0.25">
      <c r="A44" s="8"/>
      <c r="B44" s="8"/>
      <c r="C44" s="8"/>
      <c r="D44" s="86"/>
      <c r="E44" s="86"/>
      <c r="F44" s="86"/>
      <c r="G44" s="86"/>
      <c r="H44" s="86"/>
      <c r="I44" s="86"/>
      <c r="J44" s="5"/>
      <c r="K44" s="5"/>
      <c r="L44" s="5"/>
      <c r="M44" s="5"/>
      <c r="N44" s="5"/>
      <c r="O44" s="5"/>
      <c r="P44" s="5"/>
    </row>
    <row r="45" spans="1:16" ht="44.25" customHeight="1" x14ac:dyDescent="0.25">
      <c r="A45" s="577" t="s">
        <v>130</v>
      </c>
      <c r="B45" s="669" t="str">
        <f>IF('Table 1-B  Context Analysis'!$K$7="Yes",IF('Table 1-C  Cont Factors'!L24="","N/A",'Table 1-C  Cont Factors'!L24),IF('Table 1-C  Cont Factors'!O24="R0",IF('Table 1-C  Cont Factors'!L24="","N/A","Reliability Schore nul-R0"),IF('Table 1-C  Cont Factors'!L24="","N/A",'Table 1-C  Cont Factors'!L24)))</f>
        <v>N/A</v>
      </c>
      <c r="C45" s="670"/>
      <c r="D45" s="670"/>
      <c r="E45" s="670"/>
      <c r="F45" s="670"/>
      <c r="G45" s="670"/>
      <c r="H45" s="670"/>
      <c r="I45" s="671"/>
      <c r="J45" s="55"/>
      <c r="K45" s="748"/>
      <c r="L45" s="749"/>
      <c r="M45" s="749"/>
      <c r="N45" s="749"/>
      <c r="O45" s="749"/>
      <c r="P45" s="750"/>
    </row>
    <row r="46" spans="1:16" ht="42" customHeight="1" x14ac:dyDescent="0.25">
      <c r="A46" s="708"/>
      <c r="B46" s="669" t="str">
        <f>IF('Table 1-B  Context Analysis'!$K$7="Yes",IF('Table 1-C  Cont Factors'!L25="","N/A",'Table 1-C  Cont Factors'!L25),IF('Table 1-C  Cont Factors'!O25="R0",IF('Table 1-C  Cont Factors'!L25="","N/A","Reliability Schore nul-R0"),IF('Table 1-C  Cont Factors'!L25="","N/A",'Table 1-C  Cont Factors'!L25)))</f>
        <v>N/A</v>
      </c>
      <c r="C46" s="670"/>
      <c r="D46" s="670"/>
      <c r="E46" s="670"/>
      <c r="F46" s="670"/>
      <c r="G46" s="670"/>
      <c r="H46" s="670"/>
      <c r="I46" s="671"/>
      <c r="J46" s="55"/>
      <c r="K46" s="766"/>
      <c r="L46" s="767"/>
      <c r="M46" s="767"/>
      <c r="N46" s="767"/>
      <c r="O46" s="767"/>
      <c r="P46" s="768"/>
    </row>
    <row r="47" spans="1:16" ht="30" customHeight="1" x14ac:dyDescent="0.25">
      <c r="A47" s="708"/>
      <c r="B47" s="669" t="str">
        <f>IF('Table 1-B  Context Analysis'!$K$7="Yes",IF('Table 1-C  Cont Factors'!L26="","N/A",'Table 1-C  Cont Factors'!L26),IF('Table 1-C  Cont Factors'!O26="R0",IF('Table 1-C  Cont Factors'!L26="","N/A","Reliability Schore nul-R0"),IF('Table 1-C  Cont Factors'!L26="","N/A",'Table 1-C  Cont Factors'!L26)))</f>
        <v>N/A</v>
      </c>
      <c r="C47" s="670"/>
      <c r="D47" s="670"/>
      <c r="E47" s="670"/>
      <c r="F47" s="670"/>
      <c r="G47" s="670"/>
      <c r="H47" s="670"/>
      <c r="I47" s="671"/>
      <c r="J47" s="55"/>
      <c r="K47" s="769"/>
      <c r="L47" s="770"/>
      <c r="M47" s="770"/>
      <c r="N47" s="770"/>
      <c r="O47" s="770"/>
      <c r="P47" s="771"/>
    </row>
    <row r="48" spans="1:16" ht="34.5" customHeight="1" x14ac:dyDescent="0.25">
      <c r="A48" s="708"/>
      <c r="B48" s="669" t="str">
        <f>IF('Table 1-B  Context Analysis'!$K$7="Yes",IF('Table 1-C  Cont Factors'!L27="","N/A",'Table 1-C  Cont Factors'!L27),IF('Table 1-C  Cont Factors'!O27="R0",IF('Table 1-C  Cont Factors'!L27="","N/A","Reliability Schore nul-R0"),IF('Table 1-C  Cont Factors'!L27="","N/A",'Table 1-C  Cont Factors'!L27)))</f>
        <v>N/A</v>
      </c>
      <c r="C48" s="670"/>
      <c r="D48" s="670"/>
      <c r="E48" s="670"/>
      <c r="F48" s="670"/>
      <c r="G48" s="670"/>
      <c r="H48" s="670"/>
      <c r="I48" s="671"/>
      <c r="J48" s="55"/>
      <c r="K48" s="772"/>
      <c r="L48" s="773"/>
      <c r="M48" s="773"/>
      <c r="N48" s="773"/>
      <c r="O48" s="773"/>
      <c r="P48" s="774"/>
    </row>
    <row r="49" spans="1:18" ht="42" customHeight="1" x14ac:dyDescent="0.25">
      <c r="A49" s="708"/>
      <c r="B49" s="669" t="str">
        <f>IF('Table 1-B  Context Analysis'!$K$7="Yes",IF('Table 1-C  Cont Factors'!L28="","N/A",'Table 1-C  Cont Factors'!L28),IF('Table 1-C  Cont Factors'!O28="R0",IF('Table 1-C  Cont Factors'!L28="","N/A","Reliability Schore nul-R0"),IF('Table 1-C  Cont Factors'!L28="","N/A",'Table 1-C  Cont Factors'!L28)))</f>
        <v>N/A</v>
      </c>
      <c r="C49" s="670"/>
      <c r="D49" s="670"/>
      <c r="E49" s="670"/>
      <c r="F49" s="670"/>
      <c r="G49" s="670"/>
      <c r="H49" s="670"/>
      <c r="I49" s="671"/>
      <c r="J49" s="55"/>
      <c r="K49" s="772"/>
      <c r="L49" s="773"/>
      <c r="M49" s="773"/>
      <c r="N49" s="773"/>
      <c r="O49" s="773"/>
      <c r="P49" s="774"/>
    </row>
    <row r="50" spans="1:18" ht="37.5" customHeight="1" x14ac:dyDescent="0.25">
      <c r="A50" s="708"/>
      <c r="B50" s="669" t="str">
        <f>IF('Table 1-B  Context Analysis'!$K$7="Yes",IF('Table 1-C  Cont Factors'!L29="","N/A",'Table 1-C  Cont Factors'!L29),IF('Table 1-C  Cont Factors'!O29="R0",IF('Table 1-C  Cont Factors'!L29="","N/A","Reliability Schore nul-R0"),IF('Table 1-C  Cont Factors'!L29="","N/A",'Table 1-C  Cont Factors'!L29)))</f>
        <v>N/A</v>
      </c>
      <c r="C50" s="670"/>
      <c r="D50" s="670"/>
      <c r="E50" s="670"/>
      <c r="F50" s="670"/>
      <c r="G50" s="670"/>
      <c r="H50" s="670"/>
      <c r="I50" s="671"/>
      <c r="J50" s="55"/>
      <c r="K50" s="778"/>
      <c r="L50" s="749"/>
      <c r="M50" s="749"/>
      <c r="N50" s="749"/>
      <c r="O50" s="749"/>
      <c r="P50" s="750"/>
    </row>
    <row r="51" spans="1:18" ht="15" customHeight="1" x14ac:dyDescent="0.25">
      <c r="A51" s="708"/>
      <c r="B51" s="669" t="str">
        <f>IF('Table 1-B  Context Analysis'!$K$7="Yes",IF('Table 1-C  Cont Factors'!L30="","N/A",'Table 1-C  Cont Factors'!L30),IF('Table 1-C  Cont Factors'!O30="R0",IF('Table 1-C  Cont Factors'!L30="","N/A","Reliability Schore nul-R0"),IF('Table 1-C  Cont Factors'!L30="","N/A",'Table 1-C  Cont Factors'!L30)))</f>
        <v>N/A</v>
      </c>
      <c r="C51" s="670"/>
      <c r="D51" s="670"/>
      <c r="E51" s="670"/>
      <c r="F51" s="670"/>
      <c r="G51" s="670"/>
      <c r="H51" s="670"/>
      <c r="I51" s="671"/>
      <c r="J51" s="55"/>
      <c r="K51" s="748"/>
      <c r="L51" s="749"/>
      <c r="M51" s="749"/>
      <c r="N51" s="749"/>
      <c r="O51" s="749"/>
      <c r="P51" s="750"/>
      <c r="R51" s="283"/>
    </row>
    <row r="52" spans="1:18" ht="15" customHeight="1" x14ac:dyDescent="0.25">
      <c r="A52" s="708"/>
      <c r="B52" s="669" t="str">
        <f>IF('Table 1-B  Context Analysis'!$K$7="Yes",IF('Table 1-C  Cont Factors'!L31="","N/A",'Table 1-C  Cont Factors'!L31),IF('Table 1-C  Cont Factors'!O31="R0",IF('Table 1-C  Cont Factors'!L31="","N/A","Reliability Schore nul-R0"),IF('Table 1-C  Cont Factors'!L31="","N/A",'Table 1-C  Cont Factors'!L31)))</f>
        <v>N/A</v>
      </c>
      <c r="C52" s="670"/>
      <c r="D52" s="670"/>
      <c r="E52" s="670"/>
      <c r="F52" s="670"/>
      <c r="G52" s="670"/>
      <c r="H52" s="670"/>
      <c r="I52" s="671"/>
      <c r="J52" s="55"/>
      <c r="K52" s="241"/>
      <c r="L52" s="242"/>
      <c r="M52" s="242"/>
      <c r="N52" s="242"/>
      <c r="O52" s="242"/>
      <c r="P52" s="243"/>
    </row>
    <row r="53" spans="1:18" ht="15" customHeight="1" x14ac:dyDescent="0.25">
      <c r="A53" s="708"/>
      <c r="B53" s="669" t="str">
        <f>IF('Table 1-B  Context Analysis'!$K$7="Yes",IF('Table 1-C  Cont Factors'!L32="","N/A",'Table 1-C  Cont Factors'!L32),IF('Table 1-C  Cont Factors'!O32="R0",IF('Table 1-C  Cont Factors'!L32="","N/A","Reliability Schore nul-R0"),IF('Table 1-C  Cont Factors'!L32="","N/A",'Table 1-C  Cont Factors'!L32)))</f>
        <v>N/A</v>
      </c>
      <c r="C53" s="670"/>
      <c r="D53" s="670"/>
      <c r="E53" s="670"/>
      <c r="F53" s="670"/>
      <c r="G53" s="670"/>
      <c r="H53" s="670"/>
      <c r="I53" s="671"/>
      <c r="J53" s="55"/>
      <c r="K53" s="748"/>
      <c r="L53" s="749"/>
      <c r="M53" s="749"/>
      <c r="N53" s="749"/>
      <c r="O53" s="749"/>
      <c r="P53" s="750"/>
    </row>
    <row r="54" spans="1:18" ht="15" customHeight="1" x14ac:dyDescent="0.25">
      <c r="A54" s="708"/>
      <c r="B54" s="669" t="str">
        <f>IF('Table 1-B  Context Analysis'!$K$7="Yes",IF('Table 1-C  Cont Factors'!L33="","N/A",'Table 1-C  Cont Factors'!L33),IF('Table 1-C  Cont Factors'!O33="R0",IF('Table 1-C  Cont Factors'!L33="","N/A","Reliability Schore nul-R0"),IF('Table 1-C  Cont Factors'!L33="","N/A",'Table 1-C  Cont Factors'!L33)))</f>
        <v>N/A</v>
      </c>
      <c r="C54" s="670"/>
      <c r="D54" s="670"/>
      <c r="E54" s="670"/>
      <c r="F54" s="670"/>
      <c r="G54" s="670"/>
      <c r="H54" s="670"/>
      <c r="I54" s="671"/>
      <c r="J54" s="55"/>
      <c r="K54" s="778"/>
      <c r="L54" s="749"/>
      <c r="M54" s="749"/>
      <c r="N54" s="749"/>
      <c r="O54" s="749"/>
      <c r="P54" s="750"/>
    </row>
    <row r="55" spans="1:18" ht="15" customHeight="1" x14ac:dyDescent="0.25">
      <c r="A55" s="708"/>
      <c r="B55" s="669" t="str">
        <f>IF('Table 1-B  Context Analysis'!$K$7="Yes",IF('Table 1-C  Cont Factors'!L34="","N/A",'Table 1-C  Cont Factors'!L34),IF('Table 1-C  Cont Factors'!O34="R0",IF('Table 1-C  Cont Factors'!L34="","N/A","Reliability Schore nul-R0"),IF('Table 1-C  Cont Factors'!L34="","N/A",'Table 1-C  Cont Factors'!L34)))</f>
        <v>N/A</v>
      </c>
      <c r="C55" s="670"/>
      <c r="D55" s="670"/>
      <c r="E55" s="670"/>
      <c r="F55" s="670"/>
      <c r="G55" s="670"/>
      <c r="H55" s="670"/>
      <c r="I55" s="671"/>
      <c r="J55" s="55"/>
      <c r="K55" s="778"/>
      <c r="L55" s="749"/>
      <c r="M55" s="749"/>
      <c r="N55" s="749"/>
      <c r="O55" s="749"/>
      <c r="P55" s="750"/>
    </row>
    <row r="56" spans="1:18" ht="15" customHeight="1" x14ac:dyDescent="0.25">
      <c r="A56" s="708"/>
      <c r="B56" s="669" t="str">
        <f>IF('Table 1-B  Context Analysis'!$K$7="Yes",IF('Table 1-C  Cont Factors'!L35="","N/A",'Table 1-C  Cont Factors'!L35),IF('Table 1-C  Cont Factors'!O35="R0",IF('Table 1-C  Cont Factors'!L35="","N/A","Reliability Schore nul-R0"),IF('Table 1-C  Cont Factors'!L35="","N/A",'Table 1-C  Cont Factors'!L35)))</f>
        <v>N/A</v>
      </c>
      <c r="C56" s="670"/>
      <c r="D56" s="670"/>
      <c r="E56" s="670"/>
      <c r="F56" s="670"/>
      <c r="G56" s="670"/>
      <c r="H56" s="670"/>
      <c r="I56" s="671"/>
      <c r="J56" s="55"/>
      <c r="K56" s="748"/>
      <c r="L56" s="749"/>
      <c r="M56" s="749"/>
      <c r="N56" s="749"/>
      <c r="O56" s="749"/>
      <c r="P56" s="750"/>
      <c r="R56" s="283"/>
    </row>
    <row r="57" spans="1:18" ht="15" customHeight="1" x14ac:dyDescent="0.25">
      <c r="A57" s="708"/>
      <c r="B57" s="669" t="str">
        <f>IF('Table 1-B  Context Analysis'!$K$7="Yes",IF('Table 1-C  Cont Factors'!L36="","N/A",'Table 1-C  Cont Factors'!L36),IF('Table 1-C  Cont Factors'!O36="R0",IF('Table 1-C  Cont Factors'!L36="","N/A","Reliability Schore nul-R0"),IF('Table 1-C  Cont Factors'!L36="","N/A",'Table 1-C  Cont Factors'!L36)))</f>
        <v>N/A</v>
      </c>
      <c r="C57" s="670"/>
      <c r="D57" s="670"/>
      <c r="E57" s="670"/>
      <c r="F57" s="670"/>
      <c r="G57" s="670"/>
      <c r="H57" s="670"/>
      <c r="I57" s="671"/>
      <c r="J57" s="55"/>
      <c r="K57" s="303"/>
      <c r="L57" s="304"/>
      <c r="M57" s="304"/>
      <c r="N57" s="304"/>
      <c r="O57" s="304"/>
      <c r="P57" s="305"/>
    </row>
    <row r="58" spans="1:18" ht="15" customHeight="1" x14ac:dyDescent="0.25">
      <c r="A58" s="708"/>
      <c r="B58" s="669" t="str">
        <f>IF('Table 1-B  Context Analysis'!$K$7="Yes",IF('Table 1-C  Cont Factors'!L37="","N/A",'Table 1-C  Cont Factors'!L37),IF('Table 1-C  Cont Factors'!O37="R0",IF('Table 1-C  Cont Factors'!L37="","N/A","Reliability Schore nul-R0"),IF('Table 1-C  Cont Factors'!L37="","N/A",'Table 1-C  Cont Factors'!L37)))</f>
        <v>N/A</v>
      </c>
      <c r="C58" s="670"/>
      <c r="D58" s="670"/>
      <c r="E58" s="670"/>
      <c r="F58" s="670"/>
      <c r="G58" s="670"/>
      <c r="H58" s="670"/>
      <c r="I58" s="671"/>
      <c r="J58" s="55"/>
      <c r="K58" s="241"/>
      <c r="L58" s="242"/>
      <c r="M58" s="242"/>
      <c r="N58" s="242"/>
      <c r="O58" s="242"/>
      <c r="P58" s="243"/>
    </row>
    <row r="59" spans="1:18" ht="15" customHeight="1" x14ac:dyDescent="0.25">
      <c r="A59" s="708"/>
      <c r="B59" s="669" t="str">
        <f>IF('Table 1-B  Context Analysis'!$K$7="Yes",IF('Table 1-C  Cont Factors'!L38="","N/A",'Table 1-C  Cont Factors'!L38),IF('Table 1-C  Cont Factors'!O38="R0",IF('Table 1-C  Cont Factors'!L38="","N/A","Reliability Schore nul-R0"),IF('Table 1-C  Cont Factors'!L38="","N/A",'Table 1-C  Cont Factors'!L38)))</f>
        <v>N/A</v>
      </c>
      <c r="C59" s="670"/>
      <c r="D59" s="670"/>
      <c r="E59" s="670"/>
      <c r="F59" s="670"/>
      <c r="G59" s="670"/>
      <c r="H59" s="670"/>
      <c r="I59" s="671"/>
      <c r="J59" s="55"/>
      <c r="K59" s="241"/>
      <c r="L59" s="242"/>
      <c r="M59" s="242"/>
      <c r="N59" s="242"/>
      <c r="O59" s="242"/>
      <c r="P59" s="243"/>
    </row>
    <row r="60" spans="1:18" ht="15" customHeight="1" x14ac:dyDescent="0.25">
      <c r="A60" s="708"/>
      <c r="B60" s="775"/>
      <c r="C60" s="776"/>
      <c r="D60" s="776"/>
      <c r="E60" s="776"/>
      <c r="F60" s="776"/>
      <c r="G60" s="776"/>
      <c r="H60" s="776"/>
      <c r="I60" s="777"/>
      <c r="J60" s="55"/>
      <c r="K60" s="751"/>
      <c r="L60" s="752"/>
      <c r="M60" s="752"/>
      <c r="N60" s="752"/>
      <c r="O60" s="752"/>
      <c r="P60" s="753"/>
    </row>
    <row r="61" spans="1:18" ht="15" customHeight="1" x14ac:dyDescent="0.25">
      <c r="A61" s="708"/>
      <c r="B61" s="775"/>
      <c r="C61" s="776"/>
      <c r="D61" s="776"/>
      <c r="E61" s="776"/>
      <c r="F61" s="776"/>
      <c r="G61" s="776"/>
      <c r="H61" s="776"/>
      <c r="I61" s="777"/>
      <c r="J61" s="55"/>
      <c r="K61" s="751"/>
      <c r="L61" s="752"/>
      <c r="M61" s="752"/>
      <c r="N61" s="752"/>
      <c r="O61" s="752"/>
      <c r="P61" s="753"/>
    </row>
    <row r="62" spans="1:18" ht="5.85" customHeight="1" x14ac:dyDescent="0.25">
      <c r="A62" s="708"/>
      <c r="B62" s="56"/>
      <c r="C62" s="56"/>
      <c r="D62" s="56"/>
      <c r="E62" s="56"/>
      <c r="F62" s="56"/>
      <c r="G62" s="56"/>
      <c r="H62" s="56"/>
      <c r="I62" s="56"/>
      <c r="J62" s="55"/>
      <c r="K62" s="56"/>
      <c r="L62" s="56"/>
      <c r="M62" s="56"/>
      <c r="N62" s="56"/>
      <c r="O62" s="56"/>
      <c r="P62" s="56"/>
    </row>
    <row r="63" spans="1:18" ht="15.75" customHeight="1" x14ac:dyDescent="0.25">
      <c r="A63" s="708"/>
      <c r="B63" s="741" t="s">
        <v>14</v>
      </c>
      <c r="C63" s="741"/>
      <c r="D63" s="742"/>
      <c r="E63" s="731"/>
      <c r="F63" s="731"/>
      <c r="G63" s="731"/>
      <c r="H63" s="731"/>
      <c r="I63" s="732"/>
      <c r="J63" s="55"/>
      <c r="K63" s="742"/>
      <c r="L63" s="731"/>
      <c r="M63" s="731"/>
      <c r="N63" s="731"/>
      <c r="O63" s="731"/>
      <c r="P63" s="732"/>
    </row>
    <row r="64" spans="1:18" ht="15.75" x14ac:dyDescent="0.25">
      <c r="A64" s="708"/>
      <c r="B64" s="741"/>
      <c r="C64" s="741"/>
      <c r="D64" s="743"/>
      <c r="E64" s="733"/>
      <c r="F64" s="733"/>
      <c r="G64" s="733"/>
      <c r="H64" s="733"/>
      <c r="I64" s="734"/>
      <c r="J64" s="55"/>
      <c r="K64" s="743"/>
      <c r="L64" s="733"/>
      <c r="M64" s="733"/>
      <c r="N64" s="733"/>
      <c r="O64" s="733"/>
      <c r="P64" s="734"/>
    </row>
    <row r="65" spans="1:16" ht="15.75" x14ac:dyDescent="0.25">
      <c r="A65" s="708"/>
      <c r="B65" s="741"/>
      <c r="C65" s="741"/>
      <c r="D65" s="743"/>
      <c r="E65" s="733"/>
      <c r="F65" s="733"/>
      <c r="G65" s="733"/>
      <c r="H65" s="733"/>
      <c r="I65" s="734"/>
      <c r="J65" s="55"/>
      <c r="K65" s="743"/>
      <c r="L65" s="733"/>
      <c r="M65" s="733"/>
      <c r="N65" s="733"/>
      <c r="O65" s="733"/>
      <c r="P65" s="734"/>
    </row>
    <row r="66" spans="1:16" ht="15.75" x14ac:dyDescent="0.25">
      <c r="A66" s="708"/>
      <c r="B66" s="741"/>
      <c r="C66" s="741"/>
      <c r="D66" s="743"/>
      <c r="E66" s="733"/>
      <c r="F66" s="733"/>
      <c r="G66" s="733"/>
      <c r="H66" s="733"/>
      <c r="I66" s="734"/>
      <c r="J66" s="55"/>
      <c r="K66" s="743"/>
      <c r="L66" s="733"/>
      <c r="M66" s="733"/>
      <c r="N66" s="733"/>
      <c r="O66" s="733"/>
      <c r="P66" s="734"/>
    </row>
    <row r="67" spans="1:16" ht="84" customHeight="1" thickBot="1" x14ac:dyDescent="0.3">
      <c r="A67" s="708"/>
      <c r="B67" s="741"/>
      <c r="C67" s="741"/>
      <c r="D67" s="744"/>
      <c r="E67" s="745"/>
      <c r="F67" s="745"/>
      <c r="G67" s="745"/>
      <c r="H67" s="745"/>
      <c r="I67" s="746"/>
      <c r="J67" s="55"/>
      <c r="K67" s="744"/>
      <c r="L67" s="745"/>
      <c r="M67" s="745"/>
      <c r="N67" s="745"/>
      <c r="O67" s="745"/>
      <c r="P67" s="746"/>
    </row>
    <row r="68" spans="1:16" ht="15.75" customHeight="1" x14ac:dyDescent="0.25">
      <c r="A68" s="708"/>
      <c r="B68" s="655" t="s">
        <v>176</v>
      </c>
      <c r="C68" s="13"/>
      <c r="D68" s="692" t="s">
        <v>179</v>
      </c>
      <c r="E68" s="693"/>
      <c r="F68" s="694"/>
      <c r="G68" s="663" t="s">
        <v>180</v>
      </c>
      <c r="H68" s="664"/>
      <c r="I68" s="665"/>
      <c r="J68" s="14"/>
      <c r="K68" s="699" t="s">
        <v>179</v>
      </c>
      <c r="L68" s="700"/>
      <c r="M68" s="700"/>
      <c r="N68" s="666" t="s">
        <v>180</v>
      </c>
      <c r="O68" s="667"/>
      <c r="P68" s="668"/>
    </row>
    <row r="69" spans="1:16" ht="15.75" x14ac:dyDescent="0.25">
      <c r="A69" s="708"/>
      <c r="B69" s="689"/>
      <c r="C69" s="13"/>
      <c r="D69" s="307" t="s">
        <v>181</v>
      </c>
      <c r="E69" s="43" t="s">
        <v>182</v>
      </c>
      <c r="F69" s="306" t="s">
        <v>183</v>
      </c>
      <c r="G69" s="82" t="s">
        <v>183</v>
      </c>
      <c r="H69" s="83" t="s">
        <v>182</v>
      </c>
      <c r="I69" s="84" t="s">
        <v>181</v>
      </c>
      <c r="J69" s="14"/>
      <c r="K69" s="307" t="s">
        <v>181</v>
      </c>
      <c r="L69" s="43" t="s">
        <v>182</v>
      </c>
      <c r="M69" s="306" t="s">
        <v>183</v>
      </c>
      <c r="N69" s="40" t="s">
        <v>183</v>
      </c>
      <c r="O69" s="41" t="s">
        <v>182</v>
      </c>
      <c r="P69" s="42" t="s">
        <v>181</v>
      </c>
    </row>
    <row r="70" spans="1:16" ht="15.75" x14ac:dyDescent="0.25">
      <c r="A70" s="708"/>
      <c r="B70" s="689"/>
      <c r="C70" s="369" t="s">
        <v>177</v>
      </c>
      <c r="D70" s="137"/>
      <c r="E70" s="137"/>
      <c r="F70" s="162"/>
      <c r="G70" s="222"/>
      <c r="H70" s="137"/>
      <c r="I70" s="137"/>
      <c r="J70" s="163"/>
      <c r="K70" s="137"/>
      <c r="L70" s="137"/>
      <c r="M70" s="162"/>
      <c r="N70" s="222"/>
      <c r="O70" s="137"/>
      <c r="P70" s="137"/>
    </row>
    <row r="71" spans="1:16" ht="15.75" x14ac:dyDescent="0.25">
      <c r="A71" s="708"/>
      <c r="B71" s="689"/>
      <c r="C71" s="369" t="s">
        <v>178</v>
      </c>
      <c r="D71" s="137"/>
      <c r="E71" s="137"/>
      <c r="F71" s="162"/>
      <c r="G71" s="222"/>
      <c r="H71" s="137"/>
      <c r="I71" s="137"/>
      <c r="J71" s="163"/>
      <c r="K71" s="137"/>
      <c r="L71" s="137"/>
      <c r="M71" s="162"/>
      <c r="N71" s="222"/>
      <c r="O71" s="137"/>
      <c r="P71" s="137"/>
    </row>
    <row r="72" spans="1:16" ht="15.75" x14ac:dyDescent="0.25">
      <c r="A72" s="708"/>
      <c r="B72" s="689"/>
      <c r="C72" s="369" t="s">
        <v>15</v>
      </c>
      <c r="D72" s="137"/>
      <c r="E72" s="137"/>
      <c r="F72" s="162"/>
      <c r="G72" s="222"/>
      <c r="H72" s="137"/>
      <c r="I72" s="137"/>
      <c r="J72" s="163"/>
      <c r="K72" s="137"/>
      <c r="L72" s="137"/>
      <c r="M72" s="162"/>
      <c r="N72" s="222"/>
      <c r="O72" s="137"/>
      <c r="P72" s="137"/>
    </row>
    <row r="73" spans="1:16" ht="15.75" x14ac:dyDescent="0.25">
      <c r="A73" s="708"/>
      <c r="B73" s="690"/>
      <c r="C73" s="369" t="s">
        <v>16</v>
      </c>
      <c r="D73" s="137"/>
      <c r="E73" s="137"/>
      <c r="F73" s="162"/>
      <c r="G73" s="222"/>
      <c r="H73" s="137"/>
      <c r="I73" s="137"/>
      <c r="J73" s="163"/>
      <c r="K73" s="137"/>
      <c r="L73" s="137"/>
      <c r="M73" s="162"/>
      <c r="N73" s="222"/>
      <c r="O73" s="137"/>
      <c r="P73" s="137"/>
    </row>
    <row r="74" spans="1:16" ht="6.75" customHeight="1" x14ac:dyDescent="0.25">
      <c r="A74" s="708"/>
      <c r="B74" s="9"/>
      <c r="C74" s="9"/>
      <c r="D74" s="81"/>
      <c r="E74" s="81"/>
      <c r="F74" s="81"/>
      <c r="G74" s="81"/>
      <c r="H74" s="81"/>
      <c r="I74" s="81"/>
      <c r="J74" s="10"/>
      <c r="K74" s="9"/>
      <c r="L74" s="9"/>
      <c r="M74" s="9"/>
      <c r="N74" s="9"/>
      <c r="O74" s="9"/>
      <c r="P74" s="9"/>
    </row>
    <row r="75" spans="1:16" ht="24.75" x14ac:dyDescent="0.25">
      <c r="A75" s="708"/>
      <c r="B75" s="691" t="s">
        <v>189</v>
      </c>
      <c r="C75" s="691"/>
      <c r="D75" s="691"/>
      <c r="E75" s="691"/>
      <c r="F75" s="691"/>
      <c r="G75" s="510" t="s">
        <v>184</v>
      </c>
      <c r="H75" s="510" t="s">
        <v>185</v>
      </c>
      <c r="I75" s="510" t="s">
        <v>186</v>
      </c>
      <c r="J75" s="511"/>
      <c r="K75" s="680" t="s">
        <v>184</v>
      </c>
      <c r="L75" s="681"/>
      <c r="M75" s="680" t="s">
        <v>187</v>
      </c>
      <c r="N75" s="681"/>
      <c r="O75" s="680" t="s">
        <v>186</v>
      </c>
      <c r="P75" s="681"/>
    </row>
    <row r="76" spans="1:16" ht="71.25" customHeight="1" x14ac:dyDescent="0.25">
      <c r="A76" s="708"/>
      <c r="B76" s="691"/>
      <c r="C76" s="691"/>
      <c r="D76" s="691"/>
      <c r="E76" s="691"/>
      <c r="F76" s="691"/>
      <c r="G76" s="161"/>
      <c r="H76" s="161"/>
      <c r="I76" s="85"/>
      <c r="J76" s="16"/>
      <c r="K76" s="672"/>
      <c r="L76" s="673"/>
      <c r="M76" s="672"/>
      <c r="N76" s="673"/>
      <c r="O76" s="674"/>
      <c r="P76" s="675"/>
    </row>
    <row r="77" spans="1:16" ht="7.5" customHeight="1" x14ac:dyDescent="0.25">
      <c r="A77" s="5"/>
      <c r="B77" s="5"/>
      <c r="C77" s="8"/>
      <c r="D77" s="86"/>
      <c r="E77" s="86"/>
      <c r="F77" s="86"/>
      <c r="G77" s="86"/>
      <c r="H77" s="86"/>
      <c r="I77" s="86"/>
      <c r="J77" s="5"/>
      <c r="K77" s="5"/>
      <c r="L77" s="5"/>
      <c r="M77" s="5"/>
      <c r="N77" s="5"/>
      <c r="O77" s="5"/>
      <c r="P77" s="5"/>
    </row>
    <row r="78" spans="1:16" ht="24.75" customHeight="1" x14ac:dyDescent="0.25">
      <c r="A78" s="577" t="s">
        <v>127</v>
      </c>
      <c r="B78" s="669" t="str">
        <f>IF('Table 1-B  Context Analysis'!$K$7="Yes",IF('Table 1-C  Cont Factors'!L40="","N/A",'Table 1-C  Cont Factors'!L40),IF('Table 1-C  Cont Factors'!O40="R0",IF('Table 1-C  Cont Factors'!L40="","N/A","Reliability Socre nul-R0"),IF('Table 1-C  Cont Factors'!L40="","N/A",'Table 1-C  Cont Factors'!L40)))</f>
        <v>N/A</v>
      </c>
      <c r="C78" s="670"/>
      <c r="D78" s="670"/>
      <c r="E78" s="670"/>
      <c r="F78" s="670"/>
      <c r="G78" s="670"/>
      <c r="H78" s="670"/>
      <c r="I78" s="671"/>
      <c r="J78" s="57"/>
      <c r="K78" s="662"/>
      <c r="L78" s="657"/>
      <c r="M78" s="657"/>
      <c r="N78" s="657"/>
      <c r="O78" s="657"/>
      <c r="P78" s="658"/>
    </row>
    <row r="79" spans="1:16" ht="24.75" customHeight="1" x14ac:dyDescent="0.25">
      <c r="A79" s="708"/>
      <c r="B79" s="669" t="str">
        <f>IF('Table 1-B  Context Analysis'!$K$7="Yes",IF('Table 1-C  Cont Factors'!L41="","N/A",'Table 1-C  Cont Factors'!L41),IF('Table 1-C  Cont Factors'!O41="R0",IF('Table 1-C  Cont Factors'!L41="","N/A","Reliability Socre nul-R0"),IF('Table 1-C  Cont Factors'!L41="","N/A",'Table 1-C  Cont Factors'!L41)))</f>
        <v>N/A</v>
      </c>
      <c r="C79" s="670"/>
      <c r="D79" s="670"/>
      <c r="E79" s="670"/>
      <c r="F79" s="670"/>
      <c r="G79" s="670"/>
      <c r="H79" s="670"/>
      <c r="I79" s="671"/>
      <c r="J79" s="57"/>
      <c r="K79" s="662"/>
      <c r="L79" s="657"/>
      <c r="M79" s="657"/>
      <c r="N79" s="657"/>
      <c r="O79" s="657"/>
      <c r="P79" s="658"/>
    </row>
    <row r="80" spans="1:16" ht="24.75" customHeight="1" x14ac:dyDescent="0.25">
      <c r="A80" s="708"/>
      <c r="B80" s="669" t="str">
        <f>IF('Table 1-B  Context Analysis'!$K$7="Yes",IF('Table 1-C  Cont Factors'!L42="","N/A",'Table 1-C  Cont Factors'!L42),IF('Table 1-C  Cont Factors'!O42="R0",IF('Table 1-C  Cont Factors'!L42="","N/A","Reliability Socre nul-R0"),IF('Table 1-C  Cont Factors'!L42="","N/A",'Table 1-C  Cont Factors'!L42)))</f>
        <v>N/A</v>
      </c>
      <c r="C80" s="670"/>
      <c r="D80" s="670"/>
      <c r="E80" s="670"/>
      <c r="F80" s="670"/>
      <c r="G80" s="670"/>
      <c r="H80" s="670"/>
      <c r="I80" s="671"/>
      <c r="J80" s="57"/>
      <c r="K80" s="662"/>
      <c r="L80" s="657"/>
      <c r="M80" s="657"/>
      <c r="N80" s="657"/>
      <c r="O80" s="657"/>
      <c r="P80" s="658"/>
    </row>
    <row r="81" spans="1:16" ht="24.75" customHeight="1" x14ac:dyDescent="0.25">
      <c r="A81" s="708"/>
      <c r="B81" s="669" t="str">
        <f>IF('Table 1-B  Context Analysis'!$K$7="Yes",IF('Table 1-C  Cont Factors'!L43="","N/A",'Table 1-C  Cont Factors'!L43),IF('Table 1-C  Cont Factors'!O43="R0",IF('Table 1-C  Cont Factors'!L43="","N/A","Reliability Socre nul-R0"),IF('Table 1-C  Cont Factors'!L43="","N/A",'Table 1-C  Cont Factors'!L43)))</f>
        <v>N/A</v>
      </c>
      <c r="C81" s="670"/>
      <c r="D81" s="670"/>
      <c r="E81" s="670"/>
      <c r="F81" s="670"/>
      <c r="G81" s="670"/>
      <c r="H81" s="670"/>
      <c r="I81" s="671"/>
      <c r="J81" s="57"/>
      <c r="K81" s="662"/>
      <c r="L81" s="657"/>
      <c r="M81" s="657"/>
      <c r="N81" s="657"/>
      <c r="O81" s="657"/>
      <c r="P81" s="658"/>
    </row>
    <row r="82" spans="1:16" ht="24.75" customHeight="1" x14ac:dyDescent="0.25">
      <c r="A82" s="708"/>
      <c r="B82" s="669" t="str">
        <f>IF('Table 1-B  Context Analysis'!$K$7="Yes",IF('Table 1-C  Cont Factors'!L44="","N/A",'Table 1-C  Cont Factors'!L44),IF('Table 1-C  Cont Factors'!O44="R0",IF('Table 1-C  Cont Factors'!L44="","N/A","Reliability Socre nul-R0"),IF('Table 1-C  Cont Factors'!L44="","N/A",'Table 1-C  Cont Factors'!L44)))</f>
        <v>N/A</v>
      </c>
      <c r="C82" s="670"/>
      <c r="D82" s="670"/>
      <c r="E82" s="670"/>
      <c r="F82" s="670"/>
      <c r="G82" s="670"/>
      <c r="H82" s="670"/>
      <c r="I82" s="671"/>
      <c r="J82" s="57"/>
      <c r="K82" s="657"/>
      <c r="L82" s="657"/>
      <c r="M82" s="657"/>
      <c r="N82" s="657"/>
      <c r="O82" s="657"/>
      <c r="P82" s="658"/>
    </row>
    <row r="83" spans="1:16" ht="24.75" customHeight="1" x14ac:dyDescent="0.25">
      <c r="A83" s="708"/>
      <c r="B83" s="669" t="str">
        <f>IF('Table 1-B  Context Analysis'!$K$7="Yes",IF('Table 1-C  Cont Factors'!L45="","N/A",'Table 1-C  Cont Factors'!L45),IF('Table 1-C  Cont Factors'!O45="R0",IF('Table 1-C  Cont Factors'!L45="","N/A","Reliability Socre nul-R0"),IF('Table 1-C  Cont Factors'!L45="","N/A",'Table 1-C  Cont Factors'!L45)))</f>
        <v>N/A</v>
      </c>
      <c r="C83" s="670"/>
      <c r="D83" s="670"/>
      <c r="E83" s="670"/>
      <c r="F83" s="670"/>
      <c r="G83" s="670"/>
      <c r="H83" s="670"/>
      <c r="I83" s="671"/>
      <c r="J83" s="57"/>
      <c r="K83" s="662"/>
      <c r="L83" s="657"/>
      <c r="M83" s="657"/>
      <c r="N83" s="657"/>
      <c r="O83" s="657"/>
      <c r="P83" s="658"/>
    </row>
    <row r="84" spans="1:16" ht="42.75" customHeight="1" x14ac:dyDescent="0.25">
      <c r="A84" s="708"/>
      <c r="B84" s="669" t="str">
        <f>IF('Table 1-B  Context Analysis'!$K$7="Yes",IF('Table 1-C  Cont Factors'!L46="","N/A",'Table 1-C  Cont Factors'!L46),IF('Table 1-C  Cont Factors'!O46="R0",IF('Table 1-C  Cont Factors'!L46="","N/A","Reliability Socre nul-R0"),IF('Table 1-C  Cont Factors'!L46="","N/A",'Table 1-C  Cont Factors'!L46)))</f>
        <v>N/A</v>
      </c>
      <c r="C84" s="670"/>
      <c r="D84" s="670"/>
      <c r="E84" s="670"/>
      <c r="F84" s="670"/>
      <c r="G84" s="670"/>
      <c r="H84" s="670"/>
      <c r="I84" s="671"/>
      <c r="J84" s="57"/>
      <c r="K84" s="657"/>
      <c r="L84" s="657"/>
      <c r="M84" s="657"/>
      <c r="N84" s="657"/>
      <c r="O84" s="657"/>
      <c r="P84" s="658"/>
    </row>
    <row r="85" spans="1:16" ht="24.75" customHeight="1" x14ac:dyDescent="0.25">
      <c r="A85" s="708"/>
      <c r="B85" s="669" t="str">
        <f>IF('Table 1-B  Context Analysis'!$K$7="Yes",IF('Table 1-C  Cont Factors'!L47="","N/A",'Table 1-C  Cont Factors'!L47),IF('Table 1-C  Cont Factors'!O47="R0",IF('Table 1-C  Cont Factors'!L47="","N/A","Reliability Socre nul-R0"),IF('Table 1-C  Cont Factors'!L47="","N/A",'Table 1-C  Cont Factors'!L47)))</f>
        <v>N/A</v>
      </c>
      <c r="C85" s="670"/>
      <c r="D85" s="670"/>
      <c r="E85" s="670"/>
      <c r="F85" s="670"/>
      <c r="G85" s="670"/>
      <c r="H85" s="670"/>
      <c r="I85" s="671"/>
      <c r="J85" s="57"/>
      <c r="K85" s="657"/>
      <c r="L85" s="657"/>
      <c r="M85" s="657"/>
      <c r="N85" s="657"/>
      <c r="O85" s="657"/>
      <c r="P85" s="658"/>
    </row>
    <row r="86" spans="1:16" ht="24.75" customHeight="1" x14ac:dyDescent="0.25">
      <c r="A86" s="708"/>
      <c r="B86" s="669" t="str">
        <f>IF('Table 1-B  Context Analysis'!$K$7="Yes",IF('Table 1-C  Cont Factors'!L48="","N/A",'Table 1-C  Cont Factors'!L48),IF('Table 1-C  Cont Factors'!O48="R0",IF('Table 1-C  Cont Factors'!L48="","N/A","Reliability Socre nul-R0"),IF('Table 1-C  Cont Factors'!L48="","N/A",'Table 1-C  Cont Factors'!L48)))</f>
        <v>N/A</v>
      </c>
      <c r="C86" s="670"/>
      <c r="D86" s="670"/>
      <c r="E86" s="670"/>
      <c r="F86" s="670"/>
      <c r="G86" s="670"/>
      <c r="H86" s="670"/>
      <c r="I86" s="671"/>
      <c r="J86" s="57"/>
      <c r="K86" s="657"/>
      <c r="L86" s="657"/>
      <c r="M86" s="657"/>
      <c r="N86" s="657"/>
      <c r="O86" s="657"/>
      <c r="P86" s="658"/>
    </row>
    <row r="87" spans="1:16" ht="24.75" customHeight="1" x14ac:dyDescent="0.25">
      <c r="A87" s="708"/>
      <c r="B87" s="669" t="str">
        <f>IF('Table 1-B  Context Analysis'!$K$7="Yes",IF('Table 1-C  Cont Factors'!L49="","N/A",'Table 1-C  Cont Factors'!L49),IF('Table 1-C  Cont Factors'!O49="R0",IF('Table 1-C  Cont Factors'!L49="","N/A","Reliability Socre nul-R0"),IF('Table 1-C  Cont Factors'!L49="","N/A",'Table 1-C  Cont Factors'!L49)))</f>
        <v>N/A</v>
      </c>
      <c r="C87" s="670"/>
      <c r="D87" s="670"/>
      <c r="E87" s="670"/>
      <c r="F87" s="670"/>
      <c r="G87" s="670"/>
      <c r="H87" s="670"/>
      <c r="I87" s="671"/>
      <c r="J87" s="57"/>
      <c r="K87" s="657"/>
      <c r="L87" s="657"/>
      <c r="M87" s="657"/>
      <c r="N87" s="657"/>
      <c r="O87" s="657"/>
      <c r="P87" s="658"/>
    </row>
    <row r="88" spans="1:16" ht="24.75" customHeight="1" x14ac:dyDescent="0.25">
      <c r="A88" s="708"/>
      <c r="B88" s="669" t="str">
        <f>IF('Table 1-B  Context Analysis'!$K$7="Yes",IF('Table 1-C  Cont Factors'!L50="","N/A",'Table 1-C  Cont Factors'!L50),IF('Table 1-C  Cont Factors'!O50="R0",IF('Table 1-C  Cont Factors'!L50="","N/A","Reliability Socre nul-R0"),IF('Table 1-C  Cont Factors'!L50="","N/A",'Table 1-C  Cont Factors'!L50)))</f>
        <v>N/A</v>
      </c>
      <c r="C88" s="670"/>
      <c r="D88" s="670"/>
      <c r="E88" s="670"/>
      <c r="F88" s="670"/>
      <c r="G88" s="670"/>
      <c r="H88" s="670"/>
      <c r="I88" s="671"/>
      <c r="J88" s="57"/>
      <c r="K88" s="662"/>
      <c r="L88" s="657"/>
      <c r="M88" s="657"/>
      <c r="N88" s="657"/>
      <c r="O88" s="657"/>
      <c r="P88" s="658"/>
    </row>
    <row r="89" spans="1:16" ht="24.75" customHeight="1" x14ac:dyDescent="0.25">
      <c r="A89" s="708"/>
      <c r="B89" s="669" t="str">
        <f>IF('Table 1-B  Context Analysis'!$K$7="Yes",IF('Table 1-C  Cont Factors'!L51="","N/A",'Table 1-C  Cont Factors'!L51),IF('Table 1-C  Cont Factors'!O51="R0",IF('Table 1-C  Cont Factors'!L51="","N/A","Reliability Socre nul-R0"),IF('Table 1-C  Cont Factors'!L51="","N/A",'Table 1-C  Cont Factors'!L51)))</f>
        <v>N/A</v>
      </c>
      <c r="C89" s="670"/>
      <c r="D89" s="670"/>
      <c r="E89" s="670"/>
      <c r="F89" s="670"/>
      <c r="G89" s="670"/>
      <c r="H89" s="670"/>
      <c r="I89" s="671"/>
      <c r="J89" s="57"/>
      <c r="K89" s="657"/>
      <c r="L89" s="657"/>
      <c r="M89" s="657"/>
      <c r="N89" s="657"/>
      <c r="O89" s="657"/>
      <c r="P89" s="658"/>
    </row>
    <row r="90" spans="1:16" ht="24.75" customHeight="1" x14ac:dyDescent="0.25">
      <c r="A90" s="708"/>
      <c r="B90" s="669" t="str">
        <f>IF('Table 1-B  Context Analysis'!$K$7="Yes",IF('Table 1-C  Cont Factors'!L52="","N/A",'Table 1-C  Cont Factors'!L52),IF('Table 1-C  Cont Factors'!O52="R0",IF('Table 1-C  Cont Factors'!L52="","N/A","Reliability Socre nul-R0"),IF('Table 1-C  Cont Factors'!L52="","N/A",'Table 1-C  Cont Factors'!L52)))</f>
        <v>N/A</v>
      </c>
      <c r="C90" s="670"/>
      <c r="D90" s="670"/>
      <c r="E90" s="670"/>
      <c r="F90" s="670"/>
      <c r="G90" s="670"/>
      <c r="H90" s="670"/>
      <c r="I90" s="671"/>
      <c r="J90" s="57"/>
      <c r="K90" s="657"/>
      <c r="L90" s="657"/>
      <c r="M90" s="657"/>
      <c r="N90" s="657"/>
      <c r="O90" s="657"/>
      <c r="P90" s="658"/>
    </row>
    <row r="91" spans="1:16" ht="24.75" customHeight="1" x14ac:dyDescent="0.25">
      <c r="A91" s="708"/>
      <c r="B91" s="669" t="str">
        <f>IF('Table 1-B  Context Analysis'!$K$7="Yes",IF('Table 1-C  Cont Factors'!L53="","N/A",'Table 1-C  Cont Factors'!L53),IF('Table 1-C  Cont Factors'!O53="R0",IF('Table 1-C  Cont Factors'!L53="","N/A","Reliability Socre nul-R0"),IF('Table 1-C  Cont Factors'!L53="","N/A",'Table 1-C  Cont Factors'!L53)))</f>
        <v>N/A</v>
      </c>
      <c r="C91" s="670"/>
      <c r="D91" s="670"/>
      <c r="E91" s="670"/>
      <c r="F91" s="670"/>
      <c r="G91" s="670"/>
      <c r="H91" s="670"/>
      <c r="I91" s="671"/>
      <c r="J91" s="57"/>
      <c r="K91" s="657"/>
      <c r="L91" s="657"/>
      <c r="M91" s="657"/>
      <c r="N91" s="657"/>
      <c r="O91" s="657"/>
      <c r="P91" s="658"/>
    </row>
    <row r="92" spans="1:16" ht="24.75" customHeight="1" x14ac:dyDescent="0.25">
      <c r="A92" s="708"/>
      <c r="B92" s="669" t="str">
        <f>IF('Table 1-B  Context Analysis'!$K$7="Yes",IF('Table 1-C  Cont Factors'!L54="","N/A",'Table 1-C  Cont Factors'!L54),IF('Table 1-C  Cont Factors'!O54="R0",IF('Table 1-C  Cont Factors'!L54="","N/A","Reliability Socre nul-R0"),IF('Table 1-C  Cont Factors'!L54="","N/A",'Table 1-C  Cont Factors'!L54)))</f>
        <v>N/A</v>
      </c>
      <c r="C92" s="670"/>
      <c r="D92" s="670"/>
      <c r="E92" s="670"/>
      <c r="F92" s="670"/>
      <c r="G92" s="670"/>
      <c r="H92" s="670"/>
      <c r="I92" s="671"/>
      <c r="J92" s="57"/>
      <c r="K92" s="657"/>
      <c r="L92" s="657"/>
      <c r="M92" s="657"/>
      <c r="N92" s="657"/>
      <c r="O92" s="657"/>
      <c r="P92" s="658"/>
    </row>
    <row r="93" spans="1:16" ht="24.75" customHeight="1" x14ac:dyDescent="0.25">
      <c r="A93" s="708"/>
      <c r="B93" s="725"/>
      <c r="C93" s="726"/>
      <c r="D93" s="726"/>
      <c r="E93" s="726"/>
      <c r="F93" s="726"/>
      <c r="G93" s="726"/>
      <c r="H93" s="726"/>
      <c r="I93" s="726"/>
      <c r="J93" s="57"/>
      <c r="K93" s="721"/>
      <c r="L93" s="721"/>
      <c r="M93" s="721"/>
      <c r="N93" s="721"/>
      <c r="O93" s="721"/>
      <c r="P93" s="722"/>
    </row>
    <row r="94" spans="1:16" ht="7.35" customHeight="1" x14ac:dyDescent="0.25">
      <c r="A94" s="708"/>
      <c r="B94" s="9"/>
      <c r="C94" s="9"/>
      <c r="D94" s="81"/>
      <c r="E94" s="81"/>
      <c r="F94" s="81"/>
      <c r="G94" s="81"/>
      <c r="H94" s="81"/>
      <c r="I94" s="81"/>
      <c r="J94" s="10"/>
      <c r="K94" s="9"/>
      <c r="L94" s="9"/>
      <c r="M94" s="9"/>
      <c r="N94" s="9"/>
      <c r="O94" s="9"/>
      <c r="P94" s="9"/>
    </row>
    <row r="95" spans="1:16" ht="10.5" customHeight="1" x14ac:dyDescent="0.25">
      <c r="A95" s="708"/>
      <c r="B95" s="687" t="s">
        <v>14</v>
      </c>
      <c r="C95" s="688"/>
      <c r="D95" s="712"/>
      <c r="E95" s="713"/>
      <c r="F95" s="713"/>
      <c r="G95" s="713"/>
      <c r="H95" s="713"/>
      <c r="I95" s="713"/>
      <c r="J95" s="57"/>
      <c r="K95" s="716"/>
      <c r="L95" s="713"/>
      <c r="M95" s="713"/>
      <c r="N95" s="713"/>
      <c r="O95" s="713"/>
      <c r="P95" s="717"/>
    </row>
    <row r="96" spans="1:16" ht="10.5" customHeight="1" x14ac:dyDescent="0.25">
      <c r="A96" s="708"/>
      <c r="B96" s="687"/>
      <c r="C96" s="688"/>
      <c r="D96" s="714"/>
      <c r="E96" s="715"/>
      <c r="F96" s="715"/>
      <c r="G96" s="715"/>
      <c r="H96" s="715"/>
      <c r="I96" s="715"/>
      <c r="J96" s="57"/>
      <c r="K96" s="715"/>
      <c r="L96" s="715"/>
      <c r="M96" s="715"/>
      <c r="N96" s="715"/>
      <c r="O96" s="715"/>
      <c r="P96" s="718"/>
    </row>
    <row r="97" spans="1:16" ht="10.5" customHeight="1" x14ac:dyDescent="0.25">
      <c r="A97" s="708"/>
      <c r="B97" s="687"/>
      <c r="C97" s="688"/>
      <c r="D97" s="714"/>
      <c r="E97" s="715"/>
      <c r="F97" s="715"/>
      <c r="G97" s="715"/>
      <c r="H97" s="715"/>
      <c r="I97" s="715"/>
      <c r="J97" s="57"/>
      <c r="K97" s="715"/>
      <c r="L97" s="715"/>
      <c r="M97" s="715"/>
      <c r="N97" s="715"/>
      <c r="O97" s="715"/>
      <c r="P97" s="718"/>
    </row>
    <row r="98" spans="1:16" ht="10.5" customHeight="1" x14ac:dyDescent="0.25">
      <c r="A98" s="708"/>
      <c r="B98" s="687"/>
      <c r="C98" s="688"/>
      <c r="D98" s="714"/>
      <c r="E98" s="715"/>
      <c r="F98" s="715"/>
      <c r="G98" s="715"/>
      <c r="H98" s="715"/>
      <c r="I98" s="715"/>
      <c r="J98" s="57"/>
      <c r="K98" s="715"/>
      <c r="L98" s="715"/>
      <c r="M98" s="715"/>
      <c r="N98" s="715"/>
      <c r="O98" s="715"/>
      <c r="P98" s="718"/>
    </row>
    <row r="99" spans="1:16" ht="42" customHeight="1" thickBot="1" x14ac:dyDescent="0.3">
      <c r="A99" s="708"/>
      <c r="B99" s="687"/>
      <c r="C99" s="688"/>
      <c r="D99" s="714"/>
      <c r="E99" s="715"/>
      <c r="F99" s="715"/>
      <c r="G99" s="715"/>
      <c r="H99" s="715"/>
      <c r="I99" s="715"/>
      <c r="J99" s="57"/>
      <c r="K99" s="719"/>
      <c r="L99" s="719"/>
      <c r="M99" s="719"/>
      <c r="N99" s="719"/>
      <c r="O99" s="719"/>
      <c r="P99" s="720"/>
    </row>
    <row r="100" spans="1:16" ht="15.75" customHeight="1" x14ac:dyDescent="0.25">
      <c r="A100" s="708"/>
      <c r="B100" s="655" t="s">
        <v>176</v>
      </c>
      <c r="C100" s="13"/>
      <c r="D100" s="692" t="s">
        <v>179</v>
      </c>
      <c r="E100" s="693"/>
      <c r="F100" s="694"/>
      <c r="G100" s="663" t="s">
        <v>180</v>
      </c>
      <c r="H100" s="664"/>
      <c r="I100" s="665"/>
      <c r="J100" s="14"/>
      <c r="K100" s="699" t="s">
        <v>179</v>
      </c>
      <c r="L100" s="700"/>
      <c r="M100" s="700"/>
      <c r="N100" s="666" t="s">
        <v>180</v>
      </c>
      <c r="O100" s="667"/>
      <c r="P100" s="668"/>
    </row>
    <row r="101" spans="1:16" ht="15.75" x14ac:dyDescent="0.25">
      <c r="A101" s="708"/>
      <c r="B101" s="689"/>
      <c r="C101" s="13"/>
      <c r="D101" s="307" t="s">
        <v>181</v>
      </c>
      <c r="E101" s="43" t="s">
        <v>182</v>
      </c>
      <c r="F101" s="306" t="s">
        <v>183</v>
      </c>
      <c r="G101" s="82" t="s">
        <v>183</v>
      </c>
      <c r="H101" s="83" t="s">
        <v>182</v>
      </c>
      <c r="I101" s="84" t="s">
        <v>181</v>
      </c>
      <c r="J101" s="14"/>
      <c r="K101" s="307" t="s">
        <v>181</v>
      </c>
      <c r="L101" s="43" t="s">
        <v>182</v>
      </c>
      <c r="M101" s="306" t="s">
        <v>183</v>
      </c>
      <c r="N101" s="40" t="s">
        <v>183</v>
      </c>
      <c r="O101" s="41" t="s">
        <v>182</v>
      </c>
      <c r="P101" s="42" t="s">
        <v>181</v>
      </c>
    </row>
    <row r="102" spans="1:16" ht="15.75" x14ac:dyDescent="0.25">
      <c r="A102" s="708"/>
      <c r="B102" s="689"/>
      <c r="C102" s="369" t="s">
        <v>177</v>
      </c>
      <c r="D102" s="137"/>
      <c r="E102" s="137"/>
      <c r="F102" s="162"/>
      <c r="G102" s="222"/>
      <c r="H102" s="137"/>
      <c r="I102" s="137"/>
      <c r="J102" s="163"/>
      <c r="K102" s="137"/>
      <c r="L102" s="137"/>
      <c r="M102" s="162"/>
      <c r="N102" s="222"/>
      <c r="O102" s="137"/>
      <c r="P102" s="137"/>
    </row>
    <row r="103" spans="1:16" ht="15.75" x14ac:dyDescent="0.25">
      <c r="A103" s="708"/>
      <c r="B103" s="689"/>
      <c r="C103" s="369" t="s">
        <v>178</v>
      </c>
      <c r="D103" s="137"/>
      <c r="E103" s="137"/>
      <c r="F103" s="162"/>
      <c r="G103" s="222"/>
      <c r="H103" s="137"/>
      <c r="I103" s="137"/>
      <c r="J103" s="163"/>
      <c r="K103" s="137"/>
      <c r="L103" s="137"/>
      <c r="M103" s="162"/>
      <c r="N103" s="222"/>
      <c r="O103" s="137"/>
      <c r="P103" s="137"/>
    </row>
    <row r="104" spans="1:16" ht="15.75" x14ac:dyDescent="0.25">
      <c r="A104" s="708"/>
      <c r="B104" s="689"/>
      <c r="C104" s="369" t="s">
        <v>15</v>
      </c>
      <c r="D104" s="137"/>
      <c r="E104" s="137"/>
      <c r="F104" s="162"/>
      <c r="G104" s="222"/>
      <c r="H104" s="137"/>
      <c r="I104" s="137"/>
      <c r="J104" s="163"/>
      <c r="K104" s="137"/>
      <c r="L104" s="137"/>
      <c r="M104" s="162"/>
      <c r="N104" s="222"/>
      <c r="O104" s="137"/>
      <c r="P104" s="137"/>
    </row>
    <row r="105" spans="1:16" ht="15.75" x14ac:dyDescent="0.25">
      <c r="A105" s="708"/>
      <c r="B105" s="690"/>
      <c r="C105" s="369" t="s">
        <v>16</v>
      </c>
      <c r="D105" s="137"/>
      <c r="E105" s="137"/>
      <c r="F105" s="162"/>
      <c r="G105" s="222"/>
      <c r="H105" s="137"/>
      <c r="I105" s="137"/>
      <c r="J105" s="163"/>
      <c r="K105" s="137"/>
      <c r="L105" s="137"/>
      <c r="M105" s="162"/>
      <c r="N105" s="222"/>
      <c r="O105" s="137"/>
      <c r="P105" s="137"/>
    </row>
    <row r="106" spans="1:16" ht="15.75" x14ac:dyDescent="0.25">
      <c r="A106" s="708"/>
      <c r="B106" s="9"/>
      <c r="C106" s="9"/>
      <c r="D106" s="81"/>
      <c r="E106" s="81"/>
      <c r="F106" s="81"/>
      <c r="G106" s="81"/>
      <c r="H106" s="81"/>
      <c r="I106" s="81"/>
      <c r="J106" s="10"/>
      <c r="K106" s="9"/>
      <c r="L106" s="9"/>
      <c r="M106" s="9"/>
      <c r="N106" s="9"/>
      <c r="O106" s="9"/>
      <c r="P106" s="9"/>
    </row>
    <row r="107" spans="1:16" ht="24.75" x14ac:dyDescent="0.25">
      <c r="A107" s="708"/>
      <c r="B107" s="691" t="s">
        <v>190</v>
      </c>
      <c r="C107" s="691"/>
      <c r="D107" s="691"/>
      <c r="E107" s="691"/>
      <c r="F107" s="691"/>
      <c r="G107" s="510" t="s">
        <v>184</v>
      </c>
      <c r="H107" s="510" t="s">
        <v>185</v>
      </c>
      <c r="I107" s="510" t="s">
        <v>186</v>
      </c>
      <c r="J107" s="511"/>
      <c r="K107" s="680" t="s">
        <v>184</v>
      </c>
      <c r="L107" s="681"/>
      <c r="M107" s="680" t="s">
        <v>187</v>
      </c>
      <c r="N107" s="681"/>
      <c r="O107" s="680" t="s">
        <v>186</v>
      </c>
      <c r="P107" s="681"/>
    </row>
    <row r="108" spans="1:16" ht="64.5" customHeight="1" x14ac:dyDescent="0.25">
      <c r="A108" s="708"/>
      <c r="B108" s="691"/>
      <c r="C108" s="691"/>
      <c r="D108" s="691"/>
      <c r="E108" s="691"/>
      <c r="F108" s="691"/>
      <c r="G108" s="85"/>
      <c r="H108" s="161"/>
      <c r="I108" s="85"/>
      <c r="J108" s="16"/>
      <c r="K108" s="672"/>
      <c r="L108" s="673"/>
      <c r="M108" s="672"/>
      <c r="N108" s="673"/>
      <c r="O108" s="674"/>
      <c r="P108" s="675"/>
    </row>
    <row r="109" spans="1:16" ht="7.35" customHeight="1" x14ac:dyDescent="0.25">
      <c r="A109" s="5"/>
      <c r="B109" s="5"/>
      <c r="C109" s="8"/>
      <c r="D109" s="86"/>
      <c r="E109" s="86"/>
      <c r="F109" s="86"/>
      <c r="G109" s="86"/>
      <c r="H109" s="86"/>
      <c r="I109" s="86"/>
      <c r="J109" s="5"/>
      <c r="K109" s="5"/>
      <c r="L109" s="5"/>
      <c r="M109" s="5"/>
      <c r="N109" s="5"/>
      <c r="O109" s="5"/>
      <c r="P109" s="5"/>
    </row>
    <row r="110" spans="1:16" ht="49.5" customHeight="1" x14ac:dyDescent="0.25">
      <c r="A110" s="577" t="s">
        <v>128</v>
      </c>
      <c r="B110" s="659" t="str">
        <f>IF('Table 1-B  Context Analysis'!$K$7="Yes",IF('Table 1-C  Cont Factors'!L56="","N/A",'Table 1-C  Cont Factors'!L56),IF('Table 1-C  Cont Factors'!O56="R0",IF('Table 1-C  Cont Factors'!L56="","N/A","Reliability Score nul-F0"),IF('Table 1-C  Cont Factors'!L56="","N/A",'Table 1-C  Cont Factors'!L56)))</f>
        <v>N/A</v>
      </c>
      <c r="C110" s="660"/>
      <c r="D110" s="660"/>
      <c r="E110" s="660"/>
      <c r="F110" s="660"/>
      <c r="G110" s="660"/>
      <c r="H110" s="660"/>
      <c r="I110" s="661"/>
      <c r="J110" s="57"/>
      <c r="K110" s="662"/>
      <c r="L110" s="657"/>
      <c r="M110" s="657"/>
      <c r="N110" s="657"/>
      <c r="O110" s="657"/>
      <c r="P110" s="658"/>
    </row>
    <row r="111" spans="1:16" ht="50.25" customHeight="1" x14ac:dyDescent="0.25">
      <c r="A111" s="708"/>
      <c r="B111" s="659" t="str">
        <f>IF('Table 1-B  Context Analysis'!$K$7="Yes",IF('Table 1-C  Cont Factors'!L57="","N/A",'Table 1-C  Cont Factors'!L57),IF('Table 1-C  Cont Factors'!O57="R0",IF('Table 1-C  Cont Factors'!L57="","N/A","Reliability Score nul-F0"),IF('Table 1-C  Cont Factors'!L57="","N/A",'Table 1-C  Cont Factors'!L57)))</f>
        <v>N/A</v>
      </c>
      <c r="C111" s="660"/>
      <c r="D111" s="660"/>
      <c r="E111" s="660"/>
      <c r="F111" s="660"/>
      <c r="G111" s="660"/>
      <c r="H111" s="660"/>
      <c r="I111" s="661"/>
      <c r="J111" s="57"/>
      <c r="K111" s="657"/>
      <c r="L111" s="657"/>
      <c r="M111" s="657"/>
      <c r="N111" s="657"/>
      <c r="O111" s="657"/>
      <c r="P111" s="658"/>
    </row>
    <row r="112" spans="1:16" ht="44.25" customHeight="1" x14ac:dyDescent="0.25">
      <c r="A112" s="708"/>
      <c r="B112" s="659" t="str">
        <f>IF('Table 1-B  Context Analysis'!$K$7="Yes",IF('Table 1-C  Cont Factors'!L58="","N/A",'Table 1-C  Cont Factors'!L58),IF('Table 1-C  Cont Factors'!O58="R0",IF('Table 1-C  Cont Factors'!L58="","N/A","Reliability Score nul-F0"),IF('Table 1-C  Cont Factors'!L58="","N/A",'Table 1-C  Cont Factors'!L58)))</f>
        <v>N/A</v>
      </c>
      <c r="C112" s="660"/>
      <c r="D112" s="660"/>
      <c r="E112" s="660"/>
      <c r="F112" s="660"/>
      <c r="G112" s="660"/>
      <c r="H112" s="660"/>
      <c r="I112" s="661"/>
      <c r="J112" s="57"/>
      <c r="K112" s="716"/>
      <c r="L112" s="713"/>
      <c r="M112" s="713"/>
      <c r="N112" s="713"/>
      <c r="O112" s="713"/>
      <c r="P112" s="717"/>
    </row>
    <row r="113" spans="1:16" ht="27" customHeight="1" x14ac:dyDescent="0.25">
      <c r="A113" s="708"/>
      <c r="B113" s="659" t="str">
        <f>IF('Table 1-B  Context Analysis'!$K$7="Yes",IF('Table 1-C  Cont Factors'!L59="","N/A",'Table 1-C  Cont Factors'!L59),IF('Table 1-C  Cont Factors'!O59="R0",IF('Table 1-C  Cont Factors'!L59="","N/A","Reliability Score nul-F0"),IF('Table 1-C  Cont Factors'!L59="","N/A",'Table 1-C  Cont Factors'!L59)))</f>
        <v>N/A</v>
      </c>
      <c r="C113" s="660"/>
      <c r="D113" s="660"/>
      <c r="E113" s="660"/>
      <c r="F113" s="660"/>
      <c r="G113" s="660"/>
      <c r="H113" s="660"/>
      <c r="I113" s="661"/>
      <c r="J113" s="57"/>
      <c r="K113" s="662"/>
      <c r="L113" s="657"/>
      <c r="M113" s="657"/>
      <c r="N113" s="657"/>
      <c r="O113" s="657"/>
      <c r="P113" s="658"/>
    </row>
    <row r="114" spans="1:16" ht="27" customHeight="1" x14ac:dyDescent="0.25">
      <c r="A114" s="708"/>
      <c r="B114" s="659" t="str">
        <f>IF('Table 1-B  Context Analysis'!$K$7="Yes",IF('Table 1-C  Cont Factors'!L60="","N/A",'Table 1-C  Cont Factors'!L60),IF('Table 1-C  Cont Factors'!O60="R0",IF('Table 1-C  Cont Factors'!L60="","N/A","Reliability Score nul-F0"),IF('Table 1-C  Cont Factors'!L60="","N/A",'Table 1-C  Cont Factors'!L60)))</f>
        <v>N/A</v>
      </c>
      <c r="C114" s="660"/>
      <c r="D114" s="660"/>
      <c r="E114" s="660"/>
      <c r="F114" s="660"/>
      <c r="G114" s="660"/>
      <c r="H114" s="660"/>
      <c r="I114" s="661"/>
      <c r="J114" s="57"/>
      <c r="K114" s="657"/>
      <c r="L114" s="657"/>
      <c r="M114" s="657"/>
      <c r="N114" s="657"/>
      <c r="O114" s="657"/>
      <c r="P114" s="658"/>
    </row>
    <row r="115" spans="1:16" ht="53.25" customHeight="1" x14ac:dyDescent="0.25">
      <c r="A115" s="708"/>
      <c r="B115" s="659" t="str">
        <f>IF('Table 1-B  Context Analysis'!$K$7="Yes",IF('Table 1-C  Cont Factors'!L61="","N/A",'Table 1-C  Cont Factors'!L61),IF('Table 1-C  Cont Factors'!O61="R0",IF('Table 1-C  Cont Factors'!L61="","N/A","Reliability Score nul-F0"),IF('Table 1-C  Cont Factors'!L61="","N/A",'Table 1-C  Cont Factors'!L61)))</f>
        <v>N/A</v>
      </c>
      <c r="C115" s="660"/>
      <c r="D115" s="660"/>
      <c r="E115" s="660"/>
      <c r="F115" s="660"/>
      <c r="G115" s="660"/>
      <c r="H115" s="660"/>
      <c r="I115" s="661"/>
      <c r="J115" s="57"/>
      <c r="K115" s="716"/>
      <c r="L115" s="713"/>
      <c r="M115" s="713"/>
      <c r="N115" s="713"/>
      <c r="O115" s="713"/>
      <c r="P115" s="717"/>
    </row>
    <row r="116" spans="1:16" ht="39" customHeight="1" x14ac:dyDescent="0.25">
      <c r="A116" s="708"/>
      <c r="B116" s="659" t="str">
        <f>IF('Table 1-B  Context Analysis'!$K$7="Yes",IF('Table 1-C  Cont Factors'!L62="","N/A",'Table 1-C  Cont Factors'!L62),IF('Table 1-C  Cont Factors'!O62="R0",IF('Table 1-C  Cont Factors'!L62="","N/A","Reliability Score nul-F0"),IF('Table 1-C  Cont Factors'!L62="","N/A",'Table 1-C  Cont Factors'!L62)))</f>
        <v>N/A</v>
      </c>
      <c r="C116" s="660"/>
      <c r="D116" s="660"/>
      <c r="E116" s="660"/>
      <c r="F116" s="660"/>
      <c r="G116" s="660"/>
      <c r="H116" s="660"/>
      <c r="I116" s="661"/>
      <c r="J116" s="57"/>
      <c r="K116" s="716"/>
      <c r="L116" s="713"/>
      <c r="M116" s="713"/>
      <c r="N116" s="713"/>
      <c r="O116" s="713"/>
      <c r="P116" s="717"/>
    </row>
    <row r="117" spans="1:16" ht="27" customHeight="1" x14ac:dyDescent="0.25">
      <c r="A117" s="708"/>
      <c r="B117" s="659" t="str">
        <f>IF('Table 1-B  Context Analysis'!$K$7="Yes",IF('Table 1-C  Cont Factors'!L63="","N/A",'Table 1-C  Cont Factors'!L63),IF('Table 1-C  Cont Factors'!O63="R0",IF('Table 1-C  Cont Factors'!L63="","N/A","Reliability Score nul-F0"),IF('Table 1-C  Cont Factors'!L63="","N/A",'Table 1-C  Cont Factors'!L63)))</f>
        <v>N/A</v>
      </c>
      <c r="C117" s="660"/>
      <c r="D117" s="660"/>
      <c r="E117" s="660"/>
      <c r="F117" s="660"/>
      <c r="G117" s="660"/>
      <c r="H117" s="660"/>
      <c r="I117" s="661"/>
      <c r="J117" s="57"/>
      <c r="K117" s="657"/>
      <c r="L117" s="657"/>
      <c r="M117" s="657"/>
      <c r="N117" s="657"/>
      <c r="O117" s="657"/>
      <c r="P117" s="658"/>
    </row>
    <row r="118" spans="1:16" ht="27" customHeight="1" x14ac:dyDescent="0.25">
      <c r="A118" s="708"/>
      <c r="B118" s="659" t="str">
        <f>IF('Table 1-B  Context Analysis'!$K$7="Yes",IF('Table 1-C  Cont Factors'!L64="","N/A",'Table 1-C  Cont Factors'!L64),IF('Table 1-C  Cont Factors'!O64="R0",IF('Table 1-C  Cont Factors'!L64="","N/A","Reliability Score nul-F0"),IF('Table 1-C  Cont Factors'!L64="","N/A",'Table 1-C  Cont Factors'!L64)))</f>
        <v>N/A</v>
      </c>
      <c r="C118" s="660"/>
      <c r="D118" s="660"/>
      <c r="E118" s="660"/>
      <c r="F118" s="660"/>
      <c r="G118" s="660"/>
      <c r="H118" s="660"/>
      <c r="I118" s="661"/>
      <c r="J118" s="57"/>
      <c r="K118" s="657"/>
      <c r="L118" s="657"/>
      <c r="M118" s="657"/>
      <c r="N118" s="657"/>
      <c r="O118" s="657"/>
      <c r="P118" s="658"/>
    </row>
    <row r="119" spans="1:16" ht="27" customHeight="1" x14ac:dyDescent="0.25">
      <c r="A119" s="708"/>
      <c r="B119" s="659" t="str">
        <f>IF('Table 1-B  Context Analysis'!$K$7="Yes",IF('Table 1-C  Cont Factors'!L65="","N/A",'Table 1-C  Cont Factors'!L65),IF('Table 1-C  Cont Factors'!O65="R0",IF('Table 1-C  Cont Factors'!L65="","N/A","Reliability Score nul-F0"),IF('Table 1-C  Cont Factors'!L65="","N/A",'Table 1-C  Cont Factors'!L65)))</f>
        <v>N/A</v>
      </c>
      <c r="C119" s="660"/>
      <c r="D119" s="660"/>
      <c r="E119" s="660"/>
      <c r="F119" s="660"/>
      <c r="G119" s="660"/>
      <c r="H119" s="660"/>
      <c r="I119" s="661"/>
      <c r="J119" s="57"/>
      <c r="K119" s="657"/>
      <c r="L119" s="657"/>
      <c r="M119" s="657"/>
      <c r="N119" s="657"/>
      <c r="O119" s="657"/>
      <c r="P119" s="658"/>
    </row>
    <row r="120" spans="1:16" ht="27" customHeight="1" x14ac:dyDescent="0.25">
      <c r="A120" s="708"/>
      <c r="B120" s="659" t="str">
        <f>IF('Table 1-B  Context Analysis'!$K$7="Yes",IF('Table 1-C  Cont Factors'!L66="","N/A",'Table 1-C  Cont Factors'!L66),IF('Table 1-C  Cont Factors'!O66="R0",IF('Table 1-C  Cont Factors'!L66="","N/A","Reliability Score nul-F0"),IF('Table 1-C  Cont Factors'!L66="","N/A",'Table 1-C  Cont Factors'!L66)))</f>
        <v>N/A</v>
      </c>
      <c r="C120" s="660"/>
      <c r="D120" s="660"/>
      <c r="E120" s="660"/>
      <c r="F120" s="660"/>
      <c r="G120" s="660"/>
      <c r="H120" s="660"/>
      <c r="I120" s="661"/>
      <c r="J120" s="57"/>
      <c r="K120" s="657"/>
      <c r="L120" s="657"/>
      <c r="M120" s="657"/>
      <c r="N120" s="657"/>
      <c r="O120" s="657"/>
      <c r="P120" s="658"/>
    </row>
    <row r="121" spans="1:16" ht="27" customHeight="1" x14ac:dyDescent="0.25">
      <c r="A121" s="708"/>
      <c r="B121" s="659" t="str">
        <f>IF('Table 1-B  Context Analysis'!$K$7="Yes",IF('Table 1-C  Cont Factors'!L67="","N/A",'Table 1-C  Cont Factors'!L67),IF('Table 1-C  Cont Factors'!O67="R0",IF('Table 1-C  Cont Factors'!L67="","N/A","Reliability Score nul-F0"),IF('Table 1-C  Cont Factors'!L67="","N/A",'Table 1-C  Cont Factors'!L67)))</f>
        <v>N/A</v>
      </c>
      <c r="C121" s="660"/>
      <c r="D121" s="660"/>
      <c r="E121" s="660"/>
      <c r="F121" s="660"/>
      <c r="G121" s="660"/>
      <c r="H121" s="660"/>
      <c r="I121" s="661"/>
      <c r="J121" s="57"/>
      <c r="K121" s="662"/>
      <c r="L121" s="657"/>
      <c r="M121" s="657"/>
      <c r="N121" s="657"/>
      <c r="O121" s="657"/>
      <c r="P121" s="658"/>
    </row>
    <row r="122" spans="1:16" ht="27" customHeight="1" x14ac:dyDescent="0.25">
      <c r="A122" s="708"/>
      <c r="B122" s="659" t="str">
        <f>IF('Table 1-B  Context Analysis'!$K$7="Yes",IF('Table 1-C  Cont Factors'!L68="","N/A",'Table 1-C  Cont Factors'!L68),IF('Table 1-C  Cont Factors'!O68="R0",IF('Table 1-C  Cont Factors'!L68="","N/A","Reliability Score nul-F0"),IF('Table 1-C  Cont Factors'!L68="","N/A",'Table 1-C  Cont Factors'!L68)))</f>
        <v>N/A</v>
      </c>
      <c r="C122" s="660"/>
      <c r="D122" s="660"/>
      <c r="E122" s="660"/>
      <c r="F122" s="660"/>
      <c r="G122" s="660"/>
      <c r="H122" s="660"/>
      <c r="I122" s="661"/>
      <c r="J122" s="57"/>
      <c r="K122" s="657"/>
      <c r="L122" s="657"/>
      <c r="M122" s="657"/>
      <c r="N122" s="657"/>
      <c r="O122" s="657"/>
      <c r="P122" s="658"/>
    </row>
    <row r="123" spans="1:16" ht="27" customHeight="1" x14ac:dyDescent="0.25">
      <c r="A123" s="708"/>
      <c r="B123" s="659" t="str">
        <f>IF('Table 1-B  Context Analysis'!$K$7="Yes",IF('Table 1-C  Cont Factors'!L69="","N/A",'Table 1-C  Cont Factors'!L69),IF('Table 1-C  Cont Factors'!O69="R0",IF('Table 1-C  Cont Factors'!L69="","N/A","Reliability Score nul-F0"),IF('Table 1-C  Cont Factors'!L69="","N/A",'Table 1-C  Cont Factors'!L69)))</f>
        <v>N/A</v>
      </c>
      <c r="C123" s="660"/>
      <c r="D123" s="660"/>
      <c r="E123" s="660"/>
      <c r="F123" s="660"/>
      <c r="G123" s="660"/>
      <c r="H123" s="660"/>
      <c r="I123" s="661"/>
      <c r="J123" s="57"/>
      <c r="K123" s="657"/>
      <c r="L123" s="657"/>
      <c r="M123" s="657"/>
      <c r="N123" s="657"/>
      <c r="O123" s="657"/>
      <c r="P123" s="658"/>
    </row>
    <row r="124" spans="1:16" ht="27" customHeight="1" x14ac:dyDescent="0.25">
      <c r="A124" s="708"/>
      <c r="B124" s="659" t="str">
        <f>IF('Table 1-B  Context Analysis'!$K$7="Yes",IF('Table 1-C  Cont Factors'!L70="","N/A",'Table 1-C  Cont Factors'!L70),IF('Table 1-C  Cont Factors'!O70="R0",IF('Table 1-C  Cont Factors'!L70="","N/A","Reliability Score nul-F0"),IF('Table 1-C  Cont Factors'!L70="","N/A",'Table 1-C  Cont Factors'!L70)))</f>
        <v>N/A</v>
      </c>
      <c r="C124" s="660"/>
      <c r="D124" s="660"/>
      <c r="E124" s="660"/>
      <c r="F124" s="660"/>
      <c r="G124" s="660"/>
      <c r="H124" s="660"/>
      <c r="I124" s="661"/>
      <c r="J124" s="57"/>
      <c r="K124" s="662"/>
      <c r="L124" s="657"/>
      <c r="M124" s="657"/>
      <c r="N124" s="657"/>
      <c r="O124" s="657"/>
      <c r="P124" s="658"/>
    </row>
    <row r="125" spans="1:16" ht="34.5" customHeight="1" x14ac:dyDescent="0.25">
      <c r="A125" s="708"/>
      <c r="B125" s="723"/>
      <c r="C125" s="724"/>
      <c r="D125" s="724"/>
      <c r="E125" s="724"/>
      <c r="F125" s="724"/>
      <c r="G125" s="724"/>
      <c r="H125" s="724"/>
      <c r="I125" s="724"/>
      <c r="J125" s="57"/>
      <c r="K125" s="721"/>
      <c r="L125" s="721"/>
      <c r="M125" s="721"/>
      <c r="N125" s="721"/>
      <c r="O125" s="721"/>
      <c r="P125" s="722"/>
    </row>
    <row r="126" spans="1:16" ht="6.75" customHeight="1" x14ac:dyDescent="0.25">
      <c r="A126" s="708"/>
      <c r="B126" s="9"/>
      <c r="C126" s="9"/>
      <c r="D126" s="81"/>
      <c r="E126" s="81"/>
      <c r="F126" s="81"/>
      <c r="G126" s="81"/>
      <c r="H126" s="81"/>
      <c r="I126" s="81"/>
      <c r="J126" s="10"/>
      <c r="K126" s="9"/>
      <c r="L126" s="9"/>
      <c r="M126" s="9"/>
      <c r="N126" s="9"/>
      <c r="O126" s="9"/>
      <c r="P126" s="9"/>
    </row>
    <row r="127" spans="1:16" ht="12" customHeight="1" x14ac:dyDescent="0.25">
      <c r="A127" s="708"/>
      <c r="B127" s="687" t="s">
        <v>14</v>
      </c>
      <c r="C127" s="688"/>
      <c r="D127" s="712"/>
      <c r="E127" s="713"/>
      <c r="F127" s="713"/>
      <c r="G127" s="713"/>
      <c r="H127" s="713"/>
      <c r="I127" s="713"/>
      <c r="J127" s="57"/>
      <c r="K127" s="716"/>
      <c r="L127" s="713"/>
      <c r="M127" s="713"/>
      <c r="N127" s="713"/>
      <c r="O127" s="713"/>
      <c r="P127" s="717"/>
    </row>
    <row r="128" spans="1:16" ht="12" customHeight="1" x14ac:dyDescent="0.25">
      <c r="A128" s="708"/>
      <c r="B128" s="687"/>
      <c r="C128" s="688"/>
      <c r="D128" s="714"/>
      <c r="E128" s="715"/>
      <c r="F128" s="715"/>
      <c r="G128" s="715"/>
      <c r="H128" s="715"/>
      <c r="I128" s="715"/>
      <c r="J128" s="57"/>
      <c r="K128" s="715"/>
      <c r="L128" s="715"/>
      <c r="M128" s="715"/>
      <c r="N128" s="715"/>
      <c r="O128" s="715"/>
      <c r="P128" s="718"/>
    </row>
    <row r="129" spans="1:16" ht="12" customHeight="1" x14ac:dyDescent="0.25">
      <c r="A129" s="708"/>
      <c r="B129" s="687"/>
      <c r="C129" s="688"/>
      <c r="D129" s="714"/>
      <c r="E129" s="715"/>
      <c r="F129" s="715"/>
      <c r="G129" s="715"/>
      <c r="H129" s="715"/>
      <c r="I129" s="715"/>
      <c r="J129" s="57"/>
      <c r="K129" s="715"/>
      <c r="L129" s="715"/>
      <c r="M129" s="715"/>
      <c r="N129" s="715"/>
      <c r="O129" s="715"/>
      <c r="P129" s="718"/>
    </row>
    <row r="130" spans="1:16" ht="12" customHeight="1" x14ac:dyDescent="0.25">
      <c r="A130" s="708"/>
      <c r="B130" s="687"/>
      <c r="C130" s="688"/>
      <c r="D130" s="714"/>
      <c r="E130" s="715"/>
      <c r="F130" s="715"/>
      <c r="G130" s="715"/>
      <c r="H130" s="715"/>
      <c r="I130" s="715"/>
      <c r="J130" s="57"/>
      <c r="K130" s="715"/>
      <c r="L130" s="715"/>
      <c r="M130" s="715"/>
      <c r="N130" s="715"/>
      <c r="O130" s="715"/>
      <c r="P130" s="718"/>
    </row>
    <row r="131" spans="1:16" ht="12" customHeight="1" thickBot="1" x14ac:dyDescent="0.3">
      <c r="A131" s="708"/>
      <c r="B131" s="687"/>
      <c r="C131" s="688"/>
      <c r="D131" s="714"/>
      <c r="E131" s="715"/>
      <c r="F131" s="715"/>
      <c r="G131" s="715"/>
      <c r="H131" s="715"/>
      <c r="I131" s="715"/>
      <c r="J131" s="57"/>
      <c r="K131" s="719"/>
      <c r="L131" s="719"/>
      <c r="M131" s="719"/>
      <c r="N131" s="719"/>
      <c r="O131" s="719"/>
      <c r="P131" s="720"/>
    </row>
    <row r="132" spans="1:16" ht="15.75" customHeight="1" x14ac:dyDescent="0.25">
      <c r="A132" s="708"/>
      <c r="B132" s="655" t="s">
        <v>176</v>
      </c>
      <c r="C132" s="13"/>
      <c r="D132" s="692" t="s">
        <v>179</v>
      </c>
      <c r="E132" s="693"/>
      <c r="F132" s="694"/>
      <c r="G132" s="663" t="s">
        <v>180</v>
      </c>
      <c r="H132" s="664"/>
      <c r="I132" s="665"/>
      <c r="J132" s="14"/>
      <c r="K132" s="699" t="s">
        <v>179</v>
      </c>
      <c r="L132" s="700"/>
      <c r="M132" s="700"/>
      <c r="N132" s="666" t="s">
        <v>180</v>
      </c>
      <c r="O132" s="667"/>
      <c r="P132" s="668"/>
    </row>
    <row r="133" spans="1:16" ht="15.75" x14ac:dyDescent="0.25">
      <c r="A133" s="708"/>
      <c r="B133" s="689"/>
      <c r="C133" s="13"/>
      <c r="D133" s="307" t="s">
        <v>181</v>
      </c>
      <c r="E133" s="43" t="s">
        <v>182</v>
      </c>
      <c r="F133" s="306" t="s">
        <v>183</v>
      </c>
      <c r="G133" s="82" t="s">
        <v>183</v>
      </c>
      <c r="H133" s="83" t="s">
        <v>182</v>
      </c>
      <c r="I133" s="84" t="s">
        <v>181</v>
      </c>
      <c r="J133" s="14"/>
      <c r="K133" s="307" t="s">
        <v>181</v>
      </c>
      <c r="L133" s="43" t="s">
        <v>182</v>
      </c>
      <c r="M133" s="306" t="s">
        <v>183</v>
      </c>
      <c r="N133" s="40" t="s">
        <v>183</v>
      </c>
      <c r="O133" s="41" t="s">
        <v>182</v>
      </c>
      <c r="P133" s="42" t="s">
        <v>181</v>
      </c>
    </row>
    <row r="134" spans="1:16" ht="15.75" x14ac:dyDescent="0.25">
      <c r="A134" s="708"/>
      <c r="B134" s="689"/>
      <c r="C134" s="369" t="s">
        <v>177</v>
      </c>
      <c r="D134" s="137"/>
      <c r="E134" s="137"/>
      <c r="F134" s="162"/>
      <c r="G134" s="222"/>
      <c r="H134" s="137"/>
      <c r="I134" s="137"/>
      <c r="J134" s="10"/>
      <c r="K134" s="137"/>
      <c r="L134" s="137"/>
      <c r="M134" s="162"/>
      <c r="N134" s="222"/>
      <c r="O134" s="298"/>
      <c r="P134" s="137"/>
    </row>
    <row r="135" spans="1:16" ht="15.75" x14ac:dyDescent="0.25">
      <c r="A135" s="708"/>
      <c r="B135" s="689"/>
      <c r="C135" s="369" t="s">
        <v>178</v>
      </c>
      <c r="D135" s="137"/>
      <c r="E135" s="137"/>
      <c r="F135" s="162"/>
      <c r="G135" s="222"/>
      <c r="H135" s="137"/>
      <c r="I135" s="137"/>
      <c r="J135" s="10"/>
      <c r="K135" s="137"/>
      <c r="L135" s="137"/>
      <c r="M135" s="162"/>
      <c r="N135" s="222"/>
      <c r="O135" s="298"/>
      <c r="P135" s="137"/>
    </row>
    <row r="136" spans="1:16" ht="15.75" x14ac:dyDescent="0.25">
      <c r="A136" s="708"/>
      <c r="B136" s="689"/>
      <c r="C136" s="369" t="s">
        <v>15</v>
      </c>
      <c r="D136" s="137"/>
      <c r="E136" s="137"/>
      <c r="F136" s="162"/>
      <c r="G136" s="222"/>
      <c r="H136" s="137"/>
      <c r="I136" s="137"/>
      <c r="J136" s="10"/>
      <c r="K136" s="137"/>
      <c r="L136" s="137"/>
      <c r="M136" s="162"/>
      <c r="N136" s="222"/>
      <c r="O136" s="298"/>
      <c r="P136" s="137"/>
    </row>
    <row r="137" spans="1:16" ht="15.75" x14ac:dyDescent="0.25">
      <c r="A137" s="708"/>
      <c r="B137" s="690"/>
      <c r="C137" s="369" t="s">
        <v>16</v>
      </c>
      <c r="D137" s="137"/>
      <c r="E137" s="137"/>
      <c r="F137" s="162"/>
      <c r="G137" s="222"/>
      <c r="H137" s="137"/>
      <c r="I137" s="137"/>
      <c r="J137" s="10"/>
      <c r="K137" s="137"/>
      <c r="L137" s="137"/>
      <c r="M137" s="162"/>
      <c r="N137" s="222"/>
      <c r="O137" s="298"/>
      <c r="P137" s="137"/>
    </row>
    <row r="138" spans="1:16" ht="5.25" customHeight="1" x14ac:dyDescent="0.25">
      <c r="A138" s="708"/>
      <c r="B138" s="9"/>
      <c r="C138" s="9"/>
      <c r="D138" s="81"/>
      <c r="E138" s="81"/>
      <c r="F138" s="81"/>
      <c r="G138" s="81"/>
      <c r="H138" s="81"/>
      <c r="I138" s="81"/>
      <c r="J138" s="10"/>
      <c r="K138" s="9"/>
      <c r="L138" s="9"/>
      <c r="M138" s="9"/>
      <c r="N138" s="9"/>
      <c r="O138" s="9"/>
      <c r="P138" s="9"/>
    </row>
    <row r="139" spans="1:16" ht="24.75" x14ac:dyDescent="0.25">
      <c r="A139" s="708"/>
      <c r="B139" s="691" t="s">
        <v>191</v>
      </c>
      <c r="C139" s="691"/>
      <c r="D139" s="691"/>
      <c r="E139" s="691"/>
      <c r="F139" s="691"/>
      <c r="G139" s="510" t="s">
        <v>184</v>
      </c>
      <c r="H139" s="510" t="s">
        <v>185</v>
      </c>
      <c r="I139" s="510" t="s">
        <v>186</v>
      </c>
      <c r="J139" s="511"/>
      <c r="K139" s="680" t="s">
        <v>184</v>
      </c>
      <c r="L139" s="681"/>
      <c r="M139" s="680" t="s">
        <v>187</v>
      </c>
      <c r="N139" s="681"/>
      <c r="O139" s="680" t="s">
        <v>186</v>
      </c>
      <c r="P139" s="681"/>
    </row>
    <row r="140" spans="1:16" ht="76.5" customHeight="1" x14ac:dyDescent="0.25">
      <c r="A140" s="708"/>
      <c r="B140" s="691"/>
      <c r="C140" s="691"/>
      <c r="D140" s="691"/>
      <c r="E140" s="691"/>
      <c r="F140" s="691"/>
      <c r="G140" s="85"/>
      <c r="H140" s="161"/>
      <c r="I140" s="85"/>
      <c r="J140" s="16"/>
      <c r="K140" s="11"/>
      <c r="L140" s="4"/>
      <c r="M140" s="368"/>
      <c r="N140" s="368"/>
      <c r="O140" s="4"/>
      <c r="P140" s="4"/>
    </row>
    <row r="141" spans="1:16" ht="7.5" customHeight="1" x14ac:dyDescent="0.25">
      <c r="A141" s="5"/>
      <c r="B141" s="5"/>
      <c r="C141" s="8"/>
      <c r="D141" s="86"/>
      <c r="E141" s="86"/>
      <c r="F141" s="86"/>
      <c r="G141" s="86"/>
      <c r="H141" s="86"/>
      <c r="I141" s="86"/>
      <c r="J141" s="5"/>
      <c r="K141" s="5"/>
      <c r="L141" s="5"/>
      <c r="M141" s="5"/>
      <c r="N141" s="5"/>
      <c r="O141" s="5"/>
      <c r="P141" s="5"/>
    </row>
    <row r="142" spans="1:16" ht="22.5" customHeight="1" x14ac:dyDescent="0.25">
      <c r="A142" s="577" t="s">
        <v>129</v>
      </c>
      <c r="B142" s="669" t="str">
        <f>IF('Table 1-B  Context Analysis'!$K$7="Yes",IF('Table 1-C  Cont Factors'!L72="","N/A",'Table 1-C  Cont Factors'!L72),IF('Table 1-C  Cont Factors'!O72="R0",IF('Table 1-C  Cont Factors'!L72="","N/A","Reliability Score nul-F0"),IF('Table 1-C  Cont Factors'!L72="","N/A",'Table 1-C  Cont Factors'!L72)))</f>
        <v>N/A</v>
      </c>
      <c r="C142" s="670"/>
      <c r="D142" s="670"/>
      <c r="E142" s="670"/>
      <c r="F142" s="670"/>
      <c r="G142" s="670"/>
      <c r="H142" s="670"/>
      <c r="I142" s="671"/>
      <c r="J142" s="57"/>
      <c r="K142" s="662"/>
      <c r="L142" s="657"/>
      <c r="M142" s="657"/>
      <c r="N142" s="657"/>
      <c r="O142" s="657"/>
      <c r="P142" s="658"/>
    </row>
    <row r="143" spans="1:16" ht="36" customHeight="1" x14ac:dyDescent="0.25">
      <c r="A143" s="708"/>
      <c r="B143" s="669" t="str">
        <f>IF('Table 1-B  Context Analysis'!$K$7="Yes",IF('Table 1-C  Cont Factors'!L73="","N/A",'Table 1-C  Cont Factors'!L73),IF('Table 1-C  Cont Factors'!O73="R0",IF('Table 1-C  Cont Factors'!L73="","N/A","Reliability Score nul-F0"),IF('Table 1-C  Cont Factors'!L73="","N/A",'Table 1-C  Cont Factors'!L73)))</f>
        <v>N/A</v>
      </c>
      <c r="C143" s="670"/>
      <c r="D143" s="670"/>
      <c r="E143" s="670"/>
      <c r="F143" s="670"/>
      <c r="G143" s="670"/>
      <c r="H143" s="670"/>
      <c r="I143" s="671"/>
      <c r="J143" s="57"/>
      <c r="K143" s="657"/>
      <c r="L143" s="657"/>
      <c r="M143" s="657"/>
      <c r="N143" s="657"/>
      <c r="O143" s="657"/>
      <c r="P143" s="658"/>
    </row>
    <row r="144" spans="1:16" ht="93.75" customHeight="1" x14ac:dyDescent="0.25">
      <c r="A144" s="708"/>
      <c r="B144" s="669" t="str">
        <f>IF('Table 1-B  Context Analysis'!$K$7="Yes",IF('Table 1-C  Cont Factors'!L74="","N/A",'Table 1-C  Cont Factors'!L74),IF('Table 1-C  Cont Factors'!O74="R0",IF('Table 1-C  Cont Factors'!L74="","N/A","Reliability Score nul-F0"),IF('Table 1-C  Cont Factors'!L74="","N/A",'Table 1-C  Cont Factors'!L74)))</f>
        <v>N/A</v>
      </c>
      <c r="C144" s="670"/>
      <c r="D144" s="670"/>
      <c r="E144" s="670"/>
      <c r="F144" s="670"/>
      <c r="G144" s="670"/>
      <c r="H144" s="670"/>
      <c r="I144" s="671"/>
      <c r="J144" s="57"/>
      <c r="K144" s="662"/>
      <c r="L144" s="657"/>
      <c r="M144" s="657"/>
      <c r="N144" s="657"/>
      <c r="O144" s="657"/>
      <c r="P144" s="658"/>
    </row>
    <row r="145" spans="1:16" ht="22.5" customHeight="1" x14ac:dyDescent="0.25">
      <c r="A145" s="708"/>
      <c r="B145" s="669" t="str">
        <f>IF('Table 1-B  Context Analysis'!$K$7="Yes",IF('Table 1-C  Cont Factors'!L75="","N/A",'Table 1-C  Cont Factors'!L75),IF('Table 1-C  Cont Factors'!O75="R0",IF('Table 1-C  Cont Factors'!L75="","N/A","Reliability Score nul-F0"),IF('Table 1-C  Cont Factors'!L75="","N/A",'Table 1-C  Cont Factors'!L75)))</f>
        <v>N/A</v>
      </c>
      <c r="C145" s="670"/>
      <c r="D145" s="670"/>
      <c r="E145" s="670"/>
      <c r="F145" s="670"/>
      <c r="G145" s="670"/>
      <c r="H145" s="670"/>
      <c r="I145" s="671"/>
      <c r="J145" s="57"/>
      <c r="K145" s="662"/>
      <c r="L145" s="657"/>
      <c r="M145" s="657"/>
      <c r="N145" s="657"/>
      <c r="O145" s="657"/>
      <c r="P145" s="658"/>
    </row>
    <row r="146" spans="1:16" ht="22.5" customHeight="1" x14ac:dyDescent="0.25">
      <c r="A146" s="708"/>
      <c r="B146" s="669" t="str">
        <f>IF('Table 1-B  Context Analysis'!$K$7="Yes",IF('Table 1-C  Cont Factors'!L76="","N/A",'Table 1-C  Cont Factors'!L76),IF('Table 1-C  Cont Factors'!O76="R0",IF('Table 1-C  Cont Factors'!L76="","N/A","Reliability Score nul-F0"),IF('Table 1-C  Cont Factors'!L76="","N/A",'Table 1-C  Cont Factors'!L76)))</f>
        <v>N/A</v>
      </c>
      <c r="C146" s="670"/>
      <c r="D146" s="670"/>
      <c r="E146" s="670"/>
      <c r="F146" s="670"/>
      <c r="G146" s="670"/>
      <c r="H146" s="670"/>
      <c r="I146" s="671"/>
      <c r="J146" s="57"/>
      <c r="K146" s="657"/>
      <c r="L146" s="657"/>
      <c r="M146" s="657"/>
      <c r="N146" s="657"/>
      <c r="O146" s="657"/>
      <c r="P146" s="658"/>
    </row>
    <row r="147" spans="1:16" ht="22.5" customHeight="1" x14ac:dyDescent="0.25">
      <c r="A147" s="708"/>
      <c r="B147" s="669" t="str">
        <f>IF('Table 1-B  Context Analysis'!$K$7="Yes",IF('Table 1-C  Cont Factors'!L77="","N/A",'Table 1-C  Cont Factors'!L77),IF('Table 1-C  Cont Factors'!O77="R0",IF('Table 1-C  Cont Factors'!L77="","N/A","Reliability Score nul-F0"),IF('Table 1-C  Cont Factors'!L77="","N/A",'Table 1-C  Cont Factors'!L77)))</f>
        <v>N/A</v>
      </c>
      <c r="C147" s="670"/>
      <c r="D147" s="670"/>
      <c r="E147" s="670"/>
      <c r="F147" s="670"/>
      <c r="G147" s="670"/>
      <c r="H147" s="670"/>
      <c r="I147" s="671"/>
      <c r="J147" s="57"/>
      <c r="K147" s="657"/>
      <c r="L147" s="657"/>
      <c r="M147" s="657"/>
      <c r="N147" s="657"/>
      <c r="O147" s="657"/>
      <c r="P147" s="658"/>
    </row>
    <row r="148" spans="1:16" ht="22.5" customHeight="1" x14ac:dyDescent="0.25">
      <c r="A148" s="708"/>
      <c r="B148" s="669" t="str">
        <f>IF('Table 1-B  Context Analysis'!$K$7="Yes",IF('Table 1-C  Cont Factors'!L78="","N/A",'Table 1-C  Cont Factors'!L78),IF('Table 1-C  Cont Factors'!O78="R0",IF('Table 1-C  Cont Factors'!L78="","N/A","Reliability Score nul-F0"),IF('Table 1-C  Cont Factors'!L78="","N/A",'Table 1-C  Cont Factors'!L78)))</f>
        <v>N/A</v>
      </c>
      <c r="C148" s="670"/>
      <c r="D148" s="670"/>
      <c r="E148" s="670"/>
      <c r="F148" s="670"/>
      <c r="G148" s="670"/>
      <c r="H148" s="670"/>
      <c r="I148" s="671"/>
      <c r="J148" s="57"/>
      <c r="K148" s="662"/>
      <c r="L148" s="657"/>
      <c r="M148" s="657"/>
      <c r="N148" s="657"/>
      <c r="O148" s="657"/>
      <c r="P148" s="658"/>
    </row>
    <row r="149" spans="1:16" ht="22.5" customHeight="1" x14ac:dyDescent="0.25">
      <c r="A149" s="708"/>
      <c r="B149" s="669" t="str">
        <f>IF('Table 1-B  Context Analysis'!$K$7="Yes",IF('Table 1-C  Cont Factors'!L79="","N/A",'Table 1-C  Cont Factors'!L79),IF('Table 1-C  Cont Factors'!O79="R0",IF('Table 1-C  Cont Factors'!L79="","N/A","Reliability Score nul-F0"),IF('Table 1-C  Cont Factors'!L79="","N/A",'Table 1-C  Cont Factors'!L79)))</f>
        <v>N/A</v>
      </c>
      <c r="C149" s="670"/>
      <c r="D149" s="670"/>
      <c r="E149" s="670"/>
      <c r="F149" s="670"/>
      <c r="G149" s="670"/>
      <c r="H149" s="670"/>
      <c r="I149" s="671"/>
      <c r="J149" s="57"/>
      <c r="K149" s="657"/>
      <c r="L149" s="657"/>
      <c r="M149" s="657"/>
      <c r="N149" s="657"/>
      <c r="O149" s="657"/>
      <c r="P149" s="658"/>
    </row>
    <row r="150" spans="1:16" ht="22.5" customHeight="1" x14ac:dyDescent="0.25">
      <c r="A150" s="708"/>
      <c r="B150" s="669" t="str">
        <f>IF('Table 1-B  Context Analysis'!$K$7="Yes",IF('Table 1-C  Cont Factors'!L80="","N/A",'Table 1-C  Cont Factors'!L80),IF('Table 1-C  Cont Factors'!O80="R0",IF('Table 1-C  Cont Factors'!L80="","N/A","Reliability Score nul-F0"),IF('Table 1-C  Cont Factors'!L80="","N/A",'Table 1-C  Cont Factors'!L80)))</f>
        <v>N/A</v>
      </c>
      <c r="C150" s="670"/>
      <c r="D150" s="670"/>
      <c r="E150" s="670"/>
      <c r="F150" s="670"/>
      <c r="G150" s="670"/>
      <c r="H150" s="670"/>
      <c r="I150" s="671"/>
      <c r="J150" s="57"/>
      <c r="K150" s="657"/>
      <c r="L150" s="657"/>
      <c r="M150" s="657"/>
      <c r="N150" s="657"/>
      <c r="O150" s="657"/>
      <c r="P150" s="658"/>
    </row>
    <row r="151" spans="1:16" ht="22.5" customHeight="1" x14ac:dyDescent="0.25">
      <c r="A151" s="708"/>
      <c r="B151" s="669" t="str">
        <f>IF('Table 1-B  Context Analysis'!$K$7="Yes",IF('Table 1-C  Cont Factors'!L81="","N/A",'Table 1-C  Cont Factors'!L81),IF('Table 1-C  Cont Factors'!O81="R0",IF('Table 1-C  Cont Factors'!L81="","N/A","Reliability Score nul-F0"),IF('Table 1-C  Cont Factors'!L81="","N/A",'Table 1-C  Cont Factors'!L81)))</f>
        <v>N/A</v>
      </c>
      <c r="C151" s="670"/>
      <c r="D151" s="670"/>
      <c r="E151" s="670"/>
      <c r="F151" s="670"/>
      <c r="G151" s="670"/>
      <c r="H151" s="670"/>
      <c r="I151" s="671"/>
      <c r="J151" s="57"/>
      <c r="K151" s="662"/>
      <c r="L151" s="657"/>
      <c r="M151" s="657"/>
      <c r="N151" s="657"/>
      <c r="O151" s="657"/>
      <c r="P151" s="658"/>
    </row>
    <row r="152" spans="1:16" ht="22.5" customHeight="1" x14ac:dyDescent="0.25">
      <c r="A152" s="708"/>
      <c r="B152" s="669" t="str">
        <f>IF('Table 1-B  Context Analysis'!$K$7="Yes",IF('Table 1-C  Cont Factors'!L82="","N/A",'Table 1-C  Cont Factors'!L82),IF('Table 1-C  Cont Factors'!O82="R0",IF('Table 1-C  Cont Factors'!L82="","N/A","Reliability Score nul-F0"),IF('Table 1-C  Cont Factors'!L82="","N/A",'Table 1-C  Cont Factors'!L82)))</f>
        <v>N/A</v>
      </c>
      <c r="C152" s="670"/>
      <c r="D152" s="670"/>
      <c r="E152" s="670"/>
      <c r="F152" s="670"/>
      <c r="G152" s="670"/>
      <c r="H152" s="670"/>
      <c r="I152" s="671"/>
      <c r="J152" s="57"/>
      <c r="K152" s="657"/>
      <c r="L152" s="657"/>
      <c r="M152" s="657"/>
      <c r="N152" s="657"/>
      <c r="O152" s="657"/>
      <c r="P152" s="658"/>
    </row>
    <row r="153" spans="1:16" ht="22.5" customHeight="1" x14ac:dyDescent="0.25">
      <c r="A153" s="708"/>
      <c r="B153" s="669" t="str">
        <f>IF('Table 1-B  Context Analysis'!$K$7="Yes",IF('Table 1-C  Cont Factors'!L83="","N/A",'Table 1-C  Cont Factors'!L83),IF('Table 1-C  Cont Factors'!O83="R0",IF('Table 1-C  Cont Factors'!L83="","N/A","Reliability Score nul-F0"),IF('Table 1-C  Cont Factors'!L83="","N/A",'Table 1-C  Cont Factors'!L83)))</f>
        <v>N/A</v>
      </c>
      <c r="C153" s="670"/>
      <c r="D153" s="670"/>
      <c r="E153" s="670"/>
      <c r="F153" s="670"/>
      <c r="G153" s="670"/>
      <c r="H153" s="670"/>
      <c r="I153" s="671"/>
      <c r="J153" s="57"/>
      <c r="K153" s="657"/>
      <c r="L153" s="657"/>
      <c r="M153" s="657"/>
      <c r="N153" s="657"/>
      <c r="O153" s="657"/>
      <c r="P153" s="658"/>
    </row>
    <row r="154" spans="1:16" ht="22.5" customHeight="1" x14ac:dyDescent="0.25">
      <c r="A154" s="708"/>
      <c r="B154" s="669" t="str">
        <f>IF('Table 1-B  Context Analysis'!$K$7="Yes",IF('Table 1-C  Cont Factors'!L84="","N/A",'Table 1-C  Cont Factors'!L84),IF('Table 1-C  Cont Factors'!O84="R0",IF('Table 1-C  Cont Factors'!L84="","N/A","Reliability Score nul-F0"),IF('Table 1-C  Cont Factors'!L84="","N/A",'Table 1-C  Cont Factors'!L84)))</f>
        <v>N/A</v>
      </c>
      <c r="C154" s="670"/>
      <c r="D154" s="670"/>
      <c r="E154" s="670"/>
      <c r="F154" s="670"/>
      <c r="G154" s="670"/>
      <c r="H154" s="670"/>
      <c r="I154" s="671"/>
      <c r="J154" s="57"/>
      <c r="K154" s="662"/>
      <c r="L154" s="657"/>
      <c r="M154" s="657"/>
      <c r="N154" s="657"/>
      <c r="O154" s="657"/>
      <c r="P154" s="658"/>
    </row>
    <row r="155" spans="1:16" ht="22.5" customHeight="1" x14ac:dyDescent="0.25">
      <c r="A155" s="708"/>
      <c r="B155" s="669" t="str">
        <f>IF('Table 1-B  Context Analysis'!$K$7="Yes",IF('Table 1-C  Cont Factors'!L85="","N/A",'Table 1-C  Cont Factors'!L85),IF('Table 1-C  Cont Factors'!O85="R0",IF('Table 1-C  Cont Factors'!L85="","N/A","Reliability Score nul-F0"),IF('Table 1-C  Cont Factors'!L85="","N/A",'Table 1-C  Cont Factors'!L85)))</f>
        <v>N/A</v>
      </c>
      <c r="C155" s="670"/>
      <c r="D155" s="670"/>
      <c r="E155" s="670"/>
      <c r="F155" s="670"/>
      <c r="G155" s="670"/>
      <c r="H155" s="670"/>
      <c r="I155" s="671"/>
      <c r="J155" s="57"/>
      <c r="K155" s="657"/>
      <c r="L155" s="657"/>
      <c r="M155" s="657"/>
      <c r="N155" s="657"/>
      <c r="O155" s="657"/>
      <c r="P155" s="658"/>
    </row>
    <row r="156" spans="1:16" ht="22.5" customHeight="1" x14ac:dyDescent="0.25">
      <c r="A156" s="708"/>
      <c r="B156" s="669" t="str">
        <f>IF('Table 1-B  Context Analysis'!$K$7="Yes",IF('Table 1-C  Cont Factors'!L86="","N/A",'Table 1-C  Cont Factors'!L86),IF('Table 1-C  Cont Factors'!O86="R0",IF('Table 1-C  Cont Factors'!L86="","N/A","Reliability Score nul-F0"),IF('Table 1-C  Cont Factors'!L86="","N/A",'Table 1-C  Cont Factors'!L86)))</f>
        <v>N/A</v>
      </c>
      <c r="C156" s="670"/>
      <c r="D156" s="670"/>
      <c r="E156" s="670"/>
      <c r="F156" s="670"/>
      <c r="G156" s="670"/>
      <c r="H156" s="670"/>
      <c r="I156" s="671"/>
      <c r="J156" s="57"/>
      <c r="K156" s="657"/>
      <c r="L156" s="657"/>
      <c r="M156" s="657"/>
      <c r="N156" s="657"/>
      <c r="O156" s="657"/>
      <c r="P156" s="658"/>
    </row>
    <row r="157" spans="1:16" ht="22.5" customHeight="1" x14ac:dyDescent="0.25">
      <c r="A157" s="708"/>
      <c r="B157" s="88"/>
      <c r="C157" s="89"/>
      <c r="D157" s="89"/>
      <c r="E157" s="89"/>
      <c r="F157" s="89"/>
      <c r="G157" s="89"/>
      <c r="H157" s="89"/>
      <c r="I157" s="89"/>
      <c r="J157" s="57"/>
      <c r="K157" s="721"/>
      <c r="L157" s="721"/>
      <c r="M157" s="721"/>
      <c r="N157" s="721"/>
      <c r="O157" s="721"/>
      <c r="P157" s="722"/>
    </row>
    <row r="158" spans="1:16" ht="9.6" customHeight="1" x14ac:dyDescent="0.25">
      <c r="A158" s="708"/>
      <c r="B158" s="9"/>
      <c r="C158" s="9"/>
      <c r="D158" s="81"/>
      <c r="E158" s="81"/>
      <c r="F158" s="81"/>
      <c r="G158" s="81"/>
      <c r="H158" s="81"/>
      <c r="I158" s="81"/>
      <c r="J158" s="10"/>
      <c r="K158" s="9"/>
      <c r="L158" s="9"/>
      <c r="M158" s="9"/>
      <c r="N158" s="9"/>
      <c r="O158" s="9"/>
      <c r="P158" s="9"/>
    </row>
    <row r="159" spans="1:16" ht="15" customHeight="1" x14ac:dyDescent="0.25">
      <c r="A159" s="708"/>
      <c r="B159" s="710" t="s">
        <v>14</v>
      </c>
      <c r="C159" s="711"/>
      <c r="D159" s="712"/>
      <c r="E159" s="713"/>
      <c r="F159" s="713"/>
      <c r="G159" s="713"/>
      <c r="H159" s="713"/>
      <c r="I159" s="713"/>
      <c r="J159" s="57"/>
      <c r="K159" s="716"/>
      <c r="L159" s="713"/>
      <c r="M159" s="713"/>
      <c r="N159" s="713"/>
      <c r="O159" s="713"/>
      <c r="P159" s="717"/>
    </row>
    <row r="160" spans="1:16" ht="15" customHeight="1" x14ac:dyDescent="0.25">
      <c r="A160" s="708"/>
      <c r="B160" s="710"/>
      <c r="C160" s="711"/>
      <c r="D160" s="714"/>
      <c r="E160" s="715"/>
      <c r="F160" s="715"/>
      <c r="G160" s="715"/>
      <c r="H160" s="715"/>
      <c r="I160" s="715"/>
      <c r="J160" s="57"/>
      <c r="K160" s="715"/>
      <c r="L160" s="715"/>
      <c r="M160" s="715"/>
      <c r="N160" s="715"/>
      <c r="O160" s="715"/>
      <c r="P160" s="718"/>
    </row>
    <row r="161" spans="1:16" ht="15" customHeight="1" x14ac:dyDescent="0.25">
      <c r="A161" s="708"/>
      <c r="B161" s="710"/>
      <c r="C161" s="711"/>
      <c r="D161" s="714"/>
      <c r="E161" s="715"/>
      <c r="F161" s="715"/>
      <c r="G161" s="715"/>
      <c r="H161" s="715"/>
      <c r="I161" s="715"/>
      <c r="J161" s="57"/>
      <c r="K161" s="715"/>
      <c r="L161" s="715"/>
      <c r="M161" s="715"/>
      <c r="N161" s="715"/>
      <c r="O161" s="715"/>
      <c r="P161" s="718"/>
    </row>
    <row r="162" spans="1:16" ht="15" customHeight="1" x14ac:dyDescent="0.25">
      <c r="A162" s="708"/>
      <c r="B162" s="710"/>
      <c r="C162" s="711"/>
      <c r="D162" s="714"/>
      <c r="E162" s="715"/>
      <c r="F162" s="715"/>
      <c r="G162" s="715"/>
      <c r="H162" s="715"/>
      <c r="I162" s="715"/>
      <c r="J162" s="57"/>
      <c r="K162" s="715"/>
      <c r="L162" s="715"/>
      <c r="M162" s="715"/>
      <c r="N162" s="715"/>
      <c r="O162" s="715"/>
      <c r="P162" s="718"/>
    </row>
    <row r="163" spans="1:16" ht="15" customHeight="1" thickBot="1" x14ac:dyDescent="0.3">
      <c r="A163" s="708"/>
      <c r="B163" s="710"/>
      <c r="C163" s="711"/>
      <c r="D163" s="714"/>
      <c r="E163" s="715"/>
      <c r="F163" s="715"/>
      <c r="G163" s="715"/>
      <c r="H163" s="715"/>
      <c r="I163" s="715"/>
      <c r="J163" s="57"/>
      <c r="K163" s="719"/>
      <c r="L163" s="719"/>
      <c r="M163" s="719"/>
      <c r="N163" s="719"/>
      <c r="O163" s="719"/>
      <c r="P163" s="720"/>
    </row>
    <row r="164" spans="1:16" ht="15.75" customHeight="1" x14ac:dyDescent="0.25">
      <c r="A164" s="708"/>
      <c r="B164" s="655" t="s">
        <v>176</v>
      </c>
      <c r="C164" s="13"/>
      <c r="D164" s="692" t="s">
        <v>179</v>
      </c>
      <c r="E164" s="693"/>
      <c r="F164" s="694"/>
      <c r="G164" s="663" t="s">
        <v>180</v>
      </c>
      <c r="H164" s="664"/>
      <c r="I164" s="665"/>
      <c r="J164" s="14"/>
      <c r="K164" s="699" t="s">
        <v>179</v>
      </c>
      <c r="L164" s="700"/>
      <c r="M164" s="700"/>
      <c r="N164" s="666" t="s">
        <v>180</v>
      </c>
      <c r="O164" s="667"/>
      <c r="P164" s="668"/>
    </row>
    <row r="165" spans="1:16" ht="15.75" x14ac:dyDescent="0.25">
      <c r="A165" s="708"/>
      <c r="B165" s="689"/>
      <c r="C165" s="13"/>
      <c r="D165" s="307" t="s">
        <v>181</v>
      </c>
      <c r="E165" s="43" t="s">
        <v>182</v>
      </c>
      <c r="F165" s="306" t="s">
        <v>183</v>
      </c>
      <c r="G165" s="82" t="s">
        <v>183</v>
      </c>
      <c r="H165" s="83" t="s">
        <v>182</v>
      </c>
      <c r="I165" s="84" t="s">
        <v>181</v>
      </c>
      <c r="J165" s="14"/>
      <c r="K165" s="307" t="s">
        <v>181</v>
      </c>
      <c r="L165" s="43" t="s">
        <v>182</v>
      </c>
      <c r="M165" s="306" t="s">
        <v>183</v>
      </c>
      <c r="N165" s="40" t="s">
        <v>183</v>
      </c>
      <c r="O165" s="41" t="s">
        <v>182</v>
      </c>
      <c r="P165" s="42" t="s">
        <v>181</v>
      </c>
    </row>
    <row r="166" spans="1:16" ht="15.75" x14ac:dyDescent="0.25">
      <c r="A166" s="708"/>
      <c r="B166" s="689"/>
      <c r="C166" s="369" t="s">
        <v>177</v>
      </c>
      <c r="D166" s="137"/>
      <c r="E166" s="137"/>
      <c r="F166" s="162"/>
      <c r="G166" s="222"/>
      <c r="H166" s="137"/>
      <c r="I166" s="137"/>
      <c r="J166" s="163"/>
      <c r="K166" s="137"/>
      <c r="L166" s="137"/>
      <c r="M166" s="162"/>
      <c r="N166" s="222"/>
      <c r="O166" s="137"/>
      <c r="P166" s="137"/>
    </row>
    <row r="167" spans="1:16" ht="15.75" x14ac:dyDescent="0.25">
      <c r="A167" s="708"/>
      <c r="B167" s="689"/>
      <c r="C167" s="369" t="s">
        <v>178</v>
      </c>
      <c r="D167" s="137"/>
      <c r="E167" s="137"/>
      <c r="F167" s="162"/>
      <c r="G167" s="222"/>
      <c r="H167" s="137"/>
      <c r="I167" s="137"/>
      <c r="J167" s="163"/>
      <c r="K167" s="137"/>
      <c r="L167" s="137"/>
      <c r="M167" s="162"/>
      <c r="N167" s="222"/>
      <c r="O167" s="137"/>
      <c r="P167" s="137"/>
    </row>
    <row r="168" spans="1:16" ht="15.75" x14ac:dyDescent="0.25">
      <c r="A168" s="708"/>
      <c r="B168" s="689"/>
      <c r="C168" s="369" t="s">
        <v>15</v>
      </c>
      <c r="D168" s="137"/>
      <c r="E168" s="137"/>
      <c r="F168" s="162"/>
      <c r="G168" s="222"/>
      <c r="H168" s="137"/>
      <c r="I168" s="137"/>
      <c r="J168" s="163"/>
      <c r="K168" s="137"/>
      <c r="L168" s="137"/>
      <c r="M168" s="162"/>
      <c r="N168" s="222"/>
      <c r="O168" s="137"/>
      <c r="P168" s="137"/>
    </row>
    <row r="169" spans="1:16" ht="15.75" x14ac:dyDescent="0.25">
      <c r="A169" s="708"/>
      <c r="B169" s="690"/>
      <c r="C169" s="369" t="s">
        <v>16</v>
      </c>
      <c r="D169" s="137"/>
      <c r="E169" s="137"/>
      <c r="F169" s="162"/>
      <c r="G169" s="222"/>
      <c r="H169" s="137"/>
      <c r="I169" s="137"/>
      <c r="J169" s="163"/>
      <c r="K169" s="137"/>
      <c r="L169" s="137"/>
      <c r="M169" s="162"/>
      <c r="N169" s="222"/>
      <c r="O169" s="137"/>
      <c r="P169" s="137"/>
    </row>
    <row r="170" spans="1:16" ht="8.85" customHeight="1" x14ac:dyDescent="0.25">
      <c r="A170" s="708"/>
      <c r="B170" s="9"/>
      <c r="C170" s="9"/>
      <c r="D170" s="81"/>
      <c r="E170" s="81"/>
      <c r="F170" s="81"/>
      <c r="G170" s="81"/>
      <c r="H170" s="81"/>
      <c r="I170" s="81"/>
      <c r="J170" s="10"/>
      <c r="K170" s="9"/>
      <c r="L170" s="9"/>
      <c r="M170" s="9"/>
      <c r="N170" s="9"/>
      <c r="O170" s="9"/>
      <c r="P170" s="9"/>
    </row>
    <row r="171" spans="1:16" ht="24.75" x14ac:dyDescent="0.25">
      <c r="A171" s="708"/>
      <c r="B171" s="691" t="s">
        <v>192</v>
      </c>
      <c r="C171" s="691"/>
      <c r="D171" s="691"/>
      <c r="E171" s="691"/>
      <c r="F171" s="691"/>
      <c r="G171" s="510" t="s">
        <v>184</v>
      </c>
      <c r="H171" s="510" t="s">
        <v>185</v>
      </c>
      <c r="I171" s="510" t="s">
        <v>186</v>
      </c>
      <c r="J171" s="511"/>
      <c r="K171" s="680" t="s">
        <v>184</v>
      </c>
      <c r="L171" s="681"/>
      <c r="M171" s="680" t="s">
        <v>187</v>
      </c>
      <c r="N171" s="681"/>
      <c r="O171" s="680" t="s">
        <v>186</v>
      </c>
      <c r="P171" s="681"/>
    </row>
    <row r="172" spans="1:16" ht="64.5" customHeight="1" x14ac:dyDescent="0.25">
      <c r="A172" s="708"/>
      <c r="B172" s="691"/>
      <c r="C172" s="691"/>
      <c r="D172" s="691"/>
      <c r="E172" s="691"/>
      <c r="F172" s="691"/>
      <c r="G172" s="137"/>
      <c r="H172" s="137"/>
      <c r="I172" s="400"/>
      <c r="J172" s="401"/>
      <c r="K172" s="137"/>
      <c r="L172" s="400"/>
      <c r="M172" s="137"/>
      <c r="N172" s="400"/>
      <c r="O172" s="400"/>
      <c r="P172" s="400"/>
    </row>
    <row r="173" spans="1:16" ht="7.5" customHeight="1" x14ac:dyDescent="0.25">
      <c r="A173" s="5"/>
      <c r="B173" s="5"/>
      <c r="C173" s="8"/>
      <c r="D173" s="86"/>
      <c r="E173" s="86"/>
      <c r="F173" s="86"/>
      <c r="G173" s="86"/>
      <c r="H173" s="86"/>
      <c r="I173" s="86"/>
      <c r="J173" s="5"/>
      <c r="K173" s="5"/>
      <c r="L173" s="5"/>
      <c r="M173" s="5"/>
      <c r="N173" s="5"/>
      <c r="O173" s="5"/>
      <c r="P173" s="5"/>
    </row>
  </sheetData>
  <sheetProtection formatCells="0" formatColumns="0" formatRows="0" insertRows="0"/>
  <protectedRanges>
    <protectedRange sqref="D63:I67" name="Range5"/>
    <protectedRange sqref="D95:I99 K95:P99" name="Range3"/>
    <protectedRange sqref="K13:P17 K140:P140 K28:P32 K35:P38 K41:P43 K45:P59 K63:P67 K70:P73 K159:P163 K78:P92 K96:P99 K102:P105 K76:P76 K110:P124 K127:P131 K134:P137 K108:P108 K142:P156 K21:P25" name="Range2"/>
    <protectedRange sqref="G140:I140 D166:I169 D159:I163 G108:I108 D134:I137 D127:I131 G76:I76 D102:I105 D97:I99 D28:I32 D70:I73 D63:I66 G41:I43 D35:I38 G172:I172" name="Range1"/>
    <protectedRange sqref="K166:P169 K172:P172" name="Range4"/>
  </protectedRanges>
  <mergeCells count="242">
    <mergeCell ref="B84:I84"/>
    <mergeCell ref="K84:P84"/>
    <mergeCell ref="B117:I117"/>
    <mergeCell ref="K117:P117"/>
    <mergeCell ref="B143:I143"/>
    <mergeCell ref="K143:P143"/>
    <mergeCell ref="B144:I144"/>
    <mergeCell ref="K144:P144"/>
    <mergeCell ref="B145:I145"/>
    <mergeCell ref="K145:P145"/>
    <mergeCell ref="B115:I115"/>
    <mergeCell ref="B116:I116"/>
    <mergeCell ref="B123:I123"/>
    <mergeCell ref="B124:I124"/>
    <mergeCell ref="K85:P85"/>
    <mergeCell ref="K92:P92"/>
    <mergeCell ref="K112:P112"/>
    <mergeCell ref="K93:P93"/>
    <mergeCell ref="B110:I110"/>
    <mergeCell ref="B111:I111"/>
    <mergeCell ref="B112:I112"/>
    <mergeCell ref="B87:I87"/>
    <mergeCell ref="K87:P87"/>
    <mergeCell ref="B88:I88"/>
    <mergeCell ref="K50:P50"/>
    <mergeCell ref="I41:I43"/>
    <mergeCell ref="K41:L43"/>
    <mergeCell ref="N68:P68"/>
    <mergeCell ref="B81:I81"/>
    <mergeCell ref="K81:P81"/>
    <mergeCell ref="B82:I82"/>
    <mergeCell ref="K82:P82"/>
    <mergeCell ref="B57:I57"/>
    <mergeCell ref="K61:P61"/>
    <mergeCell ref="K75:L75"/>
    <mergeCell ref="M75:N75"/>
    <mergeCell ref="O75:P75"/>
    <mergeCell ref="O41:P43"/>
    <mergeCell ref="K76:L76"/>
    <mergeCell ref="M76:N76"/>
    <mergeCell ref="O76:P76"/>
    <mergeCell ref="B83:I83"/>
    <mergeCell ref="K83:P83"/>
    <mergeCell ref="G68:I68"/>
    <mergeCell ref="B46:I46"/>
    <mergeCell ref="K46:P46"/>
    <mergeCell ref="B47:I47"/>
    <mergeCell ref="K47:P47"/>
    <mergeCell ref="B48:I48"/>
    <mergeCell ref="K48:P48"/>
    <mergeCell ref="B49:I49"/>
    <mergeCell ref="K49:P49"/>
    <mergeCell ref="K51:P51"/>
    <mergeCell ref="B60:I60"/>
    <mergeCell ref="B58:I58"/>
    <mergeCell ref="B59:I59"/>
    <mergeCell ref="B61:I61"/>
    <mergeCell ref="B53:I53"/>
    <mergeCell ref="K53:P53"/>
    <mergeCell ref="B54:I54"/>
    <mergeCell ref="K54:P54"/>
    <mergeCell ref="B55:I55"/>
    <mergeCell ref="K55:P55"/>
    <mergeCell ref="B56:I56"/>
    <mergeCell ref="K56:P56"/>
    <mergeCell ref="D6:E6"/>
    <mergeCell ref="G33:I33"/>
    <mergeCell ref="N33:P33"/>
    <mergeCell ref="M41:N43"/>
    <mergeCell ref="D14:I14"/>
    <mergeCell ref="D16:I16"/>
    <mergeCell ref="D17:I17"/>
    <mergeCell ref="D15:I15"/>
    <mergeCell ref="D18:I18"/>
    <mergeCell ref="D8:E8"/>
    <mergeCell ref="D19:I19"/>
    <mergeCell ref="D26:I26"/>
    <mergeCell ref="K21:P21"/>
    <mergeCell ref="K22:P22"/>
    <mergeCell ref="D21:I21"/>
    <mergeCell ref="K23:P23"/>
    <mergeCell ref="K24:P24"/>
    <mergeCell ref="K25:P25"/>
    <mergeCell ref="K26:P26"/>
    <mergeCell ref="D23:I23"/>
    <mergeCell ref="D24:I24"/>
    <mergeCell ref="D25:I25"/>
    <mergeCell ref="A45:A76"/>
    <mergeCell ref="G41:G43"/>
    <mergeCell ref="H41:H43"/>
    <mergeCell ref="D28:I32"/>
    <mergeCell ref="K28:P32"/>
    <mergeCell ref="B13:C19"/>
    <mergeCell ref="B21:C27"/>
    <mergeCell ref="B63:C67"/>
    <mergeCell ref="D63:I67"/>
    <mergeCell ref="K63:P67"/>
    <mergeCell ref="B68:B73"/>
    <mergeCell ref="D68:F68"/>
    <mergeCell ref="K68:M68"/>
    <mergeCell ref="B45:I45"/>
    <mergeCell ref="B50:I50"/>
    <mergeCell ref="B51:I51"/>
    <mergeCell ref="K13:P13"/>
    <mergeCell ref="K14:P14"/>
    <mergeCell ref="D22:I22"/>
    <mergeCell ref="B52:I52"/>
    <mergeCell ref="K45:P45"/>
    <mergeCell ref="B75:F76"/>
    <mergeCell ref="K15:P15"/>
    <mergeCell ref="K60:P60"/>
    <mergeCell ref="A78:A108"/>
    <mergeCell ref="B95:C99"/>
    <mergeCell ref="D95:I99"/>
    <mergeCell ref="K95:P99"/>
    <mergeCell ref="B100:B105"/>
    <mergeCell ref="D100:F100"/>
    <mergeCell ref="K100:M100"/>
    <mergeCell ref="B107:F108"/>
    <mergeCell ref="K107:L107"/>
    <mergeCell ref="M107:N107"/>
    <mergeCell ref="O107:P107"/>
    <mergeCell ref="B78:I78"/>
    <mergeCell ref="B79:I79"/>
    <mergeCell ref="B80:I80"/>
    <mergeCell ref="B85:I85"/>
    <mergeCell ref="B91:I91"/>
    <mergeCell ref="B92:I92"/>
    <mergeCell ref="B93:I93"/>
    <mergeCell ref="K78:P78"/>
    <mergeCell ref="K79:P79"/>
    <mergeCell ref="K80:P80"/>
    <mergeCell ref="K91:P91"/>
    <mergeCell ref="B86:I86"/>
    <mergeCell ref="K86:P86"/>
    <mergeCell ref="A110:A140"/>
    <mergeCell ref="B127:C131"/>
    <mergeCell ref="D127:I131"/>
    <mergeCell ref="K127:P131"/>
    <mergeCell ref="B132:B137"/>
    <mergeCell ref="D132:F132"/>
    <mergeCell ref="K132:M132"/>
    <mergeCell ref="B139:F140"/>
    <mergeCell ref="K139:L139"/>
    <mergeCell ref="M139:N139"/>
    <mergeCell ref="O139:P139"/>
    <mergeCell ref="K110:P110"/>
    <mergeCell ref="K111:P111"/>
    <mergeCell ref="K115:P115"/>
    <mergeCell ref="B125:I125"/>
    <mergeCell ref="K116:P116"/>
    <mergeCell ref="K123:P123"/>
    <mergeCell ref="K124:P124"/>
    <mergeCell ref="K125:P125"/>
    <mergeCell ref="B113:I113"/>
    <mergeCell ref="K113:P113"/>
    <mergeCell ref="B114:I114"/>
    <mergeCell ref="K114:P114"/>
    <mergeCell ref="B120:I120"/>
    <mergeCell ref="A142:A172"/>
    <mergeCell ref="B159:C163"/>
    <mergeCell ref="D159:I163"/>
    <mergeCell ref="K159:P163"/>
    <mergeCell ref="B164:B169"/>
    <mergeCell ref="D164:F164"/>
    <mergeCell ref="K164:M164"/>
    <mergeCell ref="B171:F172"/>
    <mergeCell ref="K171:L171"/>
    <mergeCell ref="M171:N171"/>
    <mergeCell ref="O171:P171"/>
    <mergeCell ref="B142:I142"/>
    <mergeCell ref="B147:I147"/>
    <mergeCell ref="B148:I148"/>
    <mergeCell ref="K157:P157"/>
    <mergeCell ref="B154:I154"/>
    <mergeCell ref="B156:I156"/>
    <mergeCell ref="K142:P142"/>
    <mergeCell ref="K147:P147"/>
    <mergeCell ref="K148:P148"/>
    <mergeCell ref="K154:P154"/>
    <mergeCell ref="B155:I155"/>
    <mergeCell ref="K155:P155"/>
    <mergeCell ref="B146:I146"/>
    <mergeCell ref="A2:H2"/>
    <mergeCell ref="I2:P2"/>
    <mergeCell ref="K12:P12"/>
    <mergeCell ref="M40:N40"/>
    <mergeCell ref="O40:P40"/>
    <mergeCell ref="A10:P10"/>
    <mergeCell ref="B12:C12"/>
    <mergeCell ref="B28:C32"/>
    <mergeCell ref="B33:B38"/>
    <mergeCell ref="B40:F43"/>
    <mergeCell ref="K40:L40"/>
    <mergeCell ref="D33:F33"/>
    <mergeCell ref="K16:P16"/>
    <mergeCell ref="K17:P17"/>
    <mergeCell ref="K18:P18"/>
    <mergeCell ref="K19:P19"/>
    <mergeCell ref="K33:M33"/>
    <mergeCell ref="K11:P11"/>
    <mergeCell ref="D11:I11"/>
    <mergeCell ref="D12:I12"/>
    <mergeCell ref="D13:I13"/>
    <mergeCell ref="D4:E4"/>
    <mergeCell ref="D5:E5"/>
    <mergeCell ref="A13:A43"/>
    <mergeCell ref="K88:P88"/>
    <mergeCell ref="B89:I89"/>
    <mergeCell ref="K89:P89"/>
    <mergeCell ref="B90:I90"/>
    <mergeCell ref="K90:P90"/>
    <mergeCell ref="B118:I118"/>
    <mergeCell ref="K118:P118"/>
    <mergeCell ref="B119:I119"/>
    <mergeCell ref="K119:P119"/>
    <mergeCell ref="G100:I100"/>
    <mergeCell ref="N100:P100"/>
    <mergeCell ref="K108:L108"/>
    <mergeCell ref="M108:N108"/>
    <mergeCell ref="O108:P108"/>
    <mergeCell ref="K120:P120"/>
    <mergeCell ref="B121:I121"/>
    <mergeCell ref="K121:P121"/>
    <mergeCell ref="B122:I122"/>
    <mergeCell ref="K122:P122"/>
    <mergeCell ref="G164:I164"/>
    <mergeCell ref="N164:P164"/>
    <mergeCell ref="B149:I149"/>
    <mergeCell ref="K149:P149"/>
    <mergeCell ref="B150:I150"/>
    <mergeCell ref="K150:P150"/>
    <mergeCell ref="B151:I151"/>
    <mergeCell ref="K151:P151"/>
    <mergeCell ref="B152:I152"/>
    <mergeCell ref="K152:P152"/>
    <mergeCell ref="B153:I153"/>
    <mergeCell ref="K153:P153"/>
    <mergeCell ref="K156:P156"/>
    <mergeCell ref="K146:P146"/>
    <mergeCell ref="G132:I132"/>
    <mergeCell ref="N132:P132"/>
  </mergeCells>
  <phoneticPr fontId="18" type="noConversion"/>
  <conditionalFormatting sqref="D166">
    <cfRule type="containsText" dxfId="965" priority="261" operator="containsText" text="X">
      <formula>NOT(ISERROR(SEARCH("X",D166)))</formula>
    </cfRule>
  </conditionalFormatting>
  <conditionalFormatting sqref="E166">
    <cfRule type="containsText" dxfId="964" priority="260" operator="containsText" text="x">
      <formula>NOT(ISERROR(SEARCH("x",E166)))</formula>
    </cfRule>
  </conditionalFormatting>
  <conditionalFormatting sqref="F166">
    <cfRule type="containsText" dxfId="963" priority="259" operator="containsText" text="X">
      <formula>NOT(ISERROR(SEARCH("X",F166)))</formula>
    </cfRule>
  </conditionalFormatting>
  <conditionalFormatting sqref="G166">
    <cfRule type="containsText" dxfId="962" priority="258" operator="containsText" text="x">
      <formula>NOT(ISERROR(SEARCH("x",G166)))</formula>
    </cfRule>
  </conditionalFormatting>
  <conditionalFormatting sqref="H166">
    <cfRule type="containsText" dxfId="961" priority="257" operator="containsText" text="x">
      <formula>NOT(ISERROR(SEARCH("x",H166)))</formula>
    </cfRule>
  </conditionalFormatting>
  <conditionalFormatting sqref="I166">
    <cfRule type="containsText" dxfId="960" priority="256" operator="containsText" text="x">
      <formula>NOT(ISERROR(SEARCH("x",I166)))</formula>
    </cfRule>
  </conditionalFormatting>
  <conditionalFormatting sqref="D167:D169">
    <cfRule type="containsText" dxfId="959" priority="255" operator="containsText" text="X">
      <formula>NOT(ISERROR(SEARCH("X",D167)))</formula>
    </cfRule>
  </conditionalFormatting>
  <conditionalFormatting sqref="E167:E169">
    <cfRule type="containsText" dxfId="958" priority="254" operator="containsText" text="x">
      <formula>NOT(ISERROR(SEARCH("x",E167)))</formula>
    </cfRule>
  </conditionalFormatting>
  <conditionalFormatting sqref="F167:F169">
    <cfRule type="containsText" dxfId="957" priority="253" operator="containsText" text="X">
      <formula>NOT(ISERROR(SEARCH("X",F167)))</formula>
    </cfRule>
  </conditionalFormatting>
  <conditionalFormatting sqref="G167:G169">
    <cfRule type="containsText" dxfId="956" priority="252" operator="containsText" text="x">
      <formula>NOT(ISERROR(SEARCH("x",G167)))</formula>
    </cfRule>
  </conditionalFormatting>
  <conditionalFormatting sqref="H167:H169">
    <cfRule type="containsText" dxfId="955" priority="251" operator="containsText" text="x">
      <formula>NOT(ISERROR(SEARCH("x",H167)))</formula>
    </cfRule>
  </conditionalFormatting>
  <conditionalFormatting sqref="I167:I169">
    <cfRule type="containsText" dxfId="954" priority="250" operator="containsText" text="x">
      <formula>NOT(ISERROR(SEARCH("x",I167)))</formula>
    </cfRule>
  </conditionalFormatting>
  <conditionalFormatting sqref="N166">
    <cfRule type="containsText" dxfId="953" priority="246" operator="containsText" text="x">
      <formula>NOT(ISERROR(SEARCH("x",N166)))</formula>
    </cfRule>
  </conditionalFormatting>
  <conditionalFormatting sqref="O166">
    <cfRule type="containsText" dxfId="952" priority="245" operator="containsText" text="x">
      <formula>NOT(ISERROR(SEARCH("x",O166)))</formula>
    </cfRule>
  </conditionalFormatting>
  <conditionalFormatting sqref="P166">
    <cfRule type="containsText" dxfId="951" priority="244" operator="containsText" text="x">
      <formula>NOT(ISERROR(SEARCH("x",P166)))</formula>
    </cfRule>
  </conditionalFormatting>
  <conditionalFormatting sqref="N167:N169">
    <cfRule type="containsText" dxfId="950" priority="240" operator="containsText" text="x">
      <formula>NOT(ISERROR(SEARCH("x",N167)))</formula>
    </cfRule>
  </conditionalFormatting>
  <conditionalFormatting sqref="O167:O169">
    <cfRule type="containsText" dxfId="949" priority="239" operator="containsText" text="x">
      <formula>NOT(ISERROR(SEARCH("x",O167)))</formula>
    </cfRule>
  </conditionalFormatting>
  <conditionalFormatting sqref="P167:P169">
    <cfRule type="containsText" dxfId="948" priority="238" operator="containsText" text="x">
      <formula>NOT(ISERROR(SEARCH("x",P167)))</formula>
    </cfRule>
  </conditionalFormatting>
  <conditionalFormatting sqref="E134">
    <cfRule type="containsText" dxfId="947" priority="236" operator="containsText" text="x">
      <formula>NOT(ISERROR(SEARCH("x",E134)))</formula>
    </cfRule>
  </conditionalFormatting>
  <conditionalFormatting sqref="F134">
    <cfRule type="containsText" dxfId="946" priority="235" operator="containsText" text="X">
      <formula>NOT(ISERROR(SEARCH("X",F134)))</formula>
    </cfRule>
  </conditionalFormatting>
  <conditionalFormatting sqref="G134">
    <cfRule type="containsText" dxfId="945" priority="234" operator="containsText" text="x">
      <formula>NOT(ISERROR(SEARCH("x",G134)))</formula>
    </cfRule>
  </conditionalFormatting>
  <conditionalFormatting sqref="H134">
    <cfRule type="containsText" dxfId="944" priority="233" operator="containsText" text="x">
      <formula>NOT(ISERROR(SEARCH("x",H134)))</formula>
    </cfRule>
  </conditionalFormatting>
  <conditionalFormatting sqref="I134">
    <cfRule type="containsText" dxfId="943" priority="232" operator="containsText" text="x">
      <formula>NOT(ISERROR(SEARCH("x",I134)))</formula>
    </cfRule>
  </conditionalFormatting>
  <conditionalFormatting sqref="D135:D137">
    <cfRule type="containsText" dxfId="942" priority="231" operator="containsText" text="X">
      <formula>NOT(ISERROR(SEARCH("X",D135)))</formula>
    </cfRule>
  </conditionalFormatting>
  <conditionalFormatting sqref="E135:E137">
    <cfRule type="containsText" dxfId="941" priority="230" operator="containsText" text="x">
      <formula>NOT(ISERROR(SEARCH("x",E135)))</formula>
    </cfRule>
  </conditionalFormatting>
  <conditionalFormatting sqref="F135:F137">
    <cfRule type="containsText" dxfId="940" priority="229" operator="containsText" text="X">
      <formula>NOT(ISERROR(SEARCH("X",F135)))</formula>
    </cfRule>
  </conditionalFormatting>
  <conditionalFormatting sqref="G135:G137">
    <cfRule type="containsText" dxfId="939" priority="228" operator="containsText" text="x">
      <formula>NOT(ISERROR(SEARCH("x",G135)))</formula>
    </cfRule>
  </conditionalFormatting>
  <conditionalFormatting sqref="H135:H137">
    <cfRule type="containsText" dxfId="938" priority="227" operator="containsText" text="x">
      <formula>NOT(ISERROR(SEARCH("x",H135)))</formula>
    </cfRule>
  </conditionalFormatting>
  <conditionalFormatting sqref="I135:I137">
    <cfRule type="containsText" dxfId="937" priority="226" operator="containsText" text="x">
      <formula>NOT(ISERROR(SEARCH("x",I135)))</formula>
    </cfRule>
  </conditionalFormatting>
  <conditionalFormatting sqref="N134">
    <cfRule type="containsText" dxfId="936" priority="222" operator="containsText" text="x">
      <formula>NOT(ISERROR(SEARCH("x",N134)))</formula>
    </cfRule>
  </conditionalFormatting>
  <conditionalFormatting sqref="O134">
    <cfRule type="containsText" dxfId="935" priority="221" operator="containsText" text="x">
      <formula>NOT(ISERROR(SEARCH("x",O134)))</formula>
    </cfRule>
  </conditionalFormatting>
  <conditionalFormatting sqref="P134">
    <cfRule type="containsText" dxfId="934" priority="220" operator="containsText" text="x">
      <formula>NOT(ISERROR(SEARCH("x",P134)))</formula>
    </cfRule>
  </conditionalFormatting>
  <conditionalFormatting sqref="N135:N137">
    <cfRule type="containsText" dxfId="933" priority="216" operator="containsText" text="x">
      <formula>NOT(ISERROR(SEARCH("x",N135)))</formula>
    </cfRule>
  </conditionalFormatting>
  <conditionalFormatting sqref="O135:O137">
    <cfRule type="containsText" dxfId="932" priority="215" operator="containsText" text="x">
      <formula>NOT(ISERROR(SEARCH("x",O135)))</formula>
    </cfRule>
  </conditionalFormatting>
  <conditionalFormatting sqref="P135:P137">
    <cfRule type="containsText" dxfId="931" priority="214" operator="containsText" text="x">
      <formula>NOT(ISERROR(SEARCH("x",P135)))</formula>
    </cfRule>
  </conditionalFormatting>
  <conditionalFormatting sqref="D102">
    <cfRule type="containsText" dxfId="930" priority="213" operator="containsText" text="X">
      <formula>NOT(ISERROR(SEARCH("X",D102)))</formula>
    </cfRule>
  </conditionalFormatting>
  <conditionalFormatting sqref="E102">
    <cfRule type="containsText" dxfId="929" priority="212" operator="containsText" text="x">
      <formula>NOT(ISERROR(SEARCH("x",E102)))</formula>
    </cfRule>
  </conditionalFormatting>
  <conditionalFormatting sqref="F102">
    <cfRule type="containsText" dxfId="928" priority="211" operator="containsText" text="X">
      <formula>NOT(ISERROR(SEARCH("X",F102)))</formula>
    </cfRule>
  </conditionalFormatting>
  <conditionalFormatting sqref="G102">
    <cfRule type="containsText" dxfId="927" priority="210" operator="containsText" text="x">
      <formula>NOT(ISERROR(SEARCH("x",G102)))</formula>
    </cfRule>
  </conditionalFormatting>
  <conditionalFormatting sqref="H102">
    <cfRule type="containsText" dxfId="926" priority="209" operator="containsText" text="x">
      <formula>NOT(ISERROR(SEARCH("x",H102)))</formula>
    </cfRule>
  </conditionalFormatting>
  <conditionalFormatting sqref="I102">
    <cfRule type="containsText" dxfId="925" priority="208" operator="containsText" text="x">
      <formula>NOT(ISERROR(SEARCH("x",I102)))</formula>
    </cfRule>
  </conditionalFormatting>
  <conditionalFormatting sqref="D103:D105">
    <cfRule type="containsText" dxfId="924" priority="207" operator="containsText" text="X">
      <formula>NOT(ISERROR(SEARCH("X",D103)))</formula>
    </cfRule>
  </conditionalFormatting>
  <conditionalFormatting sqref="E103:E105">
    <cfRule type="containsText" dxfId="923" priority="206" operator="containsText" text="x">
      <formula>NOT(ISERROR(SEARCH("x",E103)))</formula>
    </cfRule>
  </conditionalFormatting>
  <conditionalFormatting sqref="F103:F105">
    <cfRule type="containsText" dxfId="922" priority="205" operator="containsText" text="X">
      <formula>NOT(ISERROR(SEARCH("X",F103)))</formula>
    </cfRule>
  </conditionalFormatting>
  <conditionalFormatting sqref="G103:G105">
    <cfRule type="containsText" dxfId="921" priority="204" operator="containsText" text="x">
      <formula>NOT(ISERROR(SEARCH("x",G103)))</formula>
    </cfRule>
  </conditionalFormatting>
  <conditionalFormatting sqref="H103:H105">
    <cfRule type="containsText" dxfId="920" priority="203" operator="containsText" text="x">
      <formula>NOT(ISERROR(SEARCH("x",H103)))</formula>
    </cfRule>
  </conditionalFormatting>
  <conditionalFormatting sqref="I103:I105">
    <cfRule type="containsText" dxfId="919" priority="202" operator="containsText" text="x">
      <formula>NOT(ISERROR(SEARCH("x",I103)))</formula>
    </cfRule>
  </conditionalFormatting>
  <conditionalFormatting sqref="N102">
    <cfRule type="containsText" dxfId="918" priority="198" operator="containsText" text="x">
      <formula>NOT(ISERROR(SEARCH("x",N102)))</formula>
    </cfRule>
  </conditionalFormatting>
  <conditionalFormatting sqref="O102">
    <cfRule type="containsText" dxfId="917" priority="197" operator="containsText" text="x">
      <formula>NOT(ISERROR(SEARCH("x",O102)))</formula>
    </cfRule>
  </conditionalFormatting>
  <conditionalFormatting sqref="P102">
    <cfRule type="containsText" dxfId="916" priority="196" operator="containsText" text="x">
      <formula>NOT(ISERROR(SEARCH("x",P102)))</formula>
    </cfRule>
  </conditionalFormatting>
  <conditionalFormatting sqref="N103:N105">
    <cfRule type="containsText" dxfId="915" priority="192" operator="containsText" text="x">
      <formula>NOT(ISERROR(SEARCH("x",N103)))</formula>
    </cfRule>
  </conditionalFormatting>
  <conditionalFormatting sqref="O103:O105">
    <cfRule type="containsText" dxfId="914" priority="191" operator="containsText" text="x">
      <formula>NOT(ISERROR(SEARCH("x",O103)))</formula>
    </cfRule>
  </conditionalFormatting>
  <conditionalFormatting sqref="P103:P105">
    <cfRule type="containsText" dxfId="913" priority="190" operator="containsText" text="x">
      <formula>NOT(ISERROR(SEARCH("x",P103)))</formula>
    </cfRule>
  </conditionalFormatting>
  <conditionalFormatting sqref="D70">
    <cfRule type="containsText" dxfId="912" priority="189" operator="containsText" text="X">
      <formula>NOT(ISERROR(SEARCH("X",D70)))</formula>
    </cfRule>
  </conditionalFormatting>
  <conditionalFormatting sqref="E70">
    <cfRule type="containsText" dxfId="911" priority="188" operator="containsText" text="x">
      <formula>NOT(ISERROR(SEARCH("x",E70)))</formula>
    </cfRule>
  </conditionalFormatting>
  <conditionalFormatting sqref="F70">
    <cfRule type="containsText" dxfId="910" priority="187" operator="containsText" text="X">
      <formula>NOT(ISERROR(SEARCH("X",F70)))</formula>
    </cfRule>
  </conditionalFormatting>
  <conditionalFormatting sqref="G70">
    <cfRule type="containsText" dxfId="909" priority="186" operator="containsText" text="x">
      <formula>NOT(ISERROR(SEARCH("x",G70)))</formula>
    </cfRule>
  </conditionalFormatting>
  <conditionalFormatting sqref="H70">
    <cfRule type="containsText" dxfId="908" priority="185" operator="containsText" text="x">
      <formula>NOT(ISERROR(SEARCH("x",H70)))</formula>
    </cfRule>
  </conditionalFormatting>
  <conditionalFormatting sqref="I70">
    <cfRule type="containsText" dxfId="907" priority="184" operator="containsText" text="x">
      <formula>NOT(ISERROR(SEARCH("x",I70)))</formula>
    </cfRule>
  </conditionalFormatting>
  <conditionalFormatting sqref="D71:D73">
    <cfRule type="containsText" dxfId="906" priority="183" operator="containsText" text="X">
      <formula>NOT(ISERROR(SEARCH("X",D71)))</formula>
    </cfRule>
  </conditionalFormatting>
  <conditionalFormatting sqref="E71:E73">
    <cfRule type="containsText" dxfId="905" priority="182" operator="containsText" text="x">
      <formula>NOT(ISERROR(SEARCH("x",E71)))</formula>
    </cfRule>
  </conditionalFormatting>
  <conditionalFormatting sqref="F71:F73">
    <cfRule type="containsText" dxfId="904" priority="181" operator="containsText" text="X">
      <formula>NOT(ISERROR(SEARCH("X",F71)))</formula>
    </cfRule>
  </conditionalFormatting>
  <conditionalFormatting sqref="G71:G73">
    <cfRule type="containsText" dxfId="903" priority="180" operator="containsText" text="x">
      <formula>NOT(ISERROR(SEARCH("x",G71)))</formula>
    </cfRule>
  </conditionalFormatting>
  <conditionalFormatting sqref="H71:H73">
    <cfRule type="containsText" dxfId="902" priority="179" operator="containsText" text="x">
      <formula>NOT(ISERROR(SEARCH("x",H71)))</formula>
    </cfRule>
  </conditionalFormatting>
  <conditionalFormatting sqref="I71:I73">
    <cfRule type="containsText" dxfId="901" priority="178" operator="containsText" text="x">
      <formula>NOT(ISERROR(SEARCH("x",I71)))</formula>
    </cfRule>
  </conditionalFormatting>
  <conditionalFormatting sqref="N70">
    <cfRule type="containsText" dxfId="900" priority="174" operator="containsText" text="x">
      <formula>NOT(ISERROR(SEARCH("x",N70)))</formula>
    </cfRule>
  </conditionalFormatting>
  <conditionalFormatting sqref="O70">
    <cfRule type="containsText" dxfId="899" priority="173" operator="containsText" text="x">
      <formula>NOT(ISERROR(SEARCH("x",O70)))</formula>
    </cfRule>
  </conditionalFormatting>
  <conditionalFormatting sqref="P70">
    <cfRule type="containsText" dxfId="898" priority="172" operator="containsText" text="x">
      <formula>NOT(ISERROR(SEARCH("x",P70)))</formula>
    </cfRule>
  </conditionalFormatting>
  <conditionalFormatting sqref="N71:N73">
    <cfRule type="containsText" dxfId="897" priority="168" operator="containsText" text="x">
      <formula>NOT(ISERROR(SEARCH("x",N71)))</formula>
    </cfRule>
  </conditionalFormatting>
  <conditionalFormatting sqref="O71:O73">
    <cfRule type="containsText" dxfId="896" priority="167" operator="containsText" text="x">
      <formula>NOT(ISERROR(SEARCH("x",O71)))</formula>
    </cfRule>
  </conditionalFormatting>
  <conditionalFormatting sqref="P71:P73">
    <cfRule type="containsText" dxfId="895" priority="166" operator="containsText" text="x">
      <formula>NOT(ISERROR(SEARCH("x",P71)))</formula>
    </cfRule>
  </conditionalFormatting>
  <conditionalFormatting sqref="D35:D38">
    <cfRule type="containsText" dxfId="894" priority="165" operator="containsText" text="X">
      <formula>NOT(ISERROR(SEARCH("X",D35)))</formula>
    </cfRule>
  </conditionalFormatting>
  <conditionalFormatting sqref="E35:F35">
    <cfRule type="containsText" dxfId="893" priority="164" operator="containsText" text="x">
      <formula>NOT(ISERROR(SEARCH("x",E35)))</formula>
    </cfRule>
  </conditionalFormatting>
  <conditionalFormatting sqref="G35">
    <cfRule type="containsText" dxfId="892" priority="162" operator="containsText" text="x">
      <formula>NOT(ISERROR(SEARCH("x",G35)))</formula>
    </cfRule>
  </conditionalFormatting>
  <conditionalFormatting sqref="H35">
    <cfRule type="containsText" dxfId="891" priority="161" operator="containsText" text="x">
      <formula>NOT(ISERROR(SEARCH("x",H35)))</formula>
    </cfRule>
  </conditionalFormatting>
  <conditionalFormatting sqref="I35">
    <cfRule type="containsText" dxfId="890" priority="160" operator="containsText" text="x">
      <formula>NOT(ISERROR(SEARCH("x",I35)))</formula>
    </cfRule>
  </conditionalFormatting>
  <conditionalFormatting sqref="E36:E38 F36">
    <cfRule type="containsText" dxfId="889" priority="158" operator="containsText" text="x">
      <formula>NOT(ISERROR(SEARCH("x",E36)))</formula>
    </cfRule>
  </conditionalFormatting>
  <conditionalFormatting sqref="F36:F38">
    <cfRule type="containsText" dxfId="888" priority="157" operator="containsText" text="X">
      <formula>NOT(ISERROR(SEARCH("X",F36)))</formula>
    </cfRule>
  </conditionalFormatting>
  <conditionalFormatting sqref="G36:G38">
    <cfRule type="containsText" dxfId="887" priority="156" operator="containsText" text="x">
      <formula>NOT(ISERROR(SEARCH("x",G36)))</formula>
    </cfRule>
  </conditionalFormatting>
  <conditionalFormatting sqref="H36:H38">
    <cfRule type="containsText" dxfId="886" priority="155" operator="containsText" text="x">
      <formula>NOT(ISERROR(SEARCH("x",H36)))</formula>
    </cfRule>
  </conditionalFormatting>
  <conditionalFormatting sqref="I36:I38">
    <cfRule type="containsText" dxfId="885" priority="154" operator="containsText" text="x">
      <formula>NOT(ISERROR(SEARCH("x",I36)))</formula>
    </cfRule>
  </conditionalFormatting>
  <conditionalFormatting sqref="M135:M137">
    <cfRule type="containsText" dxfId="884" priority="85" operator="containsText" text="X">
      <formula>NOT(ISERROR(SEARCH("X",M135)))</formula>
    </cfRule>
  </conditionalFormatting>
  <conditionalFormatting sqref="N35">
    <cfRule type="containsText" dxfId="883" priority="150" operator="containsText" text="x">
      <formula>NOT(ISERROR(SEARCH("x",N35)))</formula>
    </cfRule>
  </conditionalFormatting>
  <conditionalFormatting sqref="O35">
    <cfRule type="containsText" dxfId="882" priority="149" operator="containsText" text="x">
      <formula>NOT(ISERROR(SEARCH("x",O35)))</formula>
    </cfRule>
  </conditionalFormatting>
  <conditionalFormatting sqref="P35">
    <cfRule type="containsText" dxfId="881" priority="148" operator="containsText" text="x">
      <formula>NOT(ISERROR(SEARCH("x",P35)))</formula>
    </cfRule>
  </conditionalFormatting>
  <conditionalFormatting sqref="F167:F169">
    <cfRule type="containsText" dxfId="880" priority="79" operator="containsText" text="X">
      <formula>NOT(ISERROR(SEARCH("X",F167)))</formula>
    </cfRule>
  </conditionalFormatting>
  <conditionalFormatting sqref="N36:N38">
    <cfRule type="containsText" dxfId="879" priority="144" operator="containsText" text="x">
      <formula>NOT(ISERROR(SEARCH("x",N36)))</formula>
    </cfRule>
  </conditionalFormatting>
  <conditionalFormatting sqref="O36:O38">
    <cfRule type="containsText" dxfId="878" priority="143" operator="containsText" text="x">
      <formula>NOT(ISERROR(SEARCH("x",O36)))</formula>
    </cfRule>
  </conditionalFormatting>
  <conditionalFormatting sqref="P36:P38">
    <cfRule type="containsText" dxfId="877" priority="142" operator="containsText" text="x">
      <formula>NOT(ISERROR(SEARCH("x",P36)))</formula>
    </cfRule>
  </conditionalFormatting>
  <conditionalFormatting sqref="D13:I17 B110:I124">
    <cfRule type="containsText" dxfId="876" priority="141" operator="containsText" text="Score de Fiabilité nul-F0">
      <formula>NOT(ISERROR(SEARCH("Score de Fiabilité nul-F0",B13)))</formula>
    </cfRule>
  </conditionalFormatting>
  <conditionalFormatting sqref="B78:I92">
    <cfRule type="containsText" dxfId="875" priority="137" operator="containsText" text="Score de Fiabilité nul-F0">
      <formula>NOT(ISERROR(SEARCH("Score de Fiabilité nul-F0",B78)))</formula>
    </cfRule>
  </conditionalFormatting>
  <conditionalFormatting sqref="B45:I59">
    <cfRule type="containsText" dxfId="874" priority="136" operator="containsText" text="Score de Fiabilité nul-F0">
      <formula>NOT(ISERROR(SEARCH("Score de Fiabilité nul-F0",B45)))</formula>
    </cfRule>
  </conditionalFormatting>
  <conditionalFormatting sqref="B142:I156">
    <cfRule type="containsText" dxfId="873" priority="133" operator="containsText" text="Score de Fiabilité nul-F0">
      <formula>NOT(ISERROR(SEARCH("Score de Fiabilité nul-F0",B142)))</formula>
    </cfRule>
  </conditionalFormatting>
  <conditionalFormatting sqref="K34:M34">
    <cfRule type="containsText" dxfId="872" priority="119" operator="containsText" text="N/A">
      <formula>NOT(ISERROR(SEARCH("N/A",K34)))</formula>
    </cfRule>
    <cfRule type="cellIs" dxfId="871" priority="120" operator="equal">
      <formula>"Score de Fiabilité F3 exigé"</formula>
    </cfRule>
  </conditionalFormatting>
  <conditionalFormatting sqref="K35:K38">
    <cfRule type="containsText" dxfId="870" priority="118" operator="containsText" text="X">
      <formula>NOT(ISERROR(SEARCH("X",K35)))</formula>
    </cfRule>
  </conditionalFormatting>
  <conditionalFormatting sqref="L35">
    <cfRule type="containsText" dxfId="869" priority="117" operator="containsText" text="x">
      <formula>NOT(ISERROR(SEARCH("x",L35)))</formula>
    </cfRule>
  </conditionalFormatting>
  <conditionalFormatting sqref="L36:L38">
    <cfRule type="containsText" dxfId="868" priority="116" operator="containsText" text="x">
      <formula>NOT(ISERROR(SEARCH("x",L36)))</formula>
    </cfRule>
  </conditionalFormatting>
  <conditionalFormatting sqref="M36:M38">
    <cfRule type="containsText" dxfId="867" priority="115" operator="containsText" text="X">
      <formula>NOT(ISERROR(SEARCH("X",M36)))</formula>
    </cfRule>
  </conditionalFormatting>
  <conditionalFormatting sqref="K35:M38">
    <cfRule type="containsText" dxfId="866" priority="113" operator="containsText" text="N/A">
      <formula>NOT(ISERROR(SEARCH("N/A",K35)))</formula>
    </cfRule>
    <cfRule type="cellIs" dxfId="865" priority="114" operator="equal">
      <formula>"Score de Fiabilité F3 exigé"</formula>
    </cfRule>
  </conditionalFormatting>
  <conditionalFormatting sqref="M35">
    <cfRule type="containsText" dxfId="864" priority="51" operator="containsText" text="X">
      <formula>NOT(ISERROR(SEARCH("X",M35)))</formula>
    </cfRule>
  </conditionalFormatting>
  <conditionalFormatting sqref="D70:D73">
    <cfRule type="containsText" dxfId="863" priority="112" operator="containsText" text="X">
      <formula>NOT(ISERROR(SEARCH("X",D70)))</formula>
    </cfRule>
  </conditionalFormatting>
  <conditionalFormatting sqref="E70">
    <cfRule type="containsText" dxfId="862" priority="111" operator="containsText" text="x">
      <formula>NOT(ISERROR(SEARCH("x",E70)))</formula>
    </cfRule>
  </conditionalFormatting>
  <conditionalFormatting sqref="E71:E73">
    <cfRule type="containsText" dxfId="861" priority="110" operator="containsText" text="x">
      <formula>NOT(ISERROR(SEARCH("x",E71)))</formula>
    </cfRule>
  </conditionalFormatting>
  <conditionalFormatting sqref="F71:F73">
    <cfRule type="containsText" dxfId="860" priority="109" operator="containsText" text="X">
      <formula>NOT(ISERROR(SEARCH("X",F71)))</formula>
    </cfRule>
  </conditionalFormatting>
  <conditionalFormatting sqref="K70:K73">
    <cfRule type="containsText" dxfId="859" priority="108" operator="containsText" text="X">
      <formula>NOT(ISERROR(SEARCH("X",K70)))</formula>
    </cfRule>
  </conditionalFormatting>
  <conditionalFormatting sqref="L70">
    <cfRule type="containsText" dxfId="858" priority="107" operator="containsText" text="x">
      <formula>NOT(ISERROR(SEARCH("x",L70)))</formula>
    </cfRule>
  </conditionalFormatting>
  <conditionalFormatting sqref="L71:L73">
    <cfRule type="containsText" dxfId="857" priority="106" operator="containsText" text="x">
      <formula>NOT(ISERROR(SEARCH("x",L71)))</formula>
    </cfRule>
  </conditionalFormatting>
  <conditionalFormatting sqref="M71:M73">
    <cfRule type="containsText" dxfId="856" priority="105" operator="containsText" text="X">
      <formula>NOT(ISERROR(SEARCH("X",M71)))</formula>
    </cfRule>
  </conditionalFormatting>
  <conditionalFormatting sqref="K70:M73">
    <cfRule type="containsText" dxfId="855" priority="103" operator="containsText" text="N/A">
      <formula>NOT(ISERROR(SEARCH("N/A",K70)))</formula>
    </cfRule>
    <cfRule type="cellIs" dxfId="854" priority="104" operator="equal">
      <formula>"Score de Fiabilité F3 exigé"</formula>
    </cfRule>
  </conditionalFormatting>
  <conditionalFormatting sqref="D102:D105">
    <cfRule type="containsText" dxfId="853" priority="102" operator="containsText" text="X">
      <formula>NOT(ISERROR(SEARCH("X",D102)))</formula>
    </cfRule>
  </conditionalFormatting>
  <conditionalFormatting sqref="E102">
    <cfRule type="containsText" dxfId="852" priority="101" operator="containsText" text="x">
      <formula>NOT(ISERROR(SEARCH("x",E102)))</formula>
    </cfRule>
  </conditionalFormatting>
  <conditionalFormatting sqref="E103:E105">
    <cfRule type="containsText" dxfId="851" priority="100" operator="containsText" text="x">
      <formula>NOT(ISERROR(SEARCH("x",E103)))</formula>
    </cfRule>
  </conditionalFormatting>
  <conditionalFormatting sqref="F103:F105">
    <cfRule type="containsText" dxfId="850" priority="99" operator="containsText" text="X">
      <formula>NOT(ISERROR(SEARCH("X",F103)))</formula>
    </cfRule>
  </conditionalFormatting>
  <conditionalFormatting sqref="K102:K105">
    <cfRule type="containsText" dxfId="849" priority="98" operator="containsText" text="X">
      <formula>NOT(ISERROR(SEARCH("X",K102)))</formula>
    </cfRule>
  </conditionalFormatting>
  <conditionalFormatting sqref="L102">
    <cfRule type="containsText" dxfId="848" priority="97" operator="containsText" text="x">
      <formula>NOT(ISERROR(SEARCH("x",L102)))</formula>
    </cfRule>
  </conditionalFormatting>
  <conditionalFormatting sqref="L103:L105">
    <cfRule type="containsText" dxfId="847" priority="96" operator="containsText" text="x">
      <formula>NOT(ISERROR(SEARCH("x",L103)))</formula>
    </cfRule>
  </conditionalFormatting>
  <conditionalFormatting sqref="M103:M105">
    <cfRule type="containsText" dxfId="846" priority="95" operator="containsText" text="X">
      <formula>NOT(ISERROR(SEARCH("X",M103)))</formula>
    </cfRule>
  </conditionalFormatting>
  <conditionalFormatting sqref="K103:M105 K102:L102">
    <cfRule type="containsText" dxfId="845" priority="93" operator="containsText" text="N/A">
      <formula>NOT(ISERROR(SEARCH("N/A",K102)))</formula>
    </cfRule>
    <cfRule type="cellIs" dxfId="844" priority="94" operator="equal">
      <formula>"Score de Fiabilité F3 exigé"</formula>
    </cfRule>
  </conditionalFormatting>
  <conditionalFormatting sqref="D134:D137">
    <cfRule type="containsText" dxfId="843" priority="92" operator="containsText" text="X">
      <formula>NOT(ISERROR(SEARCH("X",D134)))</formula>
    </cfRule>
  </conditionalFormatting>
  <conditionalFormatting sqref="E134">
    <cfRule type="containsText" dxfId="842" priority="91" operator="containsText" text="x">
      <formula>NOT(ISERROR(SEARCH("x",E134)))</formula>
    </cfRule>
  </conditionalFormatting>
  <conditionalFormatting sqref="E135:E137">
    <cfRule type="containsText" dxfId="841" priority="90" operator="containsText" text="x">
      <formula>NOT(ISERROR(SEARCH("x",E135)))</formula>
    </cfRule>
  </conditionalFormatting>
  <conditionalFormatting sqref="F135:F137">
    <cfRule type="containsText" dxfId="840" priority="89" operator="containsText" text="X">
      <formula>NOT(ISERROR(SEARCH("X",F135)))</formula>
    </cfRule>
  </conditionalFormatting>
  <conditionalFormatting sqref="K134:K137">
    <cfRule type="containsText" dxfId="839" priority="88" operator="containsText" text="X">
      <formula>NOT(ISERROR(SEARCH("X",K134)))</formula>
    </cfRule>
  </conditionalFormatting>
  <conditionalFormatting sqref="L134">
    <cfRule type="containsText" dxfId="838" priority="87" operator="containsText" text="x">
      <formula>NOT(ISERROR(SEARCH("x",L134)))</formula>
    </cfRule>
  </conditionalFormatting>
  <conditionalFormatting sqref="L135:L137">
    <cfRule type="containsText" dxfId="837" priority="86" operator="containsText" text="x">
      <formula>NOT(ISERROR(SEARCH("x",L135)))</formula>
    </cfRule>
  </conditionalFormatting>
  <conditionalFormatting sqref="K135:M137 K134:L134">
    <cfRule type="containsText" dxfId="836" priority="83" operator="containsText" text="N/A">
      <formula>NOT(ISERROR(SEARCH("N/A",K134)))</formula>
    </cfRule>
    <cfRule type="cellIs" dxfId="835" priority="84" operator="equal">
      <formula>"Score de Fiabilité F3 exigé"</formula>
    </cfRule>
  </conditionalFormatting>
  <conditionalFormatting sqref="D166:D169">
    <cfRule type="containsText" dxfId="834" priority="82" operator="containsText" text="X">
      <formula>NOT(ISERROR(SEARCH("X",D166)))</formula>
    </cfRule>
  </conditionalFormatting>
  <conditionalFormatting sqref="E166">
    <cfRule type="containsText" dxfId="833" priority="81" operator="containsText" text="x">
      <formula>NOT(ISERROR(SEARCH("x",E166)))</formula>
    </cfRule>
  </conditionalFormatting>
  <conditionalFormatting sqref="E167:E169">
    <cfRule type="containsText" dxfId="832" priority="80" operator="containsText" text="x">
      <formula>NOT(ISERROR(SEARCH("x",E167)))</formula>
    </cfRule>
  </conditionalFormatting>
  <conditionalFormatting sqref="K166:K169">
    <cfRule type="containsText" dxfId="831" priority="78" operator="containsText" text="X">
      <formula>NOT(ISERROR(SEARCH("X",K166)))</formula>
    </cfRule>
  </conditionalFormatting>
  <conditionalFormatting sqref="L166">
    <cfRule type="containsText" dxfId="830" priority="77" operator="containsText" text="x">
      <formula>NOT(ISERROR(SEARCH("x",L166)))</formula>
    </cfRule>
  </conditionalFormatting>
  <conditionalFormatting sqref="L167:L169">
    <cfRule type="containsText" dxfId="829" priority="76" operator="containsText" text="x">
      <formula>NOT(ISERROR(SEARCH("x",L167)))</formula>
    </cfRule>
  </conditionalFormatting>
  <conditionalFormatting sqref="M167:M169">
    <cfRule type="containsText" dxfId="828" priority="75" operator="containsText" text="X">
      <formula>NOT(ISERROR(SEARCH("X",M167)))</formula>
    </cfRule>
  </conditionalFormatting>
  <conditionalFormatting sqref="K166:M169">
    <cfRule type="containsText" dxfId="827" priority="73" operator="containsText" text="N/A">
      <formula>NOT(ISERROR(SEARCH("N/A",K166)))</formula>
    </cfRule>
    <cfRule type="cellIs" dxfId="826" priority="74" operator="equal">
      <formula>"Score de Fiabilité F3 exigé"</formula>
    </cfRule>
  </conditionalFormatting>
  <conditionalFormatting sqref="F166">
    <cfRule type="containsText" dxfId="825" priority="72" operator="containsText" text="X">
      <formula>NOT(ISERROR(SEARCH("X",F166)))</formula>
    </cfRule>
  </conditionalFormatting>
  <conditionalFormatting sqref="F166">
    <cfRule type="containsText" dxfId="824" priority="71" operator="containsText" text="X">
      <formula>NOT(ISERROR(SEARCH("X",F166)))</formula>
    </cfRule>
  </conditionalFormatting>
  <conditionalFormatting sqref="M166">
    <cfRule type="containsText" dxfId="823" priority="70" operator="containsText" text="X">
      <formula>NOT(ISERROR(SEARCH("X",M166)))</formula>
    </cfRule>
  </conditionalFormatting>
  <conditionalFormatting sqref="F134">
    <cfRule type="containsText" dxfId="822" priority="69" operator="containsText" text="X">
      <formula>NOT(ISERROR(SEARCH("X",F134)))</formula>
    </cfRule>
  </conditionalFormatting>
  <conditionalFormatting sqref="F134">
    <cfRule type="containsText" dxfId="821" priority="68" operator="containsText" text="X">
      <formula>NOT(ISERROR(SEARCH("X",F134)))</formula>
    </cfRule>
  </conditionalFormatting>
  <conditionalFormatting sqref="M134">
    <cfRule type="containsText" dxfId="820" priority="67" operator="containsText" text="X">
      <formula>NOT(ISERROR(SEARCH("X",M134)))</formula>
    </cfRule>
  </conditionalFormatting>
  <conditionalFormatting sqref="M134">
    <cfRule type="containsText" dxfId="819" priority="65" operator="containsText" text="N/A">
      <formula>NOT(ISERROR(SEARCH("N/A",M134)))</formula>
    </cfRule>
    <cfRule type="cellIs" dxfId="818" priority="66" operator="equal">
      <formula>"Score de Fiabilité F3 exigé"</formula>
    </cfRule>
  </conditionalFormatting>
  <conditionalFormatting sqref="M134">
    <cfRule type="containsText" dxfId="817" priority="64" operator="containsText" text="X">
      <formula>NOT(ISERROR(SEARCH("X",M134)))</formula>
    </cfRule>
  </conditionalFormatting>
  <conditionalFormatting sqref="M134">
    <cfRule type="containsText" dxfId="816" priority="63" operator="containsText" text="X">
      <formula>NOT(ISERROR(SEARCH("X",M134)))</formula>
    </cfRule>
  </conditionalFormatting>
  <conditionalFormatting sqref="F102">
    <cfRule type="containsText" dxfId="815" priority="62" operator="containsText" text="X">
      <formula>NOT(ISERROR(SEARCH("X",F102)))</formula>
    </cfRule>
  </conditionalFormatting>
  <conditionalFormatting sqref="F102">
    <cfRule type="containsText" dxfId="814" priority="61" operator="containsText" text="X">
      <formula>NOT(ISERROR(SEARCH("X",F102)))</formula>
    </cfRule>
  </conditionalFormatting>
  <conditionalFormatting sqref="M102">
    <cfRule type="containsText" dxfId="813" priority="60" operator="containsText" text="X">
      <formula>NOT(ISERROR(SEARCH("X",M102)))</formula>
    </cfRule>
  </conditionalFormatting>
  <conditionalFormatting sqref="M102">
    <cfRule type="containsText" dxfId="812" priority="58" operator="containsText" text="N/A">
      <formula>NOT(ISERROR(SEARCH("N/A",M102)))</formula>
    </cfRule>
    <cfRule type="cellIs" dxfId="811" priority="59" operator="equal">
      <formula>"Score de Fiabilité F3 exigé"</formula>
    </cfRule>
  </conditionalFormatting>
  <conditionalFormatting sqref="M102">
    <cfRule type="containsText" dxfId="810" priority="57" operator="containsText" text="X">
      <formula>NOT(ISERROR(SEARCH("X",M102)))</formula>
    </cfRule>
  </conditionalFormatting>
  <conditionalFormatting sqref="M102">
    <cfRule type="containsText" dxfId="809" priority="56" operator="containsText" text="X">
      <formula>NOT(ISERROR(SEARCH("X",M102)))</formula>
    </cfRule>
  </conditionalFormatting>
  <conditionalFormatting sqref="F70">
    <cfRule type="containsText" dxfId="808" priority="55" operator="containsText" text="X">
      <formula>NOT(ISERROR(SEARCH("X",F70)))</formula>
    </cfRule>
  </conditionalFormatting>
  <conditionalFormatting sqref="F70">
    <cfRule type="containsText" dxfId="807" priority="54" operator="containsText" text="X">
      <formula>NOT(ISERROR(SEARCH("X",F70)))</formula>
    </cfRule>
  </conditionalFormatting>
  <conditionalFormatting sqref="M70">
    <cfRule type="containsText" dxfId="806" priority="53" operator="containsText" text="X">
      <formula>NOT(ISERROR(SEARCH("X",M70)))</formula>
    </cfRule>
  </conditionalFormatting>
  <conditionalFormatting sqref="F35">
    <cfRule type="containsText" dxfId="805" priority="52" operator="containsText" text="X">
      <formula>NOT(ISERROR(SEARCH("X",F35)))</formula>
    </cfRule>
  </conditionalFormatting>
  <conditionalFormatting sqref="B12:C12">
    <cfRule type="containsText" dxfId="804" priority="38" operator="containsText" text="N/A">
      <formula>NOT(ISERROR(SEARCH("N/A",B12)))</formula>
    </cfRule>
  </conditionalFormatting>
  <conditionalFormatting sqref="D12:I12">
    <cfRule type="containsText" dxfId="803" priority="36" operator="containsText" text="N/A">
      <formula>NOT(ISERROR(SEARCH("N/A",D12)))</formula>
    </cfRule>
    <cfRule type="cellIs" dxfId="802" priority="37" operator="equal">
      <formula>"Score de Fiabilité F3 exigé"</formula>
    </cfRule>
  </conditionalFormatting>
  <conditionalFormatting sqref="D11:I11">
    <cfRule type="containsText" dxfId="801" priority="34" operator="containsText" text="N/A">
      <formula>NOT(ISERROR(SEARCH("N/A",D11)))</formula>
    </cfRule>
    <cfRule type="cellIs" dxfId="800" priority="35" operator="equal">
      <formula>"Score de Fiabilité F3 exigé"</formula>
    </cfRule>
  </conditionalFormatting>
  <conditionalFormatting sqref="B13:C19">
    <cfRule type="containsText" dxfId="799" priority="32" operator="containsText" text="N/A">
      <formula>NOT(ISERROR(SEARCH("N/A",B13)))</formula>
    </cfRule>
    <cfRule type="cellIs" dxfId="798" priority="33" operator="equal">
      <formula>"Score de Fiabilité F3 exigé"</formula>
    </cfRule>
  </conditionalFormatting>
  <conditionalFormatting sqref="C35:C38">
    <cfRule type="containsText" dxfId="797" priority="30" operator="containsText" text="N/A">
      <formula>NOT(ISERROR(SEARCH("N/A",C35)))</formula>
    </cfRule>
    <cfRule type="cellIs" dxfId="796" priority="31" operator="equal">
      <formula>"Score de Fiabilité F3 exigé"</formula>
    </cfRule>
  </conditionalFormatting>
  <conditionalFormatting sqref="G40:I40">
    <cfRule type="containsText" dxfId="795" priority="28" operator="containsText" text="N/A">
      <formula>NOT(ISERROR(SEARCH("N/A",G40)))</formula>
    </cfRule>
    <cfRule type="cellIs" dxfId="794" priority="29" operator="equal">
      <formula>"Score de Fiabilité F3 exigé"</formula>
    </cfRule>
  </conditionalFormatting>
  <conditionalFormatting sqref="K69:M69">
    <cfRule type="containsText" dxfId="793" priority="26" operator="containsText" text="N/A">
      <formula>NOT(ISERROR(SEARCH("N/A",K69)))</formula>
    </cfRule>
    <cfRule type="cellIs" dxfId="792" priority="27" operator="equal">
      <formula>"Score de Fiabilité F3 exigé"</formula>
    </cfRule>
  </conditionalFormatting>
  <conditionalFormatting sqref="G75:I75">
    <cfRule type="containsText" dxfId="791" priority="24" operator="containsText" text="N/A">
      <formula>NOT(ISERROR(SEARCH("N/A",G75)))</formula>
    </cfRule>
    <cfRule type="cellIs" dxfId="790" priority="25" operator="equal">
      <formula>"Score de Fiabilité F3 exigé"</formula>
    </cfRule>
  </conditionalFormatting>
  <conditionalFormatting sqref="C70:C73">
    <cfRule type="containsText" dxfId="789" priority="20" operator="containsText" text="N/A">
      <formula>NOT(ISERROR(SEARCH("N/A",C70)))</formula>
    </cfRule>
    <cfRule type="cellIs" dxfId="788" priority="21" operator="equal">
      <formula>"Score de Fiabilité F3 exigé"</formula>
    </cfRule>
  </conditionalFormatting>
  <conditionalFormatting sqref="C102:C105">
    <cfRule type="containsText" dxfId="787" priority="18" operator="containsText" text="N/A">
      <formula>NOT(ISERROR(SEARCH("N/A",C102)))</formula>
    </cfRule>
    <cfRule type="cellIs" dxfId="786" priority="19" operator="equal">
      <formula>"Score de Fiabilité F3 exigé"</formula>
    </cfRule>
  </conditionalFormatting>
  <conditionalFormatting sqref="K101:M101">
    <cfRule type="containsText" dxfId="785" priority="16" operator="containsText" text="N/A">
      <formula>NOT(ISERROR(SEARCH("N/A",K101)))</formula>
    </cfRule>
    <cfRule type="cellIs" dxfId="784" priority="17" operator="equal">
      <formula>"Score de Fiabilité F3 exigé"</formula>
    </cfRule>
  </conditionalFormatting>
  <conditionalFormatting sqref="G107:I107">
    <cfRule type="containsText" dxfId="783" priority="14" operator="containsText" text="N/A">
      <formula>NOT(ISERROR(SEARCH("N/A",G107)))</formula>
    </cfRule>
    <cfRule type="cellIs" dxfId="782" priority="15" operator="equal">
      <formula>"Score de Fiabilité F3 exigé"</formula>
    </cfRule>
  </conditionalFormatting>
  <conditionalFormatting sqref="K133:M133">
    <cfRule type="containsText" dxfId="781" priority="12" operator="containsText" text="N/A">
      <formula>NOT(ISERROR(SEARCH("N/A",K133)))</formula>
    </cfRule>
    <cfRule type="cellIs" dxfId="780" priority="13" operator="equal">
      <formula>"Score de Fiabilité F3 exigé"</formula>
    </cfRule>
  </conditionalFormatting>
  <conditionalFormatting sqref="C134:C137">
    <cfRule type="containsText" dxfId="779" priority="10" operator="containsText" text="N/A">
      <formula>NOT(ISERROR(SEARCH("N/A",C134)))</formula>
    </cfRule>
    <cfRule type="cellIs" dxfId="778" priority="11" operator="equal">
      <formula>"Score de Fiabilité F3 exigé"</formula>
    </cfRule>
  </conditionalFormatting>
  <conditionalFormatting sqref="G139:I139">
    <cfRule type="containsText" dxfId="777" priority="8" operator="containsText" text="N/A">
      <formula>NOT(ISERROR(SEARCH("N/A",G139)))</formula>
    </cfRule>
    <cfRule type="cellIs" dxfId="776" priority="9" operator="equal">
      <formula>"Score de Fiabilité F3 exigé"</formula>
    </cfRule>
  </conditionalFormatting>
  <conditionalFormatting sqref="K165:M165">
    <cfRule type="containsText" dxfId="775" priority="6" operator="containsText" text="N/A">
      <formula>NOT(ISERROR(SEARCH("N/A",K165)))</formula>
    </cfRule>
    <cfRule type="cellIs" dxfId="774" priority="7" operator="equal">
      <formula>"Score de Fiabilité F3 exigé"</formula>
    </cfRule>
  </conditionalFormatting>
  <conditionalFormatting sqref="C166:C169">
    <cfRule type="containsText" dxfId="773" priority="4" operator="containsText" text="N/A">
      <formula>NOT(ISERROR(SEARCH("N/A",C166)))</formula>
    </cfRule>
    <cfRule type="cellIs" dxfId="772" priority="5" operator="equal">
      <formula>"Score de Fiabilité F3 exigé"</formula>
    </cfRule>
  </conditionalFormatting>
  <conditionalFormatting sqref="G171:I171">
    <cfRule type="containsText" dxfId="771" priority="2" operator="containsText" text="N/A">
      <formula>NOT(ISERROR(SEARCH("N/A",G171)))</formula>
    </cfRule>
    <cfRule type="cellIs" dxfId="770" priority="3" operator="equal">
      <formula>"Score de Fiabilité F3 exigé"</formula>
    </cfRule>
  </conditionalFormatting>
  <conditionalFormatting sqref="D21:I25">
    <cfRule type="containsText" dxfId="769" priority="1" operator="containsText" text="Score de Fiabilité nul-F0">
      <formula>NOT(ISERROR(SEARCH("Score de Fiabilité nul-F0",D21)))</formula>
    </cfRule>
  </conditionalFormatting>
  <pageMargins left="0.7" right="0.7" top="0.75" bottom="0.75" header="0.3" footer="0.3"/>
  <pageSetup paperSize="9" scale="52"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W85"/>
  <sheetViews>
    <sheetView topLeftCell="A22" zoomScale="80" zoomScaleNormal="80" zoomScaleSheetLayoutView="120" workbookViewId="0">
      <selection activeCell="H34" sqref="H34"/>
    </sheetView>
  </sheetViews>
  <sheetFormatPr defaultColWidth="10.5703125" defaultRowHeight="15" x14ac:dyDescent="0.25"/>
  <cols>
    <col min="1" max="1" width="10.5703125" style="17"/>
    <col min="2" max="2" width="11.85546875" style="17" customWidth="1"/>
    <col min="3" max="3" width="9" style="17" customWidth="1"/>
    <col min="4" max="4" width="13" style="17" customWidth="1"/>
    <col min="5" max="6" width="9" style="17" customWidth="1"/>
    <col min="7" max="7" width="7" style="17" customWidth="1"/>
    <col min="8" max="8" width="8.28515625" style="17" customWidth="1"/>
    <col min="9" max="9" width="7.42578125" style="17" customWidth="1"/>
    <col min="10" max="10" width="10.5703125" style="17" customWidth="1"/>
    <col min="11" max="11" width="9.42578125" style="17" customWidth="1"/>
    <col min="12" max="12" width="9.5703125" style="17" customWidth="1"/>
    <col min="13" max="13" width="11" style="17" customWidth="1"/>
    <col min="14" max="14" width="10.140625" style="17" customWidth="1"/>
    <col min="15" max="15" width="12" style="17" customWidth="1"/>
    <col min="16" max="18" width="8" style="17" customWidth="1"/>
    <col min="19" max="16384" width="10.5703125" style="17"/>
  </cols>
  <sheetData>
    <row r="2" spans="1:23" ht="23.25" x14ac:dyDescent="0.25">
      <c r="A2" s="676" t="s">
        <v>193</v>
      </c>
      <c r="B2" s="676"/>
      <c r="C2" s="676"/>
      <c r="D2" s="676"/>
      <c r="E2" s="676"/>
      <c r="F2" s="676"/>
      <c r="G2" s="676"/>
      <c r="H2" s="676"/>
      <c r="I2" s="676"/>
      <c r="J2" s="676"/>
      <c r="K2" s="676"/>
      <c r="L2" s="244"/>
      <c r="M2" s="65"/>
      <c r="N2" s="65"/>
      <c r="O2" s="65"/>
      <c r="P2" s="65"/>
      <c r="Q2" s="65"/>
      <c r="R2" s="65"/>
      <c r="S2" s="65"/>
      <c r="T2" s="65"/>
      <c r="U2" s="65"/>
      <c r="V2" s="263"/>
      <c r="W2" s="263"/>
    </row>
    <row r="3" spans="1:23" x14ac:dyDescent="0.25">
      <c r="A3" s="65"/>
      <c r="B3" s="65"/>
      <c r="C3" s="65"/>
      <c r="D3" s="65"/>
      <c r="E3" s="65"/>
      <c r="F3" s="65"/>
      <c r="G3" s="65"/>
      <c r="H3" s="65"/>
      <c r="I3" s="65"/>
      <c r="J3" s="65"/>
      <c r="K3" s="65"/>
      <c r="L3" s="65"/>
      <c r="M3" s="65"/>
      <c r="N3" s="65"/>
      <c r="O3" s="65"/>
      <c r="P3" s="65"/>
      <c r="Q3" s="65"/>
      <c r="R3" s="65"/>
      <c r="S3" s="65"/>
      <c r="T3" s="65"/>
      <c r="U3" s="65"/>
      <c r="V3" s="263"/>
      <c r="W3" s="263"/>
    </row>
    <row r="4" spans="1:23" ht="15.75" x14ac:dyDescent="0.25">
      <c r="A4" s="479" t="s">
        <v>66</v>
      </c>
      <c r="B4" s="66"/>
      <c r="C4" s="281">
        <f>'Table 1-B  Context Analysis'!$C$5</f>
        <v>0</v>
      </c>
      <c r="D4" s="65"/>
      <c r="E4" s="65"/>
      <c r="F4" s="65"/>
      <c r="G4" s="67"/>
      <c r="H4" s="67"/>
      <c r="I4" s="67"/>
      <c r="J4" s="67"/>
      <c r="K4" s="67"/>
      <c r="L4" s="67"/>
      <c r="M4" s="65"/>
      <c r="N4" s="65"/>
      <c r="O4" s="65"/>
      <c r="P4" s="65"/>
      <c r="Q4" s="65"/>
      <c r="R4" s="65"/>
      <c r="S4" s="65"/>
      <c r="T4" s="65"/>
      <c r="U4" s="65"/>
      <c r="V4" s="263"/>
      <c r="W4" s="263"/>
    </row>
    <row r="5" spans="1:23" ht="15.75" x14ac:dyDescent="0.25">
      <c r="A5" s="480" t="s">
        <v>74</v>
      </c>
      <c r="B5" s="66"/>
      <c r="C5" s="174">
        <f>'Table 1-B  Context Analysis'!$C$6</f>
        <v>0</v>
      </c>
      <c r="D5" s="65"/>
      <c r="E5" s="65"/>
      <c r="F5" s="65"/>
      <c r="G5" s="67"/>
      <c r="H5" s="67"/>
      <c r="I5" s="67"/>
      <c r="J5" s="67"/>
      <c r="K5" s="67"/>
      <c r="L5" s="67"/>
      <c r="M5" s="65"/>
      <c r="N5" s="65"/>
      <c r="O5" s="65"/>
      <c r="P5" s="65"/>
      <c r="Q5" s="65"/>
      <c r="R5" s="65"/>
      <c r="S5" s="65"/>
      <c r="T5" s="65"/>
      <c r="U5" s="65"/>
      <c r="V5" s="263"/>
      <c r="W5" s="263"/>
    </row>
    <row r="6" spans="1:23" ht="15.75" x14ac:dyDescent="0.25">
      <c r="A6" s="480" t="s">
        <v>75</v>
      </c>
      <c r="B6" s="66"/>
      <c r="C6" s="174">
        <f>'Table 1-B  Context Analysis'!$C$7</f>
        <v>0</v>
      </c>
      <c r="D6" s="65"/>
      <c r="E6" s="65"/>
      <c r="F6" s="65"/>
      <c r="G6" s="67"/>
      <c r="H6" s="67"/>
      <c r="I6" s="67"/>
      <c r="J6" s="67"/>
      <c r="K6" s="67"/>
      <c r="L6" s="67"/>
      <c r="M6" s="65"/>
      <c r="N6" s="65"/>
      <c r="O6" s="65"/>
      <c r="P6" s="65"/>
      <c r="Q6" s="65"/>
      <c r="R6" s="65"/>
      <c r="S6" s="65"/>
      <c r="T6" s="65"/>
      <c r="U6" s="65"/>
      <c r="V6" s="263"/>
      <c r="W6" s="263"/>
    </row>
    <row r="7" spans="1:23" x14ac:dyDescent="0.25">
      <c r="A7" s="512" t="s">
        <v>117</v>
      </c>
      <c r="B7" s="66"/>
      <c r="C7" s="804" t="str">
        <f>'Table 1-B  Context Analysis'!$C$9</f>
        <v/>
      </c>
      <c r="D7" s="804"/>
      <c r="E7" s="235"/>
      <c r="F7" s="235"/>
      <c r="G7" s="67"/>
      <c r="H7" s="67"/>
      <c r="I7" s="67"/>
      <c r="J7" s="67"/>
      <c r="K7" s="67"/>
      <c r="L7" s="67"/>
      <c r="M7" s="65"/>
      <c r="N7" s="65"/>
      <c r="O7" s="65"/>
      <c r="P7" s="65"/>
      <c r="Q7" s="65"/>
      <c r="R7" s="65"/>
      <c r="S7" s="65"/>
      <c r="T7" s="65"/>
      <c r="U7" s="65"/>
      <c r="V7" s="263"/>
      <c r="W7" s="263"/>
    </row>
    <row r="8" spans="1:23" ht="23.85" customHeight="1" x14ac:dyDescent="0.25">
      <c r="A8" s="65"/>
      <c r="B8" s="65"/>
      <c r="C8" s="65"/>
      <c r="D8" s="65"/>
      <c r="E8" s="65"/>
      <c r="F8" s="65"/>
      <c r="G8" s="65"/>
      <c r="H8" s="65"/>
      <c r="I8" s="65"/>
      <c r="J8" s="65"/>
      <c r="K8" s="65"/>
      <c r="L8" s="65"/>
      <c r="M8" s="65"/>
      <c r="N8" s="65"/>
      <c r="O8" s="65"/>
      <c r="P8" s="65"/>
      <c r="Q8" s="65"/>
      <c r="R8" s="65"/>
      <c r="S8" s="65"/>
      <c r="T8" s="65"/>
      <c r="U8" s="65"/>
      <c r="V8" s="263"/>
      <c r="W8" s="263"/>
    </row>
    <row r="9" spans="1:23" customFormat="1" ht="23.25" customHeight="1" thickBot="1" x14ac:dyDescent="0.3">
      <c r="A9" s="805" t="s">
        <v>194</v>
      </c>
      <c r="B9" s="806"/>
      <c r="C9" s="806"/>
      <c r="D9" s="806"/>
      <c r="E9" s="806"/>
      <c r="F9" s="806"/>
      <c r="G9" s="806"/>
      <c r="H9" s="806"/>
      <c r="I9" s="806"/>
      <c r="J9" s="806"/>
      <c r="K9" s="806"/>
      <c r="L9" s="806"/>
      <c r="M9" s="806"/>
      <c r="N9" s="806"/>
      <c r="O9" s="806"/>
      <c r="P9" s="806"/>
      <c r="Q9" s="806"/>
      <c r="R9" s="806"/>
      <c r="S9" s="806"/>
      <c r="T9" s="806"/>
      <c r="U9" s="806"/>
      <c r="V9" s="806"/>
      <c r="W9" s="806"/>
    </row>
    <row r="10" spans="1:23" ht="21.75" customHeight="1" thickBot="1" x14ac:dyDescent="0.3">
      <c r="A10" s="30" t="s">
        <v>133</v>
      </c>
      <c r="B10" s="793" t="s">
        <v>195</v>
      </c>
      <c r="C10" s="794"/>
      <c r="D10" s="794"/>
      <c r="E10" s="794"/>
      <c r="F10" s="794"/>
      <c r="G10" s="794"/>
      <c r="H10" s="794"/>
      <c r="I10" s="794"/>
      <c r="J10" s="794"/>
      <c r="K10" s="794"/>
      <c r="L10" s="248"/>
      <c r="M10" s="790" t="s">
        <v>196</v>
      </c>
      <c r="N10" s="791"/>
      <c r="O10" s="791"/>
      <c r="P10" s="791"/>
      <c r="Q10" s="791"/>
      <c r="R10" s="791"/>
      <c r="S10" s="791"/>
      <c r="T10" s="791"/>
      <c r="U10" s="791"/>
      <c r="V10" s="791"/>
      <c r="W10" s="792"/>
    </row>
    <row r="11" spans="1:23" ht="14.85" customHeight="1" thickBot="1" x14ac:dyDescent="0.3">
      <c r="A11" s="864" t="s">
        <v>22</v>
      </c>
      <c r="B11" s="807" t="s">
        <v>197</v>
      </c>
      <c r="C11" s="808"/>
      <c r="D11" s="808"/>
      <c r="E11" s="808"/>
      <c r="F11" s="808"/>
      <c r="G11" s="808"/>
      <c r="H11" s="808"/>
      <c r="I11" s="808"/>
      <c r="J11" s="808"/>
      <c r="K11" s="808"/>
      <c r="L11" s="808"/>
      <c r="M11" s="824" t="s">
        <v>197</v>
      </c>
      <c r="N11" s="825"/>
      <c r="O11" s="825"/>
      <c r="P11" s="825"/>
      <c r="Q11" s="825"/>
      <c r="R11" s="825"/>
      <c r="S11" s="825"/>
      <c r="T11" s="825"/>
      <c r="U11" s="825"/>
      <c r="V11" s="825"/>
      <c r="W11" s="826"/>
    </row>
    <row r="12" spans="1:23" ht="15.75" customHeight="1" thickBot="1" x14ac:dyDescent="0.3">
      <c r="A12" s="864"/>
      <c r="B12" s="829" t="s">
        <v>207</v>
      </c>
      <c r="C12" s="816"/>
      <c r="D12" s="816"/>
      <c r="E12" s="816"/>
      <c r="F12" s="816"/>
      <c r="G12" s="830"/>
      <c r="H12" s="830"/>
      <c r="I12" s="830"/>
      <c r="J12" s="830"/>
      <c r="K12" s="830"/>
      <c r="L12" s="830"/>
      <c r="M12" s="249"/>
      <c r="N12" s="250"/>
      <c r="O12" s="250"/>
      <c r="P12" s="250"/>
      <c r="Q12" s="409"/>
      <c r="R12" s="250"/>
      <c r="S12" s="250"/>
      <c r="T12" s="250"/>
      <c r="U12" s="250"/>
      <c r="V12" s="250"/>
      <c r="W12" s="251"/>
    </row>
    <row r="13" spans="1:23" ht="30.75" customHeight="1" thickBot="1" x14ac:dyDescent="0.3">
      <c r="A13" s="864"/>
      <c r="B13" s="270" t="s">
        <v>23</v>
      </c>
      <c r="C13" s="292" t="s">
        <v>24</v>
      </c>
      <c r="D13" s="930"/>
      <c r="E13" s="930"/>
      <c r="F13" s="930"/>
      <c r="G13" s="308" t="s">
        <v>17</v>
      </c>
      <c r="H13" s="227" t="s">
        <v>18</v>
      </c>
      <c r="I13" s="169" t="s">
        <v>19</v>
      </c>
      <c r="J13" s="170" t="s">
        <v>20</v>
      </c>
      <c r="K13" s="171" t="s">
        <v>21</v>
      </c>
      <c r="L13" s="477" t="s">
        <v>198</v>
      </c>
      <c r="M13" s="831"/>
      <c r="N13" s="832"/>
      <c r="O13" s="832"/>
      <c r="P13" s="832"/>
      <c r="Q13" s="832"/>
      <c r="R13" s="832"/>
      <c r="S13" s="832"/>
      <c r="T13" s="832"/>
      <c r="U13" s="832"/>
      <c r="V13" s="832"/>
      <c r="W13" s="833"/>
    </row>
    <row r="14" spans="1:23" ht="23.25" customHeight="1" thickBot="1" x14ac:dyDescent="0.3">
      <c r="A14" s="864"/>
      <c r="B14" s="513" t="s">
        <v>153</v>
      </c>
      <c r="C14" s="802" t="s">
        <v>214</v>
      </c>
      <c r="D14" s="803"/>
      <c r="E14" s="291"/>
      <c r="F14" s="418"/>
      <c r="G14" s="611" t="b">
        <f>IF('Table 1-B  Context Analysis'!$K$7="Yes",IF('Table 1-D-Outcomes'!N15="","N/A",'Table 1-D-Outcomes'!N15), IF('Table 1-B  Context Analysis'!$K$7="No",IF('Table 1-B  Context Analysis'!$K$8="Yes",IF('Table 1-D-Outcomes'!$V14="F3",IF('Table 1-D-Outcomes'!N15="","N/A",'Table 1-D-Outcomes'!N15),IF('Table 1-D-Outcomes'!N15="","N/A"," F3 exigé")),IF('Table 1-D-Outcomes'!$V$14="F0",IF('Table 1-D-Outcomes'!N15="","N/A","F0"),IF('Table 1-D-Outcomes'!$V$14="F1",IF('Table 1-D-Outcomes'!N15="","N/A","F1"),IF('Table 1-D-Outcomes'!$V$14="Erreur","fiabilité",IF('Table 1-D-Outcomes'!N15="","N/A",'Table 1-D-Outcomes'!N15)))))))</f>
        <v>0</v>
      </c>
      <c r="H14" s="612"/>
      <c r="I14" s="471" t="b">
        <f>IF('Table 1-B  Context Analysis'!$K$7="Yes",IF('Table 1-D-Outcomes'!P15="","N/A",'Table 1-D-Outcomes'!P15), IF('Table 1-B  Context Analysis'!$K$7="No",IF('Table 1-B  Context Analysis'!$K$8="Yes",IF('Table 1-D-Outcomes'!$V14="F3",IF('Table 1-D-Outcomes'!P15="","N/A",'Table 1-D-Outcomes'!P15),IF('Table 1-D-Outcomes'!P15="","N/A"," F3 exigé")),IF('Table 1-D-Outcomes'!V14="F0","F0",IF('Table 1-D-Outcomes'!V14="F1","F1",IF('Table 1-D-Outcomes'!$V$14="Erreur","fiabilité",IF('Table 1-D-Outcomes'!P15="","N/A",'Table 1-D-Outcomes'!P15)))))))</f>
        <v>0</v>
      </c>
      <c r="J14" s="611" t="b">
        <f>IF('Table 1-B  Context Analysis'!$K$7="Yes",IF('Table 1-D-Outcomes'!Q15="","N/A",'Table 1-D-Outcomes'!Q15), IF('Table 1-B  Context Analysis'!$K$7="No",IF('Table 1-B  Context Analysis'!$K$8="Yes",IF('Table 1-D-Outcomes'!$V14="F3",IF('Table 1-D-Outcomes'!Q15="","N/A",'Table 1-D-Outcomes'!Q15),IF('Table 1-D-Outcomes'!Q15="","N/A"," F3 exigé")),IF('Table 1-D-Outcomes'!V14="F0","F0",IF('Table 1-D-Outcomes'!V14="F1","F1",IF('Table 1-D-Outcomes'!$V$14="Erreur","fiabilité",IF('Table 1-D-Outcomes'!Q15="","N/A",'Table 1-D-Outcomes'!Q15)))))))</f>
        <v>0</v>
      </c>
      <c r="K14" s="612"/>
      <c r="L14" s="411"/>
      <c r="M14" s="834"/>
      <c r="N14" s="835"/>
      <c r="O14" s="835"/>
      <c r="P14" s="835"/>
      <c r="Q14" s="835"/>
      <c r="R14" s="835"/>
      <c r="S14" s="835"/>
      <c r="T14" s="835"/>
      <c r="U14" s="835"/>
      <c r="V14" s="835"/>
      <c r="W14" s="836"/>
    </row>
    <row r="15" spans="1:23" ht="15" customHeight="1" thickBot="1" x14ac:dyDescent="0.3">
      <c r="A15" s="864"/>
      <c r="B15" s="514" t="s">
        <v>3</v>
      </c>
      <c r="C15" s="940"/>
      <c r="D15" s="941"/>
      <c r="E15" s="941"/>
      <c r="F15" s="942"/>
      <c r="G15" s="471" t="b">
        <f>IF('Table 1-B  Context Analysis'!$K$7="Ye",IF('Table 1-D-Outcomes'!N17="","N/A",'Table 1-D-Outcomes'!N17), IF('Table 1-B  Context Analysis'!$K$7="No",IF('Table 1-B  Context Analysis'!$K$8="Yes",IF('Table 1-D-Outcomes'!$V17="F3",IF('Table 1-D-Outcomes'!N17="","N/A",'Table 1-D-Outcomes'!N17),IF('Table 1-D-Outcomes'!N17="","N/A"," F3 exigé")),IF('Table 1-D-Outcomes'!$V17="F0",IF('Table 1-D-Outcomes'!N17="","N/A","F0"),IF('Table 1-D-Outcomes'!$V17="F1",IF('Table 1-D-Outcomes'!N17="","N/A","F1"),IF('Table 1-D-Outcomes'!$V$17="Erreur","fiabilité",IF('Table 1-D-Outcomes'!N17="","N/A",'Table 1-D-Outcomes'!N17)))))))</f>
        <v>0</v>
      </c>
      <c r="H15" s="471" t="b">
        <f>IF('Table 1-B  Context Analysis'!$K$7="Yes",IF('Table 1-D-Outcomes'!O17="","N/A",'Table 1-D-Outcomes'!O17), IF('Table 1-B  Context Analysis'!$K$7="No",IF('Table 1-B  Context Analysis'!$K$8="Oui",IF('Table 1-D-Outcomes'!$V17="F3",IF('Table 1-D-Outcomes'!O17="","N/A",'Table 1-D-Outcomes'!O17),IF('Table 1-D-Outcomes'!O17="","N/A"," F3 exigé")),IF('Table 1-D-Outcomes'!$V17="F0",IF('Table 1-D-Outcomes'!O17="","N/A","F0"),IF('Table 1-D-Outcomes'!$V17="F1",IF('Table 1-D-Outcomes'!O17="","N/A","F1"),IF('Table 1-D-Outcomes'!$V$17="Erreur","fiabilité",IF('Table 1-D-Outcomes'!O17="","N/A",'Table 1-D-Outcomes'!O17)))))))</f>
        <v>0</v>
      </c>
      <c r="I15" s="471" t="b">
        <f>IF('Table 1-B  Context Analysis'!$K$7="Yes",IF('Table 1-D-Outcomes'!P17="","N/A",'Table 1-D-Outcomes'!P17), IF('Table 1-B  Context Analysis'!$K$7="No",IF('Table 1-B  Context Analysis'!$K$8="Yes",IF('Table 1-D-Outcomes'!$V17="F3",IF('Table 1-D-Outcomes'!P17="","N/A",'Table 1-D-Outcomes'!P17),IF('Table 1-D-Outcomes'!P17="","N/A"," F3 exigé")),IF('Table 1-D-Outcomes'!$V17="F0",IF('Table 1-D-Outcomes'!P17="","N/A","F0"),IF('Table 1-D-Outcomes'!$V17="F1",IF('Table 1-D-Outcomes'!P17="","N/A","F1"),IF('Table 1-D-Outcomes'!$V$17="Erreur","fiabilité",IF('Table 1-D-Outcomes'!P17="","N/A",'Table 1-D-Outcomes'!P17)))))))</f>
        <v>0</v>
      </c>
      <c r="J15" s="471" t="b">
        <f>IF('Table 1-B  Context Analysis'!$K$7="Yes",IF('Table 1-D-Outcomes'!Q17="","N/A",'Table 1-D-Outcomes'!Q17), IF('Table 1-B  Context Analysis'!$K$7="No",IF('Table 1-B  Context Analysis'!$K$8="Yes",IF('Table 1-D-Outcomes'!$V17="F3",IF('Table 1-D-Outcomes'!Q17="","N/A",'Table 1-D-Outcomes'!Q17),IF('Table 1-D-Outcomes'!Q17="","N/A"," F3 exigé")),IF('Table 1-D-Outcomes'!$V17="F0",IF('Table 1-D-Outcomes'!Q17="","N/A","F0"),IF('Table 1-D-Outcomes'!$V17="F1",IF('Table 1-D-Outcomes'!Q17="","N/A","F1"),IF('Table 1-D-Outcomes'!$V$17="Erreur","fiabilité",IF('Table 1-D-Outcomes'!Q17="","N/A",'Table 1-D-Outcomes'!Q17)))))))</f>
        <v>0</v>
      </c>
      <c r="K15" s="471" t="b">
        <f>IF('Table 1-B  Context Analysis'!$K$7="Yes",IF('Table 1-D-Outcomes'!R17="","N/A",'Table 1-D-Outcomes'!R17), IF('Table 1-B  Context Analysis'!$K$7="No",IF('Table 1-B  Context Analysis'!$K$8="Yes",IF('Table 1-D-Outcomes'!$V17="F3",IF('Table 1-D-Outcomes'!R17="","N/A",'Table 1-D-Outcomes'!R17),IF('Table 1-D-Outcomes'!R17="","N/A"," F3 exigé")),IF('Table 1-D-Outcomes'!$V17="F0",IF('Table 1-D-Outcomes'!R17="","N/A","F0"),IF('Table 1-D-Outcomes'!$V17="F1",IF('Table 1-D-Outcomes'!R17="","N/A","F1"),IF('Table 1-D-Outcomes'!$V$17="Erreur","fiabilité",IF('Table 1-D-Outcomes'!R17="","N/A",'Table 1-D-Outcomes'!R17)))))))</f>
        <v>0</v>
      </c>
      <c r="L15" s="411"/>
      <c r="M15" s="834"/>
      <c r="N15" s="835"/>
      <c r="O15" s="835"/>
      <c r="P15" s="835"/>
      <c r="Q15" s="835"/>
      <c r="R15" s="835"/>
      <c r="S15" s="835"/>
      <c r="T15" s="835"/>
      <c r="U15" s="835"/>
      <c r="V15" s="835"/>
      <c r="W15" s="836"/>
    </row>
    <row r="16" spans="1:23" ht="15.75" customHeight="1" thickBot="1" x14ac:dyDescent="0.3">
      <c r="A16" s="864"/>
      <c r="B16" s="514" t="s">
        <v>4</v>
      </c>
      <c r="C16" s="943"/>
      <c r="D16" s="925"/>
      <c r="E16" s="925"/>
      <c r="F16" s="926"/>
      <c r="G16" s="471" t="b">
        <f>IF('Table 1-B  Context Analysis'!$K$7="Yes",IF('Table 1-D-Outcomes'!N18="","N/A",'Table 1-D-Outcomes'!N18), IF('Table 1-B  Context Analysis'!$K$7="No",IF('Table 1-B  Context Analysis'!$K$8="Yes",IF('Table 1-D-Outcomes'!$V18="F3",IF('Table 1-D-Outcomes'!N18="","N/A",'Table 1-D-Outcomes'!N18),IF('Table 1-D-Outcomes'!N18="","N/A"," F3 exigé")),IF('Table 1-D-Outcomes'!$V18="F0",IF('Table 1-D-Outcomes'!N18="","N/A","F0"),IF('Table 1-D-Outcomes'!$V18="F1",IF('Table 1-D-Outcomes'!N18="","N/A","F1"),IF('Table 1-D-Outcomes'!$V$18="Erreur","fiabilité",IF('Table 1-D-Outcomes'!N18="","N/A",'Table 1-D-Outcomes'!N18)))))))</f>
        <v>0</v>
      </c>
      <c r="H16" s="471" t="b">
        <f>IF('Table 1-B  Context Analysis'!$K$7="Yes",IF('Table 1-D-Outcomes'!O18="","N/A",'Table 1-D-Outcomes'!O18), IF('Table 1-B  Context Analysis'!$K$7="No",IF('Table 1-B  Context Analysis'!$K$8="Yes",IF('Table 1-D-Outcomes'!$V18="F3",IF('Table 1-D-Outcomes'!O18="","N/A",'Table 1-D-Outcomes'!O18),IF('Table 1-D-Outcomes'!O18="","N/A"," F3 exigé")),IF('Table 1-D-Outcomes'!$V18="F0",IF('Table 1-D-Outcomes'!O18="","N/A","F0"),IF('Table 1-D-Outcomes'!$V18="F1",IF('Table 1-D-Outcomes'!O18="","N/A","F1"),IF('Table 1-D-Outcomes'!$V$18="Erreur","fiabilité",IF('Table 1-D-Outcomes'!O18="","N/A",'Table 1-D-Outcomes'!O18)))))))</f>
        <v>0</v>
      </c>
      <c r="I16" s="471" t="b">
        <f>IF('Table 1-B  Context Analysis'!$K$7="Yes",IF('Table 1-D-Outcomes'!P18="","N/A",'Table 1-D-Outcomes'!P18), IF('Table 1-B  Context Analysis'!$K$7="No",IF('Table 1-B  Context Analysis'!$K$8="Yes",IF('Table 1-D-Outcomes'!$V18="F3",IF('Table 1-D-Outcomes'!P18="","N/A",'Table 1-D-Outcomes'!P18),IF('Table 1-D-Outcomes'!P18="","N/A"," F3 exigé")),IF('Table 1-D-Outcomes'!$V18="F0",IF('Table 1-D-Outcomes'!P18="","N/A","F0"),IF('Table 1-D-Outcomes'!$V18="F1",IF('Table 1-D-Outcomes'!P18="","N/A","F1"),IF('Table 1-D-Outcomes'!$V$18="Erreur","fiabilité",IF('Table 1-D-Outcomes'!P18="","N/A",'Table 1-D-Outcomes'!P18)))))))</f>
        <v>0</v>
      </c>
      <c r="J16" s="471" t="b">
        <f>IF('Table 1-B  Context Analysis'!$K$7="Yes",IF('Table 1-D-Outcomes'!Q18="","N/A",'Table 1-D-Outcomes'!Q18), IF('Table 1-B  Context Analysis'!$K$7="No",IF('Table 1-B  Context Analysis'!$K$8="Yes",IF('Table 1-D-Outcomes'!$V18="F3",IF('Table 1-D-Outcomes'!Q18="","N/A",'Table 1-D-Outcomes'!Q18),IF('Table 1-D-Outcomes'!Q18="","N/A"," F3 exigé")),IF('Table 1-D-Outcomes'!$V18="F0",IF('Table 1-D-Outcomes'!Q18="","N/A","F0"),IF('Table 1-D-Outcomes'!$V18="F1",IF('Table 1-D-Outcomes'!Q18="","N/A","F1"),IF('Table 1-D-Outcomes'!$V$18="Erreur","fiabilité",IF('Table 1-D-Outcomes'!Q18="","N/A",'Table 1-D-Outcomes'!Q18)))))))</f>
        <v>0</v>
      </c>
      <c r="K16" s="471" t="b">
        <f>IF('Table 1-B  Context Analysis'!$K$7="Yes",IF('Table 1-D-Outcomes'!R18="","N/A",'Table 1-D-Outcomes'!R18), IF('Table 1-B  Context Analysis'!$K$7="No",IF('Table 1-B  Context Analysis'!$K$8="Yes",IF('Table 1-D-Outcomes'!$V18="F3",IF('Table 1-D-Outcomes'!R18="","N/A",'Table 1-D-Outcomes'!R18),IF('Table 1-D-Outcomes'!R18="","N/A"," F3 exigé")),IF('Table 1-D-Outcomes'!$V18="F0",IF('Table 1-D-Outcomes'!R18="","N/A","F0"),IF('Table 1-D-Outcomes'!$V18="F1",IF('Table 1-D-Outcomes'!R18="","N/A","F1"),IF('Table 1-D-Outcomes'!$V$18="Erreur","fiabilité",IF('Table 1-D-Outcomes'!R18="","N/A",'Table 1-D-Outcomes'!R18)))))))</f>
        <v>0</v>
      </c>
      <c r="L16" s="411"/>
      <c r="M16" s="837"/>
      <c r="N16" s="838"/>
      <c r="O16" s="838"/>
      <c r="P16" s="838"/>
      <c r="Q16" s="838"/>
      <c r="R16" s="838"/>
      <c r="S16" s="838"/>
      <c r="T16" s="838"/>
      <c r="U16" s="838"/>
      <c r="V16" s="838"/>
      <c r="W16" s="839"/>
    </row>
    <row r="17" spans="1:23" ht="21.75" customHeight="1" thickBot="1" x14ac:dyDescent="0.3">
      <c r="A17" s="864"/>
      <c r="B17" s="514" t="s">
        <v>5</v>
      </c>
      <c r="C17" s="944"/>
      <c r="D17" s="945"/>
      <c r="E17" s="945"/>
      <c r="F17" s="946"/>
      <c r="G17" s="471" t="b">
        <f>IF('Table 1-B  Context Analysis'!$K$7="Yes",IF('Table 1-D-Outcomes'!N19="","N/A",'Table 1-D-Outcomes'!N19), IF('Table 1-B  Context Analysis'!$K$7="No",IF('Table 1-B  Context Analysis'!$K$8="Yes",IF('Table 1-D-Outcomes'!$V19="F3",IF('Table 1-D-Outcomes'!N19="","N/A",'Table 1-D-Outcomes'!N19),IF('Table 1-D-Outcomes'!N19="","N/A"," F3 exigé")),IF('Table 1-D-Outcomes'!$V19="F0",IF('Table 1-D-Outcomes'!N19="","N/A","F0"),IF('Table 1-D-Outcomes'!$V19="F1",IF('Table 1-D-Outcomes'!N19="","N/A","F1"),IF('Table 1-D-Outcomes'!$V$19="Erreur","fiabilité",IF('Table 1-D-Outcomes'!N19="","N/A",'Table 1-D-Outcomes'!N19)))))))</f>
        <v>0</v>
      </c>
      <c r="H17" s="471" t="b">
        <f>IF('Table 1-B  Context Analysis'!$K$7="Yes",IF('Table 1-D-Outcomes'!O19="","N/A",'Table 1-D-Outcomes'!O19), IF('Table 1-B  Context Analysis'!$K$7="No",IF('Table 1-B  Context Analysis'!$K$8="Yes",IF('Table 1-D-Outcomes'!$V19="F3",IF('Table 1-D-Outcomes'!O19="","N/A",'Table 1-D-Outcomes'!O19),IF('Table 1-D-Outcomes'!O19="","N/A"," F3 exigé")),IF('Table 1-D-Outcomes'!$V19="F0",IF('Table 1-D-Outcomes'!O19="","N/A","F0"),IF('Table 1-D-Outcomes'!$V19="F1",IF('Table 1-D-Outcomes'!O19="","N/A","F1"),IF('Table 1-D-Outcomes'!$V$19="Erreur","fiabilité",IF('Table 1-D-Outcomes'!O19="","N/A",'Table 1-D-Outcomes'!O19)))))))</f>
        <v>0</v>
      </c>
      <c r="I17" s="611" t="b">
        <f>IF('Table 1-B  Context Analysis'!$K$7="Yes",IF('Table 1-D-Outcomes'!P19="","N/A",'Table 1-D-Outcomes'!P19), IF('Table 1-B  Context Analysis'!$K$7="No",IF('Table 1-B  Context Analysis'!$K$8="Yes",IF('Table 1-D-Outcomes'!$V19="F3",IF('Table 1-D-Outcomes'!P19="","N/A",'Table 1-D-Outcomes'!P19),IF('Table 1-D-Outcomes'!P19="","N/A"," F3 exigé")),IF('Table 1-D-Outcomes'!$V19="F0",IF('Table 1-D-Outcomes'!P19="","N/A","F0"),IF('Table 1-D-Outcomes'!$V19="F1",IF('Table 1-D-Outcomes'!P19="","N/A","F1"),IF('Table 1-D-Outcomes'!$V$17="Erreur","fiabilité",IF('Table 1-D-Outcomes'!P19="","N/A",'Table 1-D-Outcomes'!P19)))))))</f>
        <v>0</v>
      </c>
      <c r="J17" s="840"/>
      <c r="K17" s="612"/>
      <c r="L17" s="257"/>
      <c r="M17" s="317"/>
      <c r="N17" s="800" t="s">
        <v>213</v>
      </c>
      <c r="O17" s="801"/>
      <c r="P17" s="801"/>
      <c r="Q17" s="419"/>
      <c r="R17" s="308" t="s">
        <v>17</v>
      </c>
      <c r="S17" s="227" t="s">
        <v>18</v>
      </c>
      <c r="T17" s="169" t="s">
        <v>19</v>
      </c>
      <c r="U17" s="170" t="s">
        <v>20</v>
      </c>
      <c r="V17" s="431" t="s">
        <v>21</v>
      </c>
      <c r="W17" s="477" t="s">
        <v>198</v>
      </c>
    </row>
    <row r="18" spans="1:23" ht="15.75" customHeight="1" thickBot="1" x14ac:dyDescent="0.3">
      <c r="A18" s="864"/>
      <c r="B18" s="18" t="s">
        <v>6</v>
      </c>
      <c r="C18" s="172" t="s">
        <v>164</v>
      </c>
      <c r="D18" s="172" t="s">
        <v>165</v>
      </c>
      <c r="E18" s="177" t="s">
        <v>166</v>
      </c>
      <c r="F18" s="236" t="s">
        <v>225</v>
      </c>
      <c r="G18" s="355"/>
      <c r="H18" s="356"/>
      <c r="I18" s="356"/>
      <c r="J18" s="356"/>
      <c r="K18" s="357"/>
      <c r="L18" s="257"/>
      <c r="M18" s="309" t="s">
        <v>6</v>
      </c>
      <c r="N18" s="172" t="s">
        <v>164</v>
      </c>
      <c r="O18" s="172" t="s">
        <v>165</v>
      </c>
      <c r="P18" s="177" t="s">
        <v>166</v>
      </c>
      <c r="Q18" s="236" t="s">
        <v>225</v>
      </c>
      <c r="R18" s="358"/>
      <c r="S18" s="1"/>
      <c r="T18" s="1"/>
      <c r="U18" s="1"/>
      <c r="V18" s="359"/>
      <c r="W18" s="257"/>
    </row>
    <row r="19" spans="1:23" ht="15.75" customHeight="1" thickBot="1" x14ac:dyDescent="0.3">
      <c r="A19" s="864"/>
      <c r="B19" s="18" t="s">
        <v>33</v>
      </c>
      <c r="C19" s="471" t="b">
        <f>IF('Table 1-B  Context Analysis'!$K$7="Yes",IF('Table 1-D-Outcomes'!N21="","N/A",'Table 1-D-Outcomes'!N21), IF('Table 1-B  Context Analysis'!$K$7="No",IF('Table 1-B  Context Analysis'!$K$8="Yes",IF('Table 1-D-Outcomes'!$V$20="F3",IF('Table 1-D-Outcomes'!N21="","N/A",'Table 1-D-Outcomes'!N21),IF('Table 1-D-Outcomes'!N21="","N/A"," F3 exigé")),IF('Table 1-D-Outcomes'!$V$20="F0",IF('Table 1-D-Outcomes'!N21="","N/A","F0"),IF('Table 1-D-Outcomes'!$V$20="F1",IF('Table 1-D-Outcomes'!N21="","N/A","F1"),IF('Table 1-D-Outcomes'!$V$20="Erreur","fiabilité",IF('Table 1-D-Outcomes'!N21="","N/A",'Table 1-D-Outcomes'!N21)))))))</f>
        <v>0</v>
      </c>
      <c r="D19" s="471" t="b">
        <f>IF('Table 1-B  Context Analysis'!$K$7="Yes",IF('Table 1-D-Outcomes'!O21="","N/A",'Table 1-D-Outcomes'!O21), IF('Table 1-B  Context Analysis'!$K$7="No",IF('Table 1-B  Context Analysis'!$K$8="Yes",IF('Table 1-D-Outcomes'!$V$20="F3",IF('Table 1-D-Outcomes'!O21="","N/A",'Table 1-D-Outcomes'!O21),IF('Table 1-D-Outcomes'!O21="","N/A"," F3 exigé")),IF('Table 1-D-Outcomes'!$V$20="F0",IF('Table 1-D-Outcomes'!O21="","N/A","F0"),IF('Table 1-D-Outcomes'!$V$20="F1",IF('Table 1-D-Outcomes'!O21="","N/A","F1"),IF('Table 1-D-Outcomes'!$V$20="Erreur","fiabilité",IF('Table 1-D-Outcomes'!O21="","N/A",'Table 1-D-Outcomes'!O21)))))))</f>
        <v>0</v>
      </c>
      <c r="E19" s="471" t="b">
        <f>IF('Table 1-B  Context Analysis'!$K$7="Yes",IF('Table 1-D-Outcomes'!P21="","N/A",'Table 1-D-Outcomes'!P21), IF('Table 1-B  Context Analysis'!$K$7="No",IF('Table 1-B  Context Analysis'!$K$8="Yes",IF('Table 1-D-Outcomes'!$V$20="F3",IF('Table 1-D-Outcomes'!P21="","N/A",'Table 1-D-Outcomes'!P21),IF('Table 1-D-Outcomes'!P21="","N/A"," F3 exigé")),IF('Table 1-D-Outcomes'!$V$20="F0",IF('Table 1-D-Outcomes'!P21="","N/A","F0"),IF('Table 1-D-Outcomes'!$V$20="F1",IF('Table 1-D-Outcomes'!P21="","N/A","F1"),IF('Table 1-D-Outcomes'!$V$20="Erreur","fiabilité",IF('Table 1-D-Outcomes'!P21="","N/A",'Table 1-D-Outcomes'!P21)))))))</f>
        <v>0</v>
      </c>
      <c r="F19" s="471" t="b">
        <f>IF('Table 1-B  Context Analysis'!$K$7="Yes",IF('Table 1-D-Outcomes'!Q21="","N/A",'Table 1-D-Outcomes'!Q21), IF('Table 1-B  Context Analysis'!$K$7="No",IF('Table 1-B  Context Analysis'!$K$8="Yes",IF('Table 1-D-Outcomes'!$V$20="F3",IF('Table 1-D-Outcomes'!Q21="","N/A",'Table 1-D-Outcomes'!Q21),IF('Table 1-D-Outcomes'!Q21="","N/A"," F3 exigé")),IF('Table 1-D-Outcomes'!$V$20="F0",IF('Table 1-D-Outcomes'!Q21="","N/A","F0"),IF('Table 1-D-Outcomes'!$V$20="F1",IF('Table 1-D-Outcomes'!Q21="","N/A","F1"),IF('Table 1-D-Outcomes'!$V$20="Erreur","fiabilité",IF('Table 1-D-Outcomes'!Q21="","N/A",'Table 1-D-Outcomes'!Q21)))))))</f>
        <v>0</v>
      </c>
      <c r="G19" s="257"/>
      <c r="H19" s="257"/>
      <c r="I19" s="257"/>
      <c r="J19" s="257"/>
      <c r="K19" s="257"/>
      <c r="L19" s="900"/>
      <c r="M19" s="310" t="s">
        <v>33</v>
      </c>
      <c r="N19" s="471" t="b">
        <f>IF('Table 1-B  Context Analysis'!$K$7="Yes",IF('Table 1-D-Outcomes'!N22="","N/A",'Table 1-D-Outcomes'!N22), IF('Table 1-B  Context Analysis'!$K$7="No",IF('Table 1-B  Context Analysis'!$K$8="Yes",IF('Table 1-D-Outcomes'!$V$20="F3",IF('Table 1-D-Outcomes'!N22="","N/A",'Table 1-D-Outcomes'!N22),IF('Table 1-D-Outcomes'!N22="","N/A"," F3 exigé")),IF('Table 1-D-Outcomes'!$V$20="F0",IF('Table 1-D-Outcomes'!N22="","N/A","F0"),IF('Table 1-D-Outcomes'!$V$20="F1",IF('Table 1-D-Outcomes'!N22="","N/A","F1"),IF('Table 1-D-Outcomes'!$V$20="Erreur","fiabilité",IF('Table 1-D-Outcomes'!N22="","N/A",'Table 1-D-Outcomes'!N22)))))))</f>
        <v>0</v>
      </c>
      <c r="O19" s="471" t="b">
        <f>IF('Table 1-B  Context Analysis'!$K$7="Yes",IF('Table 1-D-Outcomes'!O22="","N/A",'Table 1-D-Outcomes'!O22), IF('Table 1-B  Context Analysis'!$K$7="No",IF('Table 1-B  Context Analysis'!$K$8="Yes",IF('Table 1-D-Outcomes'!$V$20="F3",IF('Table 1-D-Outcomes'!O22="","N/A",'Table 1-D-Outcomes'!O22),IF('Table 1-D-Outcomes'!O22="","N/A"," F3 exigé")),IF('Table 1-D-Outcomes'!$V$20="F0",IF('Table 1-D-Outcomes'!O22="","N/A","F0"),IF('Table 1-D-Outcomes'!$V$20="F1",IF('Table 1-D-Outcomes'!O22="","N/A","F1"),IF('Table 1-D-Outcomes'!$V$20="Erreur","fiabilité",IF('Table 1-D-Outcomes'!O22="","N/A",'Table 1-D-Outcomes'!O22)))))))</f>
        <v>0</v>
      </c>
      <c r="P19" s="471" t="b">
        <f>IF('Table 1-B  Context Analysis'!$K$7="Yes",IF('Table 1-D-Outcomes'!P22="","N/A",'Table 1-D-Outcomes'!P22), IF('Table 1-B  Context Analysis'!$K$7="No",IF('Table 1-B  Context Analysis'!$K$8="Yes",IF('Table 1-D-Outcomes'!$V$20="F3",IF('Table 1-D-Outcomes'!P22="","N/A",'Table 1-D-Outcomes'!P22),IF('Table 1-D-Outcomes'!P22="","N/A"," F3 exigé")),IF('Table 1-D-Outcomes'!$V$20="F0",IF('Table 1-D-Outcomes'!P22="","N/A","F0"),IF('Table 1-D-Outcomes'!$V$20="F1",IF('Table 1-D-Outcomes'!P22="","N/A","F1"),IF('Table 1-D-Outcomes'!$V$20="Erreur","fiabilité",IF('Table 1-D-Outcomes'!P22="","N/A",'Table 1-D-Outcomes'!P22)))))))</f>
        <v>0</v>
      </c>
      <c r="Q19" s="471" t="b">
        <f>IF('Table 1-B  Context Analysis'!$K$7="Yes",IF('Table 1-D-Outcomes'!Q22="","N/A",'Table 1-D-Outcomes'!Q22), IF('Table 1-B  Context Analysis'!$K$7="No",IF('Table 1-B  Context Analysis'!$K$8="Yes",IF('Table 1-D-Outcomes'!$V$20="F3",IF('Table 1-D-Outcomes'!Q22="","N/A",'Table 1-D-Outcomes'!Q22),IF('Table 1-D-Outcomes'!Q22="","N/A"," F3 exigé")),IF('Table 1-D-Outcomes'!$V$20="F0",IF('Table 1-D-Outcomes'!Q22="","N/A","F0"),IF('Table 1-D-Outcomes'!$V$20="F1",IF('Table 1-D-Outcomes'!Q22="","N/A","F1"),IF('Table 1-D-Outcomes'!$V$20="Erreur","fiabilité",IF('Table 1-D-Outcomes'!Q22="","N/A",'Table 1-D-Outcomes'!Q22)))))))</f>
        <v>0</v>
      </c>
      <c r="R19" s="257"/>
      <c r="S19" s="257"/>
      <c r="T19" s="257"/>
      <c r="U19" s="257"/>
      <c r="V19" s="257"/>
      <c r="W19" s="809"/>
    </row>
    <row r="20" spans="1:23" ht="15.75" customHeight="1" thickBot="1" x14ac:dyDescent="0.3">
      <c r="A20" s="864"/>
      <c r="B20" s="18" t="s">
        <v>34</v>
      </c>
      <c r="C20" s="471" t="b">
        <f>IF('Table 1-B  Context Analysis'!$K$7="Yes",IF('Table 1-D-Outcomes'!N23="","N/A",'Table 1-D-Outcomes'!N23), IF('Table 1-B  Context Analysis'!$K$7="No",IF('Table 1-B  Context Analysis'!$K$8="Yes",IF('Table 1-D-Outcomes'!$V$20="F3",IF('Table 1-D-Outcomes'!N23="","N/A",'Table 1-D-Outcomes'!N23),IF('Table 1-D-Outcomes'!N23="","N/A"," F3 exigé")),IF('Table 1-D-Outcomes'!$V$20="F0",IF('Table 1-D-Outcomes'!N23="","N/A","F0"),IF('Table 1-D-Outcomes'!$V$20="F1",IF('Table 1-D-Outcomes'!N23="","N/A","F1"),IF('Table 1-D-Outcomes'!$V$20="Erreur","fiabilité",IF('Table 1-D-Outcomes'!N23="","N/A",'Table 1-D-Outcomes'!N23)))))))</f>
        <v>0</v>
      </c>
      <c r="D20" s="471" t="b">
        <f>IF('Table 1-B  Context Analysis'!$K$7="Yes",IF('Table 1-D-Outcomes'!O23="","N/A",'Table 1-D-Outcomes'!O23), IF('Table 1-B  Context Analysis'!$K$7="No",IF('Table 1-B  Context Analysis'!$K$8="Yes",IF('Table 1-D-Outcomes'!$V$20="F3",IF('Table 1-D-Outcomes'!O23="","N/A",'Table 1-D-Outcomes'!O23),IF('Table 1-D-Outcomes'!O23="","N/A"," F3 exigé")),IF('Table 1-D-Outcomes'!$V$20="F0",IF('Table 1-D-Outcomes'!O23="","N/A","F0"),IF('Table 1-D-Outcomes'!$V$20="F1",IF('Table 1-D-Outcomes'!O23="","N/A","F1"),IF('Table 1-D-Outcomes'!$V$20="Erreur","fiabilité",IF('Table 1-D-Outcomes'!O23="","N/A",'Table 1-D-Outcomes'!O23)))))))</f>
        <v>0</v>
      </c>
      <c r="E20" s="471" t="b">
        <f>IF('Table 1-B  Context Analysis'!$K$7="Yes",IF('Table 1-D-Outcomes'!P23="","N/A",'Table 1-D-Outcomes'!P23), IF('Table 1-B  Context Analysis'!$K$7="No",IF('Table 1-B  Context Analysis'!$K$8="Yes",IF('Table 1-D-Outcomes'!$V$20="F3",IF('Table 1-D-Outcomes'!P23="","N/A",'Table 1-D-Outcomes'!P23),IF('Table 1-D-Outcomes'!P23="","N/A"," F3 exigé")),IF('Table 1-D-Outcomes'!$V$20="F0",IF('Table 1-D-Outcomes'!P23="","N/A","F0"),IF('Table 1-D-Outcomes'!$V$20="F1",IF('Table 1-D-Outcomes'!P23="","N/A","F1"),IF('Table 1-D-Outcomes'!$V$20="Erreur","fiabilité",IF('Table 1-D-Outcomes'!P23="","N/A",'Table 1-D-Outcomes'!P23)))))))</f>
        <v>0</v>
      </c>
      <c r="F20" s="471" t="b">
        <f>IF('Table 1-B  Context Analysis'!$K$7="Yes",IF('Table 1-D-Outcomes'!Q23="","N/A",'Table 1-D-Outcomes'!Q23), IF('Table 1-B  Context Analysis'!$K$7="No",IF('Table 1-B  Context Analysis'!$K$8="Yes",IF('Table 1-D-Outcomes'!$V$20="F3",IF('Table 1-D-Outcomes'!Q23="","N/A",'Table 1-D-Outcomes'!Q23),IF('Table 1-D-Outcomes'!Q23="","N/A"," F3 exigé")),IF('Table 1-D-Outcomes'!$V$20="F0",IF('Table 1-D-Outcomes'!Q23="","N/A","F0"),IF('Table 1-D-Outcomes'!$V$20="F1",IF('Table 1-D-Outcomes'!Q23="","N/A","F1"),IF('Table 1-D-Outcomes'!$V$20="Erreur","fiabilité",IF('Table 1-D-Outcomes'!Q23="","N/A",'Table 1-D-Outcomes'!Q23)))))))</f>
        <v>0</v>
      </c>
      <c r="G20" s="257"/>
      <c r="H20" s="257"/>
      <c r="I20" s="257"/>
      <c r="J20" s="257"/>
      <c r="K20" s="257"/>
      <c r="L20" s="901"/>
      <c r="M20" s="310" t="s">
        <v>34</v>
      </c>
      <c r="N20" s="471" t="b">
        <f>IF('Table 1-B  Context Analysis'!$K$7="Yes",IF('Table 1-D-Outcomes'!N24="","N/A",'Table 1-D-Outcomes'!N24), IF('Table 1-B  Context Analysis'!$K$7="No",IF('Table 1-B  Context Analysis'!$K$8="Yes",IF('Table 1-D-Outcomes'!$V$20="F3",IF('Table 1-D-Outcomes'!N24="","N/A",'Table 1-D-Outcomes'!N24),IF('Table 1-D-Outcomes'!N24="","N/A"," F3 exigé")),IF('Table 1-D-Outcomes'!$V$20="F0",IF('Table 1-D-Outcomes'!N24="","N/A","F0"),IF('Table 1-D-Outcomes'!$V$20="F1",IF('Table 1-D-Outcomes'!N24="","N/A","F1"),IF('Table 1-D-Outcomes'!$V$20="Erreur","fiabilité",IF('Table 1-D-Outcomes'!N24="","N/A",'Table 1-D-Outcomes'!N24)))))))</f>
        <v>0</v>
      </c>
      <c r="O20" s="471" t="b">
        <f>IF('Table 1-B  Context Analysis'!$K$7="Yes",IF('Table 1-D-Outcomes'!O24="","N/A",'Table 1-D-Outcomes'!O24), IF('Table 1-B  Context Analysis'!$K$7="No",IF('Table 1-B  Context Analysis'!$K$8="Yes",IF('Table 1-D-Outcomes'!$V$20="F3",IF('Table 1-D-Outcomes'!O24="","N/A",'Table 1-D-Outcomes'!O24),IF('Table 1-D-Outcomes'!O24="","N/A"," F3 exigé")),IF('Table 1-D-Outcomes'!$V$20="F0",IF('Table 1-D-Outcomes'!O24="","N/A","F0"),IF('Table 1-D-Outcomes'!$V$20="F1",IF('Table 1-D-Outcomes'!O24="","N/A","F1"),IF('Table 1-D-Outcomes'!$V$20="Erreur","fiabilité",IF('Table 1-D-Outcomes'!O24="","N/A",'Table 1-D-Outcomes'!O24)))))))</f>
        <v>0</v>
      </c>
      <c r="P20" s="471" t="b">
        <f>IF('Table 1-B  Context Analysis'!$K$7="Yes",IF('Table 1-D-Outcomes'!P24="","N/A",'Table 1-D-Outcomes'!P24), IF('Table 1-B  Context Analysis'!$K$7="No",IF('Table 1-B  Context Analysis'!$K$8="Yes",IF('Table 1-D-Outcomes'!$V$20="F3",IF('Table 1-D-Outcomes'!P24="","N/A",'Table 1-D-Outcomes'!P24),IF('Table 1-D-Outcomes'!P24="","N/A"," F3 exigé")),IF('Table 1-D-Outcomes'!$V$20="F0",IF('Table 1-D-Outcomes'!P24="","N/A","F0"),IF('Table 1-D-Outcomes'!$V$20="F1",IF('Table 1-D-Outcomes'!P24="","N/A","F1"),IF('Table 1-D-Outcomes'!$V$20="Erreur","fiabilité",IF('Table 1-D-Outcomes'!P24="","N/A",'Table 1-D-Outcomes'!P24)))))))</f>
        <v>0</v>
      </c>
      <c r="Q20" s="471" t="b">
        <f>IF('Table 1-B  Context Analysis'!$K$7="Yes",IF('Table 1-D-Outcomes'!Q24="","N/A",'Table 1-D-Outcomes'!Q24), IF('Table 1-B  Context Analysis'!$K$7="No",IF('Table 1-B  Context Analysis'!$K$8="Oui",IF('Table 1-D-Outcomes'!$V$20="F3",IF('Table 1-D-Outcomes'!Q24="","N/A",'Table 1-D-Outcomes'!Q24),IF('Table 1-D-Outcomes'!Q24="","N/A"," F3 exigé")),IF('Table 1-D-Outcomes'!$V$20="F0",IF('Table 1-D-Outcomes'!Q24="","N/A","F0"),IF('Table 1-D-Outcomes'!$V$20="F1",IF('Table 1-D-Outcomes'!Q24="","N/A","F1"),IF('Table 1-D-Outcomes'!$V$20="Erreur","fiabilité",IF('Table 1-D-Outcomes'!Q24="","N/A",'Table 1-D-Outcomes'!Q24)))))))</f>
        <v>0</v>
      </c>
      <c r="R20" s="257"/>
      <c r="S20" s="257"/>
      <c r="T20" s="257"/>
      <c r="U20" s="257"/>
      <c r="V20" s="257"/>
      <c r="W20" s="810"/>
    </row>
    <row r="21" spans="1:23" ht="15.75" customHeight="1" thickBot="1" x14ac:dyDescent="0.3">
      <c r="A21" s="864"/>
      <c r="B21" s="18" t="s">
        <v>35</v>
      </c>
      <c r="C21" s="471" t="b">
        <f>IF('Table 1-B  Context Analysis'!$K$7="Yes",IF('Table 1-D-Outcomes'!N25="","N/A",'Table 1-D-Outcomes'!N25), IF('Table 1-B  Context Analysis'!$K$7="No",IF('Table 1-B  Context Analysis'!$K$8="Yes",IF('Table 1-D-Outcomes'!$V$20="F3",IF('Table 1-D-Outcomes'!N25="","N/A",'Table 1-D-Outcomes'!N25),IF('Table 1-D-Outcomes'!N25="","N/A"," F3 exigé")),IF('Table 1-D-Outcomes'!$V$20="F0",IF('Table 1-D-Outcomes'!N25="","N/A","F0"),IF('Table 1-D-Outcomes'!$V$20="F1",IF('Table 1-D-Outcomes'!N25="","N/A","F1"),IF('Table 1-D-Outcomes'!$V$20="Erreur","fiabilité",IF('Table 1-D-Outcomes'!N25="","N/A",'Table 1-D-Outcomes'!N25)))))))</f>
        <v>0</v>
      </c>
      <c r="D21" s="471" t="b">
        <f>IF('Table 1-B  Context Analysis'!$K$7="Yes",IF('Table 1-D-Outcomes'!O25="","N/A",'Table 1-D-Outcomes'!O25), IF('Table 1-B  Context Analysis'!$K$7="No",IF('Table 1-B  Context Analysis'!$K$8="Yes",IF('Table 1-D-Outcomes'!$V$20="F3",IF('Table 1-D-Outcomes'!O25="","N/A",'Table 1-D-Outcomes'!O25),IF('Table 1-D-Outcomes'!O25="","N/A"," F3 exigé")),IF('Table 1-D-Outcomes'!$V$20="F0",IF('Table 1-D-Outcomes'!O25="","N/A","F0"),IF('Table 1-D-Outcomes'!$V$20="F1",IF('Table 1-D-Outcomes'!O25="","N/A","F1"),IF('Table 1-D-Outcomes'!$V$20="Erreur","fiabilité",IF('Table 1-D-Outcomes'!O25="","N/A",'Table 1-D-Outcomes'!O25)))))))</f>
        <v>0</v>
      </c>
      <c r="E21" s="471" t="b">
        <f>IF('Table 1-B  Context Analysis'!$K$7="Yes",IF('Table 1-D-Outcomes'!P25="","N/A",'Table 1-D-Outcomes'!P25), IF('Table 1-B  Context Analysis'!$K$7="No",IF('Table 1-B  Context Analysis'!$K$8="Yes",IF('Table 1-D-Outcomes'!$V$20="F3",IF('Table 1-D-Outcomes'!P25="","N/A",'Table 1-D-Outcomes'!P25),IF('Table 1-D-Outcomes'!P25="","N/A"," F3 exigé")),IF('Table 1-D-Outcomes'!$V$20="F0",IF('Table 1-D-Outcomes'!P25="","N/A","F0"),IF('Table 1-D-Outcomes'!$V$20="F1",IF('Table 1-D-Outcomes'!P25="","N/A","F1"),IF('Table 1-D-Outcomes'!$V$20="Erreur","fiabilité",IF('Table 1-D-Outcomes'!P25="","N/A",'Table 1-D-Outcomes'!P25)))))))</f>
        <v>0</v>
      </c>
      <c r="F21" s="471" t="b">
        <f>IF('Table 1-B  Context Analysis'!$K$7="Yes",IF('Table 1-D-Outcomes'!Q25="","N/A",'Table 1-D-Outcomes'!Q25), IF('Table 1-B  Context Analysis'!$K$7="No",IF('Table 1-B  Context Analysis'!$K$8="Yes",IF('Table 1-D-Outcomes'!$V$20="F3",IF('Table 1-D-Outcomes'!Q25="","N/A",'Table 1-D-Outcomes'!Q25),IF('Table 1-D-Outcomes'!Q25="","N/A"," F3 exigé")),IF('Table 1-D-Outcomes'!$V$20="F0",IF('Table 1-D-Outcomes'!Q25="","N/A","F0"),IF('Table 1-D-Outcomes'!$V$20="F1",IF('Table 1-D-Outcomes'!Q25="","N/A","F1"),IF('Table 1-D-Outcomes'!$V$20="Erreur","fiabilité",IF('Table 1-D-Outcomes'!Q25="","N/A",'Table 1-D-Outcomes'!Q25)))))))</f>
        <v>0</v>
      </c>
      <c r="G21" s="257"/>
      <c r="H21" s="257"/>
      <c r="I21" s="257"/>
      <c r="J21" s="257"/>
      <c r="K21" s="257"/>
      <c r="L21" s="901"/>
      <c r="M21" s="310" t="s">
        <v>35</v>
      </c>
      <c r="N21" s="471" t="b">
        <f>IF('Table 1-B  Context Analysis'!$K$7="Yes",IF('Table 1-D-Outcomes'!N26="","N/A",'Table 1-D-Outcomes'!N26), IF('Table 1-B  Context Analysis'!$K$7="No",IF('Table 1-B  Context Analysis'!$K$8="Yes",IF('Table 1-D-Outcomes'!$V$20="F3",IF('Table 1-D-Outcomes'!N26="","N/A",'Table 1-D-Outcomes'!N26),IF('Table 1-D-Outcomes'!N26="","N/A"," F3 exigé")),IF('Table 1-D-Outcomes'!$V$20="F0",IF('Table 1-D-Outcomes'!N26="","N/A","F0"),IF('Table 1-D-Outcomes'!$V$20="F1",IF('Table 1-D-Outcomes'!N26="","N/A","F1"),IF('Table 1-D-Outcomes'!$V$20="Erreur","fiabilité",IF('Table 1-D-Outcomes'!N26="","N/A",'Table 1-D-Outcomes'!N26)))))))</f>
        <v>0</v>
      </c>
      <c r="O21" s="471" t="b">
        <f>IF('Table 1-B  Context Analysis'!$K$7="Yes",IF('Table 1-D-Outcomes'!O26="","N/A",'Table 1-D-Outcomes'!O26), IF('Table 1-B  Context Analysis'!$K$7="No",IF('Table 1-B  Context Analysis'!$K$8="Yes",IF('Table 1-D-Outcomes'!$V$20="F3",IF('Table 1-D-Outcomes'!O26="","N/A",'Table 1-D-Outcomes'!O26),IF('Table 1-D-Outcomes'!O26="","N/A"," F3 exigé")),IF('Table 1-D-Outcomes'!$V$20="F0",IF('Table 1-D-Outcomes'!O26="","N/A","F0"),IF('Table 1-D-Outcomes'!$V$20="F1",IF('Table 1-D-Outcomes'!O26="","N/A","F1"),IF('Table 1-D-Outcomes'!$V$20="Erreur","fiabilité",IF('Table 1-D-Outcomes'!O26="","N/A",'Table 1-D-Outcomes'!O26)))))))</f>
        <v>0</v>
      </c>
      <c r="P21" s="471" t="b">
        <f>IF('Table 1-B  Context Analysis'!$K$7="Yes",IF('Table 1-D-Outcomes'!P26="","N/A",'Table 1-D-Outcomes'!P26), IF('Table 1-B  Context Analysis'!$K$7="No",IF('Table 1-B  Context Analysis'!$K$8="Yes",IF('Table 1-D-Outcomes'!$V$20="F3",IF('Table 1-D-Outcomes'!P26="","N/A",'Table 1-D-Outcomes'!P26),IF('Table 1-D-Outcomes'!P26="","N/A"," F3 exigé")),IF('Table 1-D-Outcomes'!$V$20="F0",IF('Table 1-D-Outcomes'!P26="","N/A","F0"),IF('Table 1-D-Outcomes'!$V$20="F1",IF('Table 1-D-Outcomes'!P26="","N/A","F1"),IF('Table 1-D-Outcomes'!$V$20="Erreur","fiabilité",IF('Table 1-D-Outcomes'!P26="","N/A",'Table 1-D-Outcomes'!P26)))))))</f>
        <v>0</v>
      </c>
      <c r="Q21" s="471" t="b">
        <f>IF('Table 1-B  Context Analysis'!$K$7="Yes",IF('Table 1-D-Outcomes'!Q26="","N/A",'Table 1-D-Outcomes'!Q26), IF('Table 1-B  Context Analysis'!$K$7="No",IF('Table 1-B  Context Analysis'!$K$8="Yes",IF('Table 1-D-Outcomes'!$V$20="F3",IF('Table 1-D-Outcomes'!Q26="","N/A",'Table 1-D-Outcomes'!Q26),IF('Table 1-D-Outcomes'!Q26="","N/A"," F3 exigé")),IF('Table 1-D-Outcomes'!$V$20="F0",IF('Table 1-D-Outcomes'!Q26="","N/A","F0"),IF('Table 1-D-Outcomes'!$V$20="F1",IF('Table 1-D-Outcomes'!Q26="","N/A","F1"),IF('Table 1-D-Outcomes'!$V$20="Erreur","fiabilité",IF('Table 1-D-Outcomes'!Q26="","N/A",'Table 1-D-Outcomes'!Q26)))))))</f>
        <v>0</v>
      </c>
      <c r="R21" s="257"/>
      <c r="S21" s="257"/>
      <c r="T21" s="257"/>
      <c r="U21" s="257"/>
      <c r="V21" s="257"/>
      <c r="W21" s="810"/>
    </row>
    <row r="22" spans="1:23" ht="15.75" customHeight="1" thickBot="1" x14ac:dyDescent="0.3">
      <c r="A22" s="864"/>
      <c r="B22" s="178" t="s">
        <v>36</v>
      </c>
      <c r="C22" s="471" t="b">
        <f>IF('Table 1-B  Context Analysis'!$K$7="Yes",IF('Table 1-D-Outcomes'!N27="","N/A",'Table 1-D-Outcomes'!N27), IF('Table 1-B  Context Analysis'!$K$7="No",IF('Table 1-B  Context Analysis'!$K$8="Yes",IF('Table 1-D-Outcomes'!$V$20="F3",IF('Table 1-D-Outcomes'!N27="","N/A",'Table 1-D-Outcomes'!N27),IF('Table 1-D-Outcomes'!N27="","N/A"," F3 exigé")),IF('Table 1-D-Outcomes'!$V$20="F0",IF('Table 1-D-Outcomes'!N27="","N/A","F0"),IF('Table 1-D-Outcomes'!$V$20="F1",IF('Table 1-D-Outcomes'!N27="","N/A","F1"),IF('Table 1-D-Outcomes'!$V$20="Erreur","fiabilité",IF('Table 1-D-Outcomes'!N27="","N/A",'Table 1-D-Outcomes'!N27)))))))</f>
        <v>0</v>
      </c>
      <c r="D22" s="471" t="b">
        <f>IF('Table 1-B  Context Analysis'!$K$7="Yes",IF('Table 1-D-Outcomes'!O27="","N/A",'Table 1-D-Outcomes'!O27), IF('Table 1-B  Context Analysis'!$K$7="No",IF('Table 1-B  Context Analysis'!$K$8="Yes",IF('Table 1-D-Outcomes'!$V$20="F3",IF('Table 1-D-Outcomes'!O27="","N/A",'Table 1-D-Outcomes'!O27),IF('Table 1-D-Outcomes'!O27="","N/A"," F3 exigé")),IF('Table 1-D-Outcomes'!$V$20="F0",IF('Table 1-D-Outcomes'!O27="","N/A","F0"),IF('Table 1-D-Outcomes'!$V$20="F1",IF('Table 1-D-Outcomes'!O27="","N/A","F1"),IF('Table 1-D-Outcomes'!$V$20="Erreur","fiabilité",IF('Table 1-D-Outcomes'!O27="","N/A",'Table 1-D-Outcomes'!O27)))))))</f>
        <v>0</v>
      </c>
      <c r="E22" s="471" t="b">
        <f>IF('Table 1-B  Context Analysis'!$K$7="Yes",IF('Table 1-D-Outcomes'!P27="","N/A",'Table 1-D-Outcomes'!P27), IF('Table 1-B  Context Analysis'!$K$7="No",IF('Table 1-B  Context Analysis'!$K$8="Yes",IF('Table 1-D-Outcomes'!$V$20="F3",IF('Table 1-D-Outcomes'!P27="","N/A",'Table 1-D-Outcomes'!P27),IF('Table 1-D-Outcomes'!P27="","N/A"," F3 exigé")),IF('Table 1-D-Outcomes'!$V$20="F0",IF('Table 1-D-Outcomes'!P27="","N/A","F0"),IF('Table 1-D-Outcomes'!$V$20="F1",IF('Table 1-D-Outcomes'!P27="","N/A","F1"),IF('Table 1-D-Outcomes'!$V$20="Erreur","fiabilité",IF('Table 1-D-Outcomes'!P27="","N/A",'Table 1-D-Outcomes'!P27)))))))</f>
        <v>0</v>
      </c>
      <c r="F22" s="471" t="b">
        <f>IF('Table 1-B  Context Analysis'!$K$7="Yes",IF('Table 1-D-Outcomes'!Q27="","N/A",'Table 1-D-Outcomes'!Q27), IF('Table 1-B  Context Analysis'!$K$7="No",IF('Table 1-B  Context Analysis'!$K$8="Yes",IF('Table 1-D-Outcomes'!$V$20="F3",IF('Table 1-D-Outcomes'!Q27="","N/A",'Table 1-D-Outcomes'!Q27),IF('Table 1-D-Outcomes'!Q27="","N/A"," F3 exigé")),IF('Table 1-D-Outcomes'!$V$20="F0",IF('Table 1-D-Outcomes'!Q27="","N/A","F0"),IF('Table 1-D-Outcomes'!$V$20="F1",IF('Table 1-D-Outcomes'!Q27="","N/A","F1"),IF('Table 1-D-Outcomes'!$V$20="Erreur","fiabilité",IF('Table 1-D-Outcomes'!Q27="","N/A",'Table 1-D-Outcomes'!Q27)))))))</f>
        <v>0</v>
      </c>
      <c r="G22" s="313"/>
      <c r="H22" s="313"/>
      <c r="I22" s="313"/>
      <c r="J22" s="313"/>
      <c r="K22" s="313"/>
      <c r="L22" s="902"/>
      <c r="M22" s="311" t="s">
        <v>36</v>
      </c>
      <c r="N22" s="471" t="b">
        <f>IF('Table 1-B  Context Analysis'!$K$7="Yes",IF('Table 1-D-Outcomes'!N28="","N/A",'Table 1-D-Outcomes'!N28), IF('Table 1-B  Context Analysis'!$K$7="No",IF('Table 1-B  Context Analysis'!$K$8="Yes",IF('Table 1-D-Outcomes'!$V$20="F3",IF('Table 1-D-Outcomes'!N28="","N/A",'Table 1-D-Outcomes'!N28),IF('Table 1-D-Outcomes'!N28="","N/A"," F3 exigé")),IF('Table 1-D-Outcomes'!$V$20="F0",IF('Table 1-D-Outcomes'!N28="","N/A","F0"),IF('Table 1-D-Outcomes'!$V$20="F1",IF('Table 1-D-Outcomes'!N28="","N/A","F1"),IF('Table 1-D-Outcomes'!$V$20="Erreur","fiabilité",IF('Table 1-D-Outcomes'!N28="","N/A",'Table 1-D-Outcomes'!N28)))))))</f>
        <v>0</v>
      </c>
      <c r="O22" s="471" t="b">
        <f>IF('Table 1-B  Context Analysis'!$K$7="Yes",IF('Table 1-D-Outcomes'!O28="","N/A",'Table 1-D-Outcomes'!O28), IF('Table 1-B  Context Analysis'!$K$7="No",IF('Table 1-B  Context Analysis'!$K$8="Yes",IF('Table 1-D-Outcomes'!$V$20="F3",IF('Table 1-D-Outcomes'!O28="","N/A",'Table 1-D-Outcomes'!O28),IF('Table 1-D-Outcomes'!O28="","N/A"," F3 exigé")),IF('Table 1-D-Outcomes'!$V$20="F0",IF('Table 1-D-Outcomes'!O28="","N/A","F0"),IF('Table 1-D-Outcomes'!$V$20="F1",IF('Table 1-D-Outcomes'!O28="","N/A","F1"),IF('Table 1-D-Outcomes'!$V$20="Erreur","fiabilité",IF('Table 1-D-Outcomes'!O28="","N/A",'Table 1-D-Outcomes'!O28)))))))</f>
        <v>0</v>
      </c>
      <c r="P22" s="471" t="b">
        <f>IF('Table 1-B  Context Analysis'!$K$7="Yes",IF('Table 1-D-Outcomes'!P28="","N/A",'Table 1-D-Outcomes'!P28), IF('Table 1-B  Context Analysis'!$K$7="No",IF('Table 1-B  Context Analysis'!$K$8="Yes",IF('Table 1-D-Outcomes'!$V$20="F3",IF('Table 1-D-Outcomes'!P28="","N/A",'Table 1-D-Outcomes'!P28),IF('Table 1-D-Outcomes'!P28="","N/A"," F3 exigé")),IF('Table 1-D-Outcomes'!$V$20="F0",IF('Table 1-D-Outcomes'!P28="","N/A","F0"),IF('Table 1-D-Outcomes'!$V$20="F1",IF('Table 1-D-Outcomes'!P28="","N/A","F1"),IF('Table 1-D-Outcomes'!$V$20="Erreur","fiabilité",IF('Table 1-D-Outcomes'!P28="","N/A",'Table 1-D-Outcomes'!P28)))))))</f>
        <v>0</v>
      </c>
      <c r="Q22" s="471" t="b">
        <f>IF('Table 1-B  Context Analysis'!$K$7="Yes",IF('Table 1-D-Outcomes'!Q28="","N/A",'Table 1-D-Outcomes'!Q28), IF('Table 1-B  Context Analysis'!$K$7="No",IF('Table 1-B  Context Analysis'!$K$8="Yes",IF('Table 1-D-Outcomes'!$V$20="F3",IF('Table 1-D-Outcomes'!Q28="","N/A",'Table 1-D-Outcomes'!Q28),IF('Table 1-D-Outcomes'!Q28="","N/A"," F3 exigé")),IF('Table 1-D-Outcomes'!$V$20="F0",IF('Table 1-D-Outcomes'!Q28="","N/A","F0"),IF('Table 1-D-Outcomes'!$V$20="F1",IF('Table 1-D-Outcomes'!Q28="","N/A","F1"),IF('Table 1-D-Outcomes'!$V$20="Erreur","fiabilité",IF('Table 1-D-Outcomes'!Q28="","N/A",'Table 1-D-Outcomes'!Q28)))))))</f>
        <v>0</v>
      </c>
      <c r="R22" s="313"/>
      <c r="S22" s="313"/>
      <c r="T22" s="313"/>
      <c r="U22" s="313"/>
      <c r="V22" s="313"/>
      <c r="W22" s="811"/>
    </row>
    <row r="23" spans="1:23" ht="15.75" customHeight="1" thickBot="1" x14ac:dyDescent="0.3">
      <c r="A23" s="864"/>
      <c r="B23" s="797" t="s">
        <v>25</v>
      </c>
      <c r="C23" s="798"/>
      <c r="D23" s="798"/>
      <c r="E23" s="798"/>
      <c r="F23" s="798"/>
      <c r="G23" s="798"/>
      <c r="H23" s="798"/>
      <c r="I23" s="798"/>
      <c r="J23" s="798"/>
      <c r="K23" s="798"/>
      <c r="L23" s="799"/>
      <c r="M23" s="881"/>
      <c r="N23" s="882"/>
      <c r="O23" s="882"/>
      <c r="P23" s="882"/>
      <c r="Q23" s="882"/>
      <c r="R23" s="882"/>
      <c r="S23" s="882"/>
      <c r="T23" s="882"/>
      <c r="U23" s="882"/>
      <c r="V23" s="882"/>
      <c r="W23" s="883"/>
    </row>
    <row r="24" spans="1:23" ht="27" customHeight="1" thickBot="1" x14ac:dyDescent="0.3">
      <c r="A24" s="864"/>
      <c r="B24" s="178" t="s">
        <v>156</v>
      </c>
      <c r="C24" s="237" t="b">
        <f>IF('Table 1-B  Context Analysis'!$K$7="Yes",IF('Table 1-D-Outcomes'!N29="","N/A",'Table 1-D-Outcomes'!N29), IF('Table 1-B  Context Analysis'!$K$7="No",IF('Table 1-B  Context Analysis'!$K$8="Yes",IF('Table 1-D-Outcomes'!$V29="F3",IF('Table 1-D-Outcomes'!N29="","N/A",'Table 1-D-Outcomes'!N29),IF('Table 1-D-Outcomes'!N29="","N/A"," F3 exigé")),IF('Table 1-D-Outcomes'!$V29="F0",IF('Table 1-D-Outcomes'!N29="","N/A","F0"),IF('Table 1-D-Outcomes'!$V29="F1",IF('Table 1-D-Outcomes'!N29="","N/A","F1"),IF('Table 1-D-Outcomes'!$V$29="Erreur","fiabilité",IF('Table 1-D-Outcomes'!N29="","N/A",'Table 1-D-Outcomes'!N29)))))))</f>
        <v>0</v>
      </c>
      <c r="D24" s="141"/>
      <c r="E24" s="141"/>
      <c r="F24" s="141"/>
      <c r="G24" s="141"/>
      <c r="H24" s="141"/>
      <c r="I24" s="141"/>
      <c r="J24" s="141"/>
      <c r="K24" s="141"/>
      <c r="L24" s="316"/>
      <c r="M24" s="827" t="s">
        <v>156</v>
      </c>
      <c r="N24" s="828"/>
      <c r="O24" s="271" t="b">
        <f>C24</f>
        <v>0</v>
      </c>
      <c r="P24" s="812"/>
      <c r="Q24" s="813"/>
      <c r="R24" s="813"/>
      <c r="S24" s="813"/>
      <c r="T24" s="813"/>
      <c r="U24" s="813"/>
      <c r="V24" s="814"/>
      <c r="W24" s="257"/>
    </row>
    <row r="25" spans="1:23" s="69" customFormat="1" ht="21.75" customHeight="1" thickBot="1" x14ac:dyDescent="0.25">
      <c r="A25" s="864"/>
      <c r="B25" s="787" t="s">
        <v>204</v>
      </c>
      <c r="C25" s="788"/>
      <c r="D25" s="788"/>
      <c r="E25" s="788"/>
      <c r="F25" s="788"/>
      <c r="G25" s="788"/>
      <c r="H25" s="788"/>
      <c r="I25" s="788"/>
      <c r="J25" s="788"/>
      <c r="K25" s="788"/>
      <c r="L25" s="789"/>
      <c r="M25" s="787" t="s">
        <v>204</v>
      </c>
      <c r="N25" s="788"/>
      <c r="O25" s="788"/>
      <c r="P25" s="788"/>
      <c r="Q25" s="788"/>
      <c r="R25" s="788"/>
      <c r="S25" s="788"/>
      <c r="T25" s="788"/>
      <c r="U25" s="788"/>
      <c r="V25" s="788"/>
      <c r="W25" s="789"/>
    </row>
    <row r="26" spans="1:23" s="473" customFormat="1" ht="27" customHeight="1" thickBot="1" x14ac:dyDescent="0.3">
      <c r="A26" s="864"/>
      <c r="B26" s="474"/>
      <c r="C26" s="860" t="s">
        <v>201</v>
      </c>
      <c r="D26" s="860"/>
      <c r="E26" s="860" t="s">
        <v>130</v>
      </c>
      <c r="F26" s="860"/>
      <c r="G26" s="860" t="s">
        <v>202</v>
      </c>
      <c r="H26" s="860"/>
      <c r="I26" s="860" t="s">
        <v>203</v>
      </c>
      <c r="J26" s="860"/>
      <c r="K26" s="860" t="s">
        <v>129</v>
      </c>
      <c r="L26" s="860"/>
      <c r="M26" s="474"/>
      <c r="N26" s="860" t="s">
        <v>201</v>
      </c>
      <c r="O26" s="860"/>
      <c r="P26" s="860" t="s">
        <v>130</v>
      </c>
      <c r="Q26" s="860"/>
      <c r="R26" s="860" t="s">
        <v>202</v>
      </c>
      <c r="S26" s="860"/>
      <c r="T26" s="860" t="s">
        <v>203</v>
      </c>
      <c r="U26" s="860"/>
      <c r="V26" s="860" t="s">
        <v>129</v>
      </c>
      <c r="W26" s="860"/>
    </row>
    <row r="27" spans="1:23" s="473" customFormat="1" ht="27" customHeight="1" thickBot="1" x14ac:dyDescent="0.3">
      <c r="A27" s="864"/>
      <c r="B27" s="475" t="s">
        <v>200</v>
      </c>
      <c r="C27" s="924" t="str">
        <f>IF('Table 2-A- FC Analysis'!D35="x","-F",IF('Table 2-A- FC Analysis'!E35="x","-M",IF('Table 2-A- FC Analysis'!F35="x","-L",IF('Table 2-A- FC Analysis'!G35="x","+L",IF('Table 2-A- FC Analysis'!H35="x","+M",IF('Table 2-A- FC Analysis'!I35="x","+F","N/A"))))))</f>
        <v>-F</v>
      </c>
      <c r="D27" s="858"/>
      <c r="E27" s="857" t="str">
        <f>IF('Table 2-A- FC Analysis'!D70="x","-F",IF('Table 2-A- FC Analysis'!E70="x","-M",IF('Table 2-A- FC Analysis'!F70="x","-L",IF('Table 2-A- FC Analysis'!G70="x","+L",IF('Table 2-A- FC Analysis'!H70="x","+M",IF('Table 2-A- FC Analysis'!I70="x","+F","N/A"))))))</f>
        <v>N/A</v>
      </c>
      <c r="F27" s="858"/>
      <c r="G27" s="857" t="str">
        <f>IF('Table 2-A- FC Analysis'!D102="x","-F",IF('Table 2-A- FC Analysis'!E102="x","-M",IF('Table 2-A- FC Analysis'!F102="x","-L",IF('Table 2-A- FC Analysis'!G102="x","+L",IF('Table 2-A- FC Analysis'!H102="x","+M",IF('Table 2-A- FC Analysis'!I102="x","+F","N/A"))))))</f>
        <v>N/A</v>
      </c>
      <c r="H27" s="858"/>
      <c r="I27" s="857" t="str">
        <f>IF('Table 2-A- FC Analysis'!D134="x","-F",IF('Table 2-A- FC Analysis'!E134="x","-M",IF('Table 2-A- FC Analysis'!F134="x","-L",IF('Table 2-A- FC Analysis'!G134="x","+L",IF('Table 2-A- FC Analysis'!H134="x","+M",IF('Table 2-A- FC Analysis'!I134="x","+F","N/A"))))))</f>
        <v>N/A</v>
      </c>
      <c r="J27" s="858"/>
      <c r="K27" s="857" t="str">
        <f>IF('Table 2-A- FC Analysis'!D166="x","-F",IF('Table 2-A- FC Analysis'!E166="x","-M",IF('Table 2-A- FC Analysis'!F166="x","-L",IF('Table 2-A- FC Analysis'!G166="x","+L",IF('Table 2-A- FC Analysis'!H166="x","+M",IF('Table 2-A- FC Analysis'!I166="x","+F","N/A"))))))</f>
        <v>N/A</v>
      </c>
      <c r="L27" s="859"/>
      <c r="M27" s="475" t="s">
        <v>200</v>
      </c>
      <c r="N27" s="861" t="str">
        <f>IF('Table 2-A- FC Analysis'!K35="x","-F",IF('Table 2-A- FC Analysis'!L35="x","-M",IF('Table 2-A- FC Analysis'!M35="x","-L",IF('Table 2-A- FC Analysis'!N35="x","+L",IF('Table 2-A- FC Analysis'!O35="x","+M",IF('Table 2-A- FC Analysis'!P35="x","+F","N/A"))))))</f>
        <v>N/A</v>
      </c>
      <c r="O27" s="862"/>
      <c r="P27" s="861" t="str">
        <f>IF('Table 2-A- FC Analysis'!K70="x","-F",IF('Table 2-A- FC Analysis'!L70="x","-M",IF('Table 2-A- FC Analysis'!M70="x","-L",IF('Table 2-A- FC Analysis'!N70="x","+L",IF('Table 2-A- FC Analysis'!O70="x","+M",IF('Table 2-A- FC Analysis'!P70="x","+F","N/A"))))))</f>
        <v>N/A</v>
      </c>
      <c r="Q27" s="862"/>
      <c r="R27" s="861" t="str">
        <f>IF('Table 2-A- FC Analysis'!K102="x","-F",IF('Table 2-A- FC Analysis'!L102="x","-M",IF('Table 2-A- FC Analysis'!M102="x","-L",IF('Table 2-A- FC Analysis'!N102="x","+L",IF('Table 2-A- FC Analysis'!O102="x","+M",IF('Table 2-A- FC Analysis'!P102="x","+F","N/A"))))))</f>
        <v>N/A</v>
      </c>
      <c r="S27" s="862"/>
      <c r="T27" s="861" t="str">
        <f>IF('Table 2-A- FC Analysis'!K134="x","-F",IF('Table 2-A- FC Analysis'!L134="x","-M",IF('Table 2-A- FC Analysis'!M134="x","-L",IF('Table 2-A- FC Analysis'!N134="x","+L",IF('Table 2-A- FC Analysis'!O134="x","+M",IF('Table 2-A- FC Analysis'!P134="x","+F","N/A"))))))</f>
        <v>N/A</v>
      </c>
      <c r="U27" s="862"/>
      <c r="V27" s="861" t="str">
        <f>IF('Table 2-A- FC Analysis'!K166="x","-F",IF('Table 2-A- FC Analysis'!L166="x","-M",IF('Table 2-A- FC Analysis'!M166="x","-L",IF('Table 2-A- FC Analysis'!N166="x","+L",IF('Table 2-A- FC Analysis'!O166="x","+M",IF('Table 2-A- FC Analysis'!P166="x","+F","N/A"))))))</f>
        <v>N/A</v>
      </c>
      <c r="W27" s="862"/>
    </row>
    <row r="28" spans="1:23" s="69" customFormat="1" ht="21.75" customHeight="1" thickBot="1" x14ac:dyDescent="0.25">
      <c r="A28" s="864"/>
      <c r="B28" s="818" t="s">
        <v>199</v>
      </c>
      <c r="C28" s="819"/>
      <c r="D28" s="819"/>
      <c r="E28" s="819"/>
      <c r="F28" s="819"/>
      <c r="G28" s="819"/>
      <c r="H28" s="819"/>
      <c r="I28" s="819"/>
      <c r="J28" s="819"/>
      <c r="K28" s="819"/>
      <c r="L28" s="254"/>
      <c r="M28" s="884" t="s">
        <v>199</v>
      </c>
      <c r="N28" s="885"/>
      <c r="O28" s="885"/>
      <c r="P28" s="885"/>
      <c r="Q28" s="885"/>
      <c r="R28" s="885"/>
      <c r="S28" s="885"/>
      <c r="T28" s="885"/>
      <c r="U28" s="885"/>
      <c r="V28" s="885"/>
      <c r="W28" s="886"/>
    </row>
    <row r="29" spans="1:23" x14ac:dyDescent="0.25">
      <c r="A29" s="863"/>
      <c r="B29" s="841"/>
      <c r="C29" s="842"/>
      <c r="D29" s="842"/>
      <c r="E29" s="842"/>
      <c r="F29" s="842"/>
      <c r="G29" s="842"/>
      <c r="H29" s="842"/>
      <c r="I29" s="842"/>
      <c r="J29" s="842"/>
      <c r="K29" s="842"/>
      <c r="L29" s="843"/>
      <c r="M29" s="841"/>
      <c r="N29" s="887"/>
      <c r="O29" s="887"/>
      <c r="P29" s="887"/>
      <c r="Q29" s="887"/>
      <c r="R29" s="887"/>
      <c r="S29" s="887"/>
      <c r="T29" s="887"/>
      <c r="U29" s="887"/>
      <c r="V29" s="887"/>
      <c r="W29" s="888"/>
    </row>
    <row r="30" spans="1:23" x14ac:dyDescent="0.25">
      <c r="A30" s="863"/>
      <c r="B30" s="844"/>
      <c r="C30" s="845"/>
      <c r="D30" s="845"/>
      <c r="E30" s="845"/>
      <c r="F30" s="845"/>
      <c r="G30" s="845"/>
      <c r="H30" s="845"/>
      <c r="I30" s="845"/>
      <c r="J30" s="845"/>
      <c r="K30" s="845"/>
      <c r="L30" s="846"/>
      <c r="M30" s="848"/>
      <c r="N30" s="847"/>
      <c r="O30" s="847"/>
      <c r="P30" s="847"/>
      <c r="Q30" s="847"/>
      <c r="R30" s="847"/>
      <c r="S30" s="847"/>
      <c r="T30" s="847"/>
      <c r="U30" s="847"/>
      <c r="V30" s="847"/>
      <c r="W30" s="851"/>
    </row>
    <row r="31" spans="1:23" x14ac:dyDescent="0.25">
      <c r="A31" s="863"/>
      <c r="B31" s="844"/>
      <c r="C31" s="845"/>
      <c r="D31" s="845"/>
      <c r="E31" s="845"/>
      <c r="F31" s="845"/>
      <c r="G31" s="845"/>
      <c r="H31" s="845"/>
      <c r="I31" s="845"/>
      <c r="J31" s="845"/>
      <c r="K31" s="845"/>
      <c r="L31" s="846"/>
      <c r="M31" s="848"/>
      <c r="N31" s="847"/>
      <c r="O31" s="847"/>
      <c r="P31" s="847"/>
      <c r="Q31" s="847"/>
      <c r="R31" s="847"/>
      <c r="S31" s="847"/>
      <c r="T31" s="847"/>
      <c r="U31" s="847"/>
      <c r="V31" s="847"/>
      <c r="W31" s="851"/>
    </row>
    <row r="32" spans="1:23" ht="15.75" thickBot="1" x14ac:dyDescent="0.3">
      <c r="A32" s="863"/>
      <c r="B32" s="897"/>
      <c r="C32" s="898"/>
      <c r="D32" s="898"/>
      <c r="E32" s="898"/>
      <c r="F32" s="898"/>
      <c r="G32" s="898"/>
      <c r="H32" s="898"/>
      <c r="I32" s="898"/>
      <c r="J32" s="898"/>
      <c r="K32" s="898"/>
      <c r="L32" s="899"/>
      <c r="M32" s="849"/>
      <c r="N32" s="850"/>
      <c r="O32" s="850"/>
      <c r="P32" s="850"/>
      <c r="Q32" s="850"/>
      <c r="R32" s="850"/>
      <c r="S32" s="850"/>
      <c r="T32" s="850"/>
      <c r="U32" s="850"/>
      <c r="V32" s="850"/>
      <c r="W32" s="852"/>
    </row>
    <row r="33" spans="1:23" ht="26.25" customHeight="1" x14ac:dyDescent="0.25">
      <c r="A33" s="864"/>
      <c r="B33" s="877" t="s">
        <v>205</v>
      </c>
      <c r="C33" s="878"/>
      <c r="D33" s="937"/>
      <c r="E33" s="937"/>
      <c r="F33" s="952"/>
      <c r="G33" s="315" t="s">
        <v>17</v>
      </c>
      <c r="H33" s="312" t="s">
        <v>18</v>
      </c>
      <c r="I33" s="231" t="s">
        <v>19</v>
      </c>
      <c r="J33" s="91" t="s">
        <v>20</v>
      </c>
      <c r="K33" s="92" t="s">
        <v>21</v>
      </c>
      <c r="L33" s="256" t="s">
        <v>63</v>
      </c>
      <c r="M33" s="869" t="s">
        <v>205</v>
      </c>
      <c r="N33" s="876"/>
      <c r="O33" s="820" t="s">
        <v>17</v>
      </c>
      <c r="P33" s="820"/>
      <c r="Q33" s="820"/>
      <c r="R33" s="820"/>
      <c r="S33" s="227" t="s">
        <v>18</v>
      </c>
      <c r="T33" s="169" t="s">
        <v>19</v>
      </c>
      <c r="U33" s="170" t="s">
        <v>20</v>
      </c>
      <c r="V33" s="171" t="s">
        <v>21</v>
      </c>
      <c r="W33" s="255"/>
    </row>
    <row r="34" spans="1:23" ht="15.75" thickBot="1" x14ac:dyDescent="0.3">
      <c r="A34" s="864"/>
      <c r="B34" s="879"/>
      <c r="C34" s="880"/>
      <c r="D34" s="925"/>
      <c r="E34" s="925"/>
      <c r="F34" s="953"/>
      <c r="G34" s="316"/>
      <c r="H34" s="313"/>
      <c r="I34" s="313"/>
      <c r="J34" s="313"/>
      <c r="K34" s="314"/>
      <c r="L34" s="256" t="s">
        <v>63</v>
      </c>
      <c r="M34" s="871"/>
      <c r="N34" s="875"/>
      <c r="O34" s="821"/>
      <c r="P34" s="822"/>
      <c r="Q34" s="822"/>
      <c r="R34" s="823"/>
      <c r="S34" s="257"/>
      <c r="T34" s="257"/>
      <c r="U34" s="257"/>
      <c r="V34" s="257"/>
      <c r="W34" s="255"/>
    </row>
    <row r="35" spans="1:23" ht="5.85" customHeight="1" thickBot="1" x14ac:dyDescent="0.3">
      <c r="A35" s="26"/>
      <c r="B35" s="267"/>
      <c r="C35" s="262"/>
      <c r="D35" s="262"/>
      <c r="E35" s="262"/>
      <c r="F35" s="262"/>
      <c r="G35" s="268"/>
      <c r="H35" s="268"/>
      <c r="I35" s="268"/>
      <c r="J35" s="268"/>
      <c r="K35" s="269"/>
      <c r="L35" s="262"/>
      <c r="M35" s="267"/>
      <c r="N35" s="262"/>
      <c r="O35" s="268"/>
      <c r="P35" s="268"/>
      <c r="Q35" s="268"/>
      <c r="R35" s="268"/>
      <c r="S35" s="268"/>
      <c r="T35" s="268"/>
      <c r="U35" s="268"/>
      <c r="V35" s="269"/>
      <c r="W35" s="269"/>
    </row>
    <row r="36" spans="1:23" ht="28.5" customHeight="1" thickBot="1" x14ac:dyDescent="0.3">
      <c r="A36" s="867" t="s">
        <v>27</v>
      </c>
      <c r="B36" s="795" t="s">
        <v>215</v>
      </c>
      <c r="C36" s="796"/>
      <c r="D36" s="796"/>
      <c r="E36" s="796"/>
      <c r="F36" s="796"/>
      <c r="G36" s="796"/>
      <c r="H36" s="796"/>
      <c r="I36" s="796"/>
      <c r="J36" s="796"/>
      <c r="K36" s="796"/>
      <c r="L36" s="251"/>
      <c r="M36" s="815" t="s">
        <v>215</v>
      </c>
      <c r="N36" s="816"/>
      <c r="O36" s="816"/>
      <c r="P36" s="816"/>
      <c r="Q36" s="816"/>
      <c r="R36" s="816"/>
      <c r="S36" s="816"/>
      <c r="T36" s="816"/>
      <c r="U36" s="816"/>
      <c r="V36" s="816"/>
      <c r="W36" s="817"/>
    </row>
    <row r="37" spans="1:23" ht="23.25" customHeight="1" thickBot="1" x14ac:dyDescent="0.3">
      <c r="A37" s="867"/>
      <c r="B37" s="829" t="s">
        <v>207</v>
      </c>
      <c r="C37" s="830"/>
      <c r="D37" s="830"/>
      <c r="E37" s="830"/>
      <c r="F37" s="830"/>
      <c r="G37" s="830"/>
      <c r="H37" s="830"/>
      <c r="I37" s="830"/>
      <c r="J37" s="830"/>
      <c r="K37" s="830"/>
      <c r="L37" s="245"/>
      <c r="M37" s="829" t="s">
        <v>207</v>
      </c>
      <c r="N37" s="830"/>
      <c r="O37" s="830"/>
      <c r="P37" s="830"/>
      <c r="Q37" s="830"/>
      <c r="R37" s="830"/>
      <c r="S37" s="830"/>
      <c r="T37" s="830"/>
      <c r="U37" s="830"/>
      <c r="V37" s="830"/>
      <c r="W37" s="889"/>
    </row>
    <row r="38" spans="1:23" ht="27.75" customHeight="1" thickBot="1" x14ac:dyDescent="0.3">
      <c r="A38" s="867"/>
      <c r="B38" s="270" t="s">
        <v>212</v>
      </c>
      <c r="C38" s="947" t="s">
        <v>213</v>
      </c>
      <c r="D38" s="948"/>
      <c r="E38" s="948"/>
      <c r="F38" s="948"/>
      <c r="G38" s="308" t="s">
        <v>17</v>
      </c>
      <c r="H38" s="227" t="s">
        <v>18</v>
      </c>
      <c r="I38" s="169" t="s">
        <v>19</v>
      </c>
      <c r="J38" s="170" t="s">
        <v>20</v>
      </c>
      <c r="K38" s="171" t="s">
        <v>21</v>
      </c>
      <c r="L38" s="257"/>
      <c r="M38" s="920"/>
      <c r="N38" s="887"/>
      <c r="O38" s="887"/>
      <c r="P38" s="887"/>
      <c r="Q38" s="887"/>
      <c r="R38" s="887"/>
      <c r="S38" s="887"/>
      <c r="T38" s="887"/>
      <c r="U38" s="887"/>
      <c r="V38" s="887"/>
      <c r="W38" s="888"/>
    </row>
    <row r="39" spans="1:23" ht="39" customHeight="1" thickBot="1" x14ac:dyDescent="0.3">
      <c r="A39" s="867"/>
      <c r="B39" s="118" t="s">
        <v>209</v>
      </c>
      <c r="C39" s="949" t="s">
        <v>44</v>
      </c>
      <c r="D39" s="950"/>
      <c r="E39" s="950"/>
      <c r="F39" s="951"/>
      <c r="G39" s="471" t="b">
        <f>IF('Table 1-B  Context Analysis'!$K$7="Yes",IF('Table 1-D-Outcomes'!N32="","N/A",'Table 1-D-Outcomes'!N32), IF('Table 1-B  Context Analysis'!$K$7="No",IF('Table 1-B  Context Analysis'!$K$8="Yes",IF('Table 1-D-Outcomes'!$V32="F3",IF('Table 1-D-Outcomes'!N32="","N/A",'Table 1-D-Outcomes'!N32),IF('Table 1-D-Outcomes'!N32="","N/A"," F3 exigé")),IF('Table 1-D-Outcomes'!$V32="F0",IF('Table 1-D-Outcomes'!N32="","N/A","F0"),IF('Table 1-D-Outcomes'!$V32="F1",IF('Table 1-D-Outcomes'!N32="","N/A","F1"),IF('Table 1-D-Outcomes'!$V$32="Erreur","fiabilité",IF('Table 1-D-Outcomes'!N32="","N/A",'Table 1-D-Outcomes'!N32)))))))</f>
        <v>0</v>
      </c>
      <c r="H39" s="471" t="b">
        <f>IF('Table 1-B  Context Analysis'!$K$7="Yes",IF('Table 1-D-Outcomes'!O32="","N/A",'Table 1-D-Outcomes'!O32), IF('Table 1-B  Context Analysis'!$K$7="No",IF('Table 1-B  Context Analysis'!$K$8="Yes",IF('Table 1-D-Outcomes'!$V32="F3",IF('Table 1-D-Outcomes'!O32="","N/A",'Table 1-D-Outcomes'!O32),IF('Table 1-D-Outcomes'!O32="","N/A"," F3 exigé")),IF('Table 1-D-Outcomes'!$V32="F0",IF('Table 1-D-Outcomes'!O32="","N/A","F0"),IF('Table 1-D-Outcomes'!$V32="F1",IF('Table 1-D-Outcomes'!O32="","N/A","F1"),IF('Table 1-D-Outcomes'!$V$32="Erreur","fiabilité",IF('Table 1-D-Outcomes'!O32="","N/A",'Table 1-D-Outcomes'!O32)))))))</f>
        <v>0</v>
      </c>
      <c r="I39" s="471" t="b">
        <f>IF('Table 1-B  Context Analysis'!$K$7="Yes",IF('Table 1-D-Outcomes'!P32="","N/A",'Table 1-D-Outcomes'!P32), IF('Table 1-B  Context Analysis'!$K$7="No",IF('Table 1-B  Context Analysis'!$K$8="Yes",IF('Table 1-D-Outcomes'!$V32="F3",IF('Table 1-D-Outcomes'!P32="","N/A",'Table 1-D-Outcomes'!P32),IF('Table 1-D-Outcomes'!P32="","N/A"," F3 exigé")),IF('Table 1-D-Outcomes'!$V32="F0",IF('Table 1-D-Outcomes'!P32="","N/A","F0"),IF('Table 1-D-Outcomes'!$V32="F1",IF('Table 1-D-Outcomes'!P32="","N/A","F1"),IF('Table 1-D-Outcomes'!$V$32="Erreur","fiabilité",IF('Table 1-D-Outcomes'!P32="","N/A",'Table 1-D-Outcomes'!P32)))))))</f>
        <v>0</v>
      </c>
      <c r="J39" s="471" t="b">
        <f>IF('Table 1-B  Context Analysis'!$K$7="Yes",IF('Table 1-D-Outcomes'!Q32="","N/A",'Table 1-D-Outcomes'!Q32), IF('Table 1-B  Context Analysis'!$K$7="No",IF('Table 1-B  Context Analysis'!$K$8="Yes",IF('Table 1-D-Outcomes'!$V32="F3",IF('Table 1-D-Outcomes'!Q32="","N/A",'Table 1-D-Outcomes'!Q32),IF('Table 1-D-Outcomes'!Q32="","N/A"," F3 exigé")),IF('Table 1-D-Outcomes'!$V32="F0",IF('Table 1-D-Outcomes'!Q32="","N/A","F0"),IF('Table 1-D-Outcomes'!$V32="F1",IF('Table 1-D-Outcomes'!Q32="","N/A","F1"),IF('Table 1-D-Outcomes'!$V$32="Erreur","fiabilité",IF('Table 1-D-Outcomes'!Q32="","N/A",'Table 1-D-Outcomes'!Q32)))))))</f>
        <v>0</v>
      </c>
      <c r="K39" s="381" t="s">
        <v>45</v>
      </c>
      <c r="L39" s="316"/>
      <c r="M39" s="848"/>
      <c r="N39" s="847"/>
      <c r="O39" s="847"/>
      <c r="P39" s="847"/>
      <c r="Q39" s="847"/>
      <c r="R39" s="847"/>
      <c r="S39" s="847"/>
      <c r="T39" s="847"/>
      <c r="U39" s="847"/>
      <c r="V39" s="847"/>
      <c r="W39" s="851"/>
    </row>
    <row r="40" spans="1:23" ht="16.5" customHeight="1" thickBot="1" x14ac:dyDescent="0.3">
      <c r="A40" s="867"/>
      <c r="B40" s="787" t="s">
        <v>62</v>
      </c>
      <c r="C40" s="788"/>
      <c r="D40" s="788"/>
      <c r="E40" s="788"/>
      <c r="F40" s="788"/>
      <c r="G40" s="788"/>
      <c r="H40" s="788"/>
      <c r="I40" s="788"/>
      <c r="J40" s="788"/>
      <c r="K40" s="788"/>
      <c r="L40" s="789"/>
      <c r="M40" s="787" t="s">
        <v>204</v>
      </c>
      <c r="N40" s="788"/>
      <c r="O40" s="788"/>
      <c r="P40" s="788"/>
      <c r="Q40" s="788"/>
      <c r="R40" s="788"/>
      <c r="S40" s="788"/>
      <c r="T40" s="788"/>
      <c r="U40" s="788"/>
      <c r="V40" s="788"/>
      <c r="W40" s="789"/>
    </row>
    <row r="41" spans="1:23" s="473" customFormat="1" ht="27" customHeight="1" thickBot="1" x14ac:dyDescent="0.3">
      <c r="A41" s="867"/>
      <c r="B41" s="474"/>
      <c r="C41" s="860" t="s">
        <v>201</v>
      </c>
      <c r="D41" s="860"/>
      <c r="E41" s="860" t="s">
        <v>130</v>
      </c>
      <c r="F41" s="860"/>
      <c r="G41" s="860" t="s">
        <v>202</v>
      </c>
      <c r="H41" s="860"/>
      <c r="I41" s="860" t="s">
        <v>203</v>
      </c>
      <c r="J41" s="860"/>
      <c r="K41" s="860" t="s">
        <v>129</v>
      </c>
      <c r="L41" s="860"/>
      <c r="M41" s="474"/>
      <c r="N41" s="860" t="s">
        <v>201</v>
      </c>
      <c r="O41" s="860"/>
      <c r="P41" s="860" t="s">
        <v>130</v>
      </c>
      <c r="Q41" s="860"/>
      <c r="R41" s="860" t="s">
        <v>202</v>
      </c>
      <c r="S41" s="860"/>
      <c r="T41" s="860" t="s">
        <v>203</v>
      </c>
      <c r="U41" s="860"/>
      <c r="V41" s="860" t="s">
        <v>129</v>
      </c>
      <c r="W41" s="860"/>
    </row>
    <row r="42" spans="1:23" s="473" customFormat="1" ht="27" customHeight="1" thickBot="1" x14ac:dyDescent="0.3">
      <c r="A42" s="867"/>
      <c r="B42" s="475" t="s">
        <v>210</v>
      </c>
      <c r="C42" s="857" t="str">
        <f>IF('Table 2-A- FC Analysis'!D36="x","-F",IF('Table 2-A- FC Analysis'!E36="x","-M",IF('Table 2-A- FC Analysis'!F36="x","-L",IF('Table 2-A- FC Analysis'!G36="x","+L",IF('Table 2-A- FC Analysis'!H36="x","+M",IF('Table 2-A- FC Analysis'!I36="x","+F","N/A"))))))</f>
        <v>N/A</v>
      </c>
      <c r="D42" s="858"/>
      <c r="E42" s="857" t="str">
        <f>IF('Table 2-A- FC Analysis'!D71="x","-F",IF('Table 2-A- FC Analysis'!E71="x","-M",IF('Table 2-A- FC Analysis'!F71="x","-L",IF('Table 2-A- FC Analysis'!G71="x","+L",IF('Table 2-A- FC Analysis'!H71="x","+M",IF('Table 2-A- FC Analysis'!I71="x","+F","N/A"))))))</f>
        <v>N/A</v>
      </c>
      <c r="F42" s="858"/>
      <c r="G42" s="857" t="str">
        <f>IF('Table 2-A- FC Analysis'!D103="x","-F",IF('Table 2-A- FC Analysis'!E103="x","-M",IF('Table 2-A- FC Analysis'!F103="x","-L",IF('Table 2-A- FC Analysis'!G103="x","+L",IF('Table 2-A- FC Analysis'!H103="x","+M",IF('Table 2-A- FC Analysis'!I103="x","+F","N/A"))))))</f>
        <v>N/A</v>
      </c>
      <c r="H42" s="858"/>
      <c r="I42" s="857" t="str">
        <f>IF('Table 2-A- FC Analysis'!D135="x","-F",IF('Table 2-A- FC Analysis'!E135="x","-M",IF('Table 2-A- FC Analysis'!F135="x","-L",IF('Table 2-A- FC Analysis'!G135="x","+L",IF('Table 2-A- FC Analysis'!H135="x","+M",IF('Table 2-A- FC Analysis'!I135="x","+F","N/A"))))))</f>
        <v>N/A</v>
      </c>
      <c r="J42" s="858"/>
      <c r="K42" s="857" t="str">
        <f>IF('Table 2-A- FC Analysis'!D167="x","-F",IF('Table 2-A- FC Analysis'!E167="x","-M",IF('Table 2-A- FC Analysis'!F167="x","-L",IF('Table 2-A- FC Analysis'!G167="x","+L",IF('Table 2-A- FC Analysis'!H167="x","+M",IF('Table 2-A- FC Analysis'!I167="x","+F","N/A"))))))</f>
        <v>N/A</v>
      </c>
      <c r="L42" s="859"/>
      <c r="M42" s="475" t="s">
        <v>210</v>
      </c>
      <c r="N42" s="861" t="str">
        <f>IF('Table 2-A- FC Analysis'!K36="x","-F",IF('Table 2-A- FC Analysis'!L36="x","-M",IF('Table 2-A- FC Analysis'!M36="x","-L",IF('Table 2-A- FC Analysis'!N36="x","+L",IF('Table 2-A- FC Analysis'!O36="x","+M",IF('Table 2-A- FC Analysis'!P36="x","+F","N/A"))))))</f>
        <v>N/A</v>
      </c>
      <c r="O42" s="862"/>
      <c r="P42" s="861" t="str">
        <f>IF('Table 2-A- FC Analysis'!K71="x","-F",IF('Table 2-A- FC Analysis'!L71="x","-M",IF('Table 2-A- FC Analysis'!M71="x","-L",IF('Table 2-A- FC Analysis'!N71="x","+L",IF('Table 2-A- FC Analysis'!O71="x","+M",IF('Table 2-A- FC Analysis'!P71="x","+F","N/A"))))))</f>
        <v>N/A</v>
      </c>
      <c r="Q42" s="862"/>
      <c r="R42" s="861" t="str">
        <f>IF('Table 2-A- FC Analysis'!K103="x","-F",IF('Table 2-A- FC Analysis'!L103="x","-M",IF('Table 2-A- FC Analysis'!M103="x","-L",IF('Table 2-A- FC Analysis'!N103="x","+L",IF('Table 2-A- FC Analysis'!O103="x","+M",IF('Table 2-A- FC Analysis'!P103="x","+F","N/A"))))))</f>
        <v>N/A</v>
      </c>
      <c r="S42" s="862"/>
      <c r="T42" s="861" t="str">
        <f>IF('Table 2-A- FC Analysis'!K135="x","-F",IF('Table 2-A- FC Analysis'!L135="x","-M",IF('Table 2-A- FC Analysis'!M135="x","-L",IF('Table 2-A- FC Analysis'!N135="x","+L",IF('Table 2-A- FC Analysis'!O135="x","+M",IF('Table 2-A- FC Analysis'!P135="x","+F","N/A"))))))</f>
        <v>N/A</v>
      </c>
      <c r="U42" s="862"/>
      <c r="V42" s="861" t="str">
        <f>IF('Table 2-A- FC Analysis'!K167="x","-F",IF('Table 2-A- FC Analysis'!L167="x","-M",IF('Table 2-A- FC Analysis'!M167="x","-L",IF('Table 2-A- FC Analysis'!N167="x","+L",IF('Table 2-A- FC Analysis'!O167="x","+M",IF('Table 2-A- FC Analysis'!P167="x","+F","N/A"))))))</f>
        <v>N/A</v>
      </c>
      <c r="W42" s="862"/>
    </row>
    <row r="43" spans="1:23" ht="16.350000000000001" customHeight="1" thickBot="1" x14ac:dyDescent="0.3">
      <c r="A43" s="867"/>
      <c r="B43" s="938" t="s">
        <v>206</v>
      </c>
      <c r="C43" s="939"/>
      <c r="D43" s="939"/>
      <c r="E43" s="939"/>
      <c r="F43" s="939"/>
      <c r="G43" s="939"/>
      <c r="H43" s="939"/>
      <c r="I43" s="939"/>
      <c r="J43" s="939"/>
      <c r="K43" s="939"/>
      <c r="L43" s="472"/>
      <c r="M43" s="921" t="s">
        <v>206</v>
      </c>
      <c r="N43" s="922"/>
      <c r="O43" s="922"/>
      <c r="P43" s="922"/>
      <c r="Q43" s="922"/>
      <c r="R43" s="922"/>
      <c r="S43" s="922"/>
      <c r="T43" s="922"/>
      <c r="U43" s="922"/>
      <c r="V43" s="922"/>
      <c r="W43" s="923"/>
    </row>
    <row r="44" spans="1:23" x14ac:dyDescent="0.25">
      <c r="A44" s="868"/>
      <c r="B44" s="841"/>
      <c r="C44" s="910"/>
      <c r="D44" s="910"/>
      <c r="E44" s="910"/>
      <c r="F44" s="910"/>
      <c r="G44" s="910"/>
      <c r="H44" s="910"/>
      <c r="I44" s="910"/>
      <c r="J44" s="910"/>
      <c r="K44" s="910"/>
      <c r="L44" s="911"/>
      <c r="M44" s="841"/>
      <c r="N44" s="887"/>
      <c r="O44" s="887"/>
      <c r="P44" s="887"/>
      <c r="Q44" s="887"/>
      <c r="R44" s="887"/>
      <c r="S44" s="887"/>
      <c r="T44" s="887"/>
      <c r="U44" s="887"/>
      <c r="V44" s="887"/>
      <c r="W44" s="888"/>
    </row>
    <row r="45" spans="1:23" x14ac:dyDescent="0.25">
      <c r="A45" s="868"/>
      <c r="B45" s="912"/>
      <c r="C45" s="913"/>
      <c r="D45" s="913"/>
      <c r="E45" s="913"/>
      <c r="F45" s="913"/>
      <c r="G45" s="913"/>
      <c r="H45" s="913"/>
      <c r="I45" s="913"/>
      <c r="J45" s="913"/>
      <c r="K45" s="913"/>
      <c r="L45" s="914"/>
      <c r="M45" s="848"/>
      <c r="N45" s="847"/>
      <c r="O45" s="847"/>
      <c r="P45" s="847"/>
      <c r="Q45" s="847"/>
      <c r="R45" s="847"/>
      <c r="S45" s="847"/>
      <c r="T45" s="847"/>
      <c r="U45" s="847"/>
      <c r="V45" s="847"/>
      <c r="W45" s="851"/>
    </row>
    <row r="46" spans="1:23" x14ac:dyDescent="0.25">
      <c r="A46" s="868"/>
      <c r="B46" s="912"/>
      <c r="C46" s="913"/>
      <c r="D46" s="913"/>
      <c r="E46" s="913"/>
      <c r="F46" s="913"/>
      <c r="G46" s="913"/>
      <c r="H46" s="913"/>
      <c r="I46" s="913"/>
      <c r="J46" s="913"/>
      <c r="K46" s="913"/>
      <c r="L46" s="914"/>
      <c r="M46" s="848"/>
      <c r="N46" s="847"/>
      <c r="O46" s="847"/>
      <c r="P46" s="847"/>
      <c r="Q46" s="847"/>
      <c r="R46" s="847"/>
      <c r="S46" s="847"/>
      <c r="T46" s="847"/>
      <c r="U46" s="847"/>
      <c r="V46" s="847"/>
      <c r="W46" s="851"/>
    </row>
    <row r="47" spans="1:23" ht="15.75" thickBot="1" x14ac:dyDescent="0.3">
      <c r="A47" s="868"/>
      <c r="B47" s="915"/>
      <c r="C47" s="916"/>
      <c r="D47" s="916"/>
      <c r="E47" s="916"/>
      <c r="F47" s="916"/>
      <c r="G47" s="916"/>
      <c r="H47" s="916"/>
      <c r="I47" s="916"/>
      <c r="J47" s="916"/>
      <c r="K47" s="916"/>
      <c r="L47" s="917"/>
      <c r="M47" s="849"/>
      <c r="N47" s="850"/>
      <c r="O47" s="850"/>
      <c r="P47" s="850"/>
      <c r="Q47" s="850"/>
      <c r="R47" s="850"/>
      <c r="S47" s="850"/>
      <c r="T47" s="850"/>
      <c r="U47" s="850"/>
      <c r="V47" s="850"/>
      <c r="W47" s="852"/>
    </row>
    <row r="48" spans="1:23" ht="29.25" customHeight="1" thickBot="1" x14ac:dyDescent="0.3">
      <c r="A48" s="867"/>
      <c r="B48" s="869" t="s">
        <v>208</v>
      </c>
      <c r="C48" s="870"/>
      <c r="D48" s="937"/>
      <c r="E48" s="937"/>
      <c r="F48" s="937"/>
      <c r="G48" s="308" t="s">
        <v>17</v>
      </c>
      <c r="H48" s="227" t="s">
        <v>18</v>
      </c>
      <c r="I48" s="169" t="s">
        <v>19</v>
      </c>
      <c r="J48" s="170" t="s">
        <v>20</v>
      </c>
      <c r="K48" s="171" t="s">
        <v>21</v>
      </c>
      <c r="L48" s="256"/>
      <c r="M48" s="873" t="s">
        <v>208</v>
      </c>
      <c r="N48" s="874"/>
      <c r="O48" s="820" t="s">
        <v>17</v>
      </c>
      <c r="P48" s="820"/>
      <c r="Q48" s="820"/>
      <c r="R48" s="820"/>
      <c r="S48" s="227" t="s">
        <v>18</v>
      </c>
      <c r="T48" s="169" t="s">
        <v>19</v>
      </c>
      <c r="U48" s="170" t="s">
        <v>20</v>
      </c>
      <c r="V48" s="171" t="s">
        <v>21</v>
      </c>
      <c r="W48" s="251"/>
    </row>
    <row r="49" spans="1:23" ht="15.75" thickBot="1" x14ac:dyDescent="0.3">
      <c r="A49" s="867"/>
      <c r="B49" s="871"/>
      <c r="C49" s="872"/>
      <c r="D49" s="925"/>
      <c r="E49" s="925"/>
      <c r="F49" s="925"/>
      <c r="G49" s="257"/>
      <c r="H49" s="257"/>
      <c r="I49" s="257"/>
      <c r="J49" s="257"/>
      <c r="K49" s="257"/>
      <c r="L49" s="140" t="s">
        <v>63</v>
      </c>
      <c r="M49" s="871"/>
      <c r="N49" s="875"/>
      <c r="O49" s="821"/>
      <c r="P49" s="822"/>
      <c r="Q49" s="822"/>
      <c r="R49" s="823"/>
      <c r="S49" s="257"/>
      <c r="T49" s="257"/>
      <c r="U49" s="257"/>
      <c r="V49" s="257"/>
      <c r="W49" s="265"/>
    </row>
    <row r="50" spans="1:23" ht="5.85" customHeight="1" thickBot="1" x14ac:dyDescent="0.3">
      <c r="A50" s="21"/>
      <c r="B50" s="22"/>
      <c r="C50" s="23"/>
      <c r="D50" s="23"/>
      <c r="E50" s="23"/>
      <c r="F50" s="23"/>
      <c r="G50" s="24"/>
      <c r="H50" s="24"/>
      <c r="I50" s="24"/>
      <c r="J50" s="24"/>
      <c r="K50" s="25"/>
      <c r="L50" s="23"/>
      <c r="M50" s="22"/>
      <c r="N50" s="23"/>
      <c r="O50" s="24"/>
      <c r="P50" s="24"/>
      <c r="Q50" s="24"/>
      <c r="R50" s="24"/>
      <c r="S50" s="24"/>
      <c r="T50" s="24"/>
      <c r="U50" s="24"/>
      <c r="V50" s="25"/>
      <c r="W50" s="25"/>
    </row>
    <row r="51" spans="1:23" ht="33.75" customHeight="1" thickBot="1" x14ac:dyDescent="0.3">
      <c r="A51" s="863" t="s">
        <v>26</v>
      </c>
      <c r="B51" s="829" t="s">
        <v>211</v>
      </c>
      <c r="C51" s="830"/>
      <c r="D51" s="830"/>
      <c r="E51" s="830"/>
      <c r="F51" s="830"/>
      <c r="G51" s="830"/>
      <c r="H51" s="830"/>
      <c r="I51" s="830"/>
      <c r="J51" s="830"/>
      <c r="K51" s="830"/>
      <c r="L51" s="889"/>
      <c r="M51" s="829" t="s">
        <v>211</v>
      </c>
      <c r="N51" s="830"/>
      <c r="O51" s="830"/>
      <c r="P51" s="830"/>
      <c r="Q51" s="830"/>
      <c r="R51" s="830"/>
      <c r="S51" s="830"/>
      <c r="T51" s="830"/>
      <c r="U51" s="830"/>
      <c r="V51" s="830"/>
      <c r="W51" s="889"/>
    </row>
    <row r="52" spans="1:23" ht="15.75" customHeight="1" thickBot="1" x14ac:dyDescent="0.3">
      <c r="A52" s="863"/>
      <c r="B52" s="829" t="s">
        <v>207</v>
      </c>
      <c r="C52" s="830"/>
      <c r="D52" s="830"/>
      <c r="E52" s="830"/>
      <c r="F52" s="830"/>
      <c r="G52" s="830"/>
      <c r="H52" s="830"/>
      <c r="I52" s="830"/>
      <c r="J52" s="830"/>
      <c r="K52" s="816"/>
      <c r="L52" s="889"/>
      <c r="M52" s="829" t="s">
        <v>207</v>
      </c>
      <c r="N52" s="830"/>
      <c r="O52" s="830"/>
      <c r="P52" s="830"/>
      <c r="Q52" s="830"/>
      <c r="R52" s="830"/>
      <c r="S52" s="830"/>
      <c r="T52" s="830"/>
      <c r="U52" s="830"/>
      <c r="V52" s="830"/>
      <c r="W52" s="889"/>
    </row>
    <row r="53" spans="1:23" ht="27" customHeight="1" x14ac:dyDescent="0.25">
      <c r="A53" s="863"/>
      <c r="B53" s="179" t="s">
        <v>212</v>
      </c>
      <c r="C53" s="20" t="s">
        <v>213</v>
      </c>
      <c r="D53" s="928"/>
      <c r="E53" s="928"/>
      <c r="F53" s="928"/>
      <c r="G53" s="308" t="s">
        <v>17</v>
      </c>
      <c r="H53" s="227" t="s">
        <v>18</v>
      </c>
      <c r="I53" s="169" t="s">
        <v>19</v>
      </c>
      <c r="J53" s="170" t="s">
        <v>20</v>
      </c>
      <c r="K53" s="171" t="s">
        <v>21</v>
      </c>
      <c r="L53" s="258"/>
      <c r="M53" s="904"/>
      <c r="N53" s="905"/>
      <c r="O53" s="905"/>
      <c r="P53" s="905"/>
      <c r="Q53" s="905"/>
      <c r="R53" s="905"/>
      <c r="S53" s="905"/>
      <c r="T53" s="905"/>
      <c r="U53" s="905"/>
      <c r="V53" s="905"/>
      <c r="W53" s="906"/>
    </row>
    <row r="54" spans="1:23" ht="41.25" customHeight="1" thickBot="1" x14ac:dyDescent="0.3">
      <c r="A54" s="863"/>
      <c r="B54" s="260" t="s">
        <v>216</v>
      </c>
      <c r="C54" s="471" t="b">
        <f>IF('Table 1-B  Context Analysis'!$K$7="Yes",IF('Table 1-D-Outcomes'!M35="","N/A",'Table 1-D-Outcomes'!M35), IF('Table 1-B  Context Analysis'!$K$7="No",IF('Table 1-B  Context Analysis'!$K$8="Yes",IF('Table 1-D-Outcomes'!$V35="F3",IF('Table 1-D-Outcomes'!M35="","N/A",'Table 1-D-Outcomes'!M35),IF('Table 1-D-Outcomes'!M35="","N/A"," F3 exigé")),IF('Table 1-D-Outcomes'!$V35="F0",IF('Table 1-D-Outcomes'!M35="","N/A","F0"),IF('Table 1-D-Outcomes'!$V35="F1",IF('Table 1-D-Outcomes'!M35="","N/A","F1"),IF('Table 1-D-Outcomes'!$V$35="Erreur","fiabilité",IF('Table 1-D-Outcomes'!M35="","N/A",'Table 1-D-Outcomes'!M35)))))))</f>
        <v>0</v>
      </c>
      <c r="D54" s="930"/>
      <c r="E54" s="930"/>
      <c r="F54" s="930"/>
      <c r="G54" s="257"/>
      <c r="H54" s="257"/>
      <c r="I54" s="257"/>
      <c r="J54" s="257"/>
      <c r="K54" s="257"/>
      <c r="L54" s="259"/>
      <c r="M54" s="907"/>
      <c r="N54" s="908"/>
      <c r="O54" s="908"/>
      <c r="P54" s="908"/>
      <c r="Q54" s="908"/>
      <c r="R54" s="908"/>
      <c r="S54" s="908"/>
      <c r="T54" s="908"/>
      <c r="U54" s="908"/>
      <c r="V54" s="908"/>
      <c r="W54" s="909"/>
    </row>
    <row r="55" spans="1:23" ht="26.25" x14ac:dyDescent="0.25">
      <c r="A55" s="863"/>
      <c r="B55" s="360" t="s">
        <v>217</v>
      </c>
      <c r="C55" s="471" t="b">
        <f>IF('Table 1-B  Context Analysis'!$K$7="Yes",IF('Table 1-D-Outcomes'!M36="","N/A",'Table 1-D-Outcomes'!M36), IF('Table 1-B  Context Analysis'!$K$7="No",IF('Table 1-B  Context Analysis'!$K$8="Yes",IF('Table 1-D-Outcomes'!$V36="F3",IF('Table 1-D-Outcomes'!M36="","N/A",'Table 1-D-Outcomes'!M36),IF('Table 1-D-Outcomes'!M36="","N/A"," F3 exigé")),IF('Table 1-D-Outcomes'!$V36="F0",IF('Table 1-D-Outcomes'!M36="","N/A","F0"),IF('Table 1-D-Outcomes'!$V36="F1",IF('Table 1-D-Outcomes'!M36="","N/A","F1"),IF('Table 1-D-Outcomes'!$V$36="Erreur","fiabilité",IF('Table 1-D-Outcomes'!M36="","N/A",'Table 1-D-Outcomes'!M36)))))))</f>
        <v>0</v>
      </c>
      <c r="D55" s="930"/>
      <c r="E55" s="930"/>
      <c r="F55" s="930"/>
      <c r="G55" s="257"/>
      <c r="H55" s="257"/>
      <c r="I55" s="257"/>
      <c r="J55" s="257"/>
      <c r="K55" s="257"/>
      <c r="L55" s="259"/>
      <c r="M55" s="865" t="s">
        <v>24</v>
      </c>
      <c r="N55" s="866"/>
      <c r="O55" s="820" t="s">
        <v>17</v>
      </c>
      <c r="P55" s="820"/>
      <c r="Q55" s="820"/>
      <c r="R55" s="820"/>
      <c r="S55" s="227" t="s">
        <v>18</v>
      </c>
      <c r="T55" s="169" t="s">
        <v>19</v>
      </c>
      <c r="U55" s="170" t="s">
        <v>20</v>
      </c>
      <c r="V55" s="171" t="s">
        <v>21</v>
      </c>
      <c r="W55" s="261"/>
    </row>
    <row r="56" spans="1:23" ht="33" customHeight="1" thickBot="1" x14ac:dyDescent="0.3">
      <c r="A56" s="863"/>
      <c r="B56" s="260" t="s">
        <v>9</v>
      </c>
      <c r="C56" s="471" t="b">
        <f>IF('Table 1-B  Context Analysis'!$K$7="Yes",IF('Table 1-D-Outcomes'!M38="","N/A",'Table 1-D-Outcomes'!M38), IF('Table 1-B  Context Analysis'!$K$7="No",IF('Table 1-B  Context Analysis'!$K$8="Yes",IF('Table 1-D-Outcomes'!$V38="F3",IF('Table 1-D-Outcomes'!M38="","N/A",'Table 1-D-Outcomes'!M38),IF('Table 1-D-Outcomes'!M38="","N/A"," F3 exigé")),IF('Table 1-D-Outcomes'!$V38="F0",IF('Table 1-D-Outcomes'!M38="","N/A","F0"),IF('Table 1-D-Outcomes'!$V38="F1",IF('Table 1-D-Outcomes'!M38="","N/A","F1"),IF('Table 1-D-Outcomes'!$V$38="Erreur","fiabilité",IF('Table 1-D-Outcomes'!M38="","N/A",'Table 1-D-Outcomes'!M38)))))))</f>
        <v>0</v>
      </c>
      <c r="D56" s="933"/>
      <c r="E56" s="933"/>
      <c r="F56" s="933"/>
      <c r="G56" s="257"/>
      <c r="H56" s="257"/>
      <c r="I56" s="257"/>
      <c r="J56" s="257"/>
      <c r="K56" s="257"/>
      <c r="L56" s="259"/>
      <c r="M56" s="266" t="s">
        <v>217</v>
      </c>
      <c r="N56" s="399" t="b">
        <f>IF('Table 1-B  Context Analysis'!$K$7="Yes",IF('Table 1-D-Outcomes'!M37="","N/A",'Table 1-D-Outcomes'!M37), IF('Table 1-B  Context Analysis'!$K$7="No",IF('Table 1-B  Context Analysis'!$K$8="Yes",IF('Table 1-D-Outcomes'!$V37="F3",IF('Table 1-D-Outcomes'!M37="","N/A",'Table 1-D-Outcomes'!M37),IF('Table 1-D-Outcomes'!M37="","N/A"," F3 exigé")),IF('Table 1-D-Outcomes'!$V37="F0",IF('Table 1-D-Outcomes'!M37="","N/A","F0"),IF('Table 1-D-Outcomes'!$V37="F1",IF('Table 1-D-Outcomes'!M37="","N/A","F1"),IF('Table 1-D-Outcomes'!$V$37="Erreur","fiabilité",IF('Table 1-D-Outcomes'!M37="","N/A",'Table 1-D-Outcomes'!M37)))))))</f>
        <v>0</v>
      </c>
      <c r="O56" s="821"/>
      <c r="P56" s="822"/>
      <c r="Q56" s="822"/>
      <c r="R56" s="823"/>
      <c r="S56" s="257"/>
      <c r="T56" s="257"/>
      <c r="U56" s="257"/>
      <c r="V56" s="257"/>
      <c r="W56" s="261"/>
    </row>
    <row r="57" spans="1:23" ht="15.75" customHeight="1" thickBot="1" x14ac:dyDescent="0.3">
      <c r="A57" s="863"/>
      <c r="B57" s="918" t="s">
        <v>25</v>
      </c>
      <c r="C57" s="919"/>
      <c r="D57" s="919"/>
      <c r="E57" s="919"/>
      <c r="F57" s="919"/>
      <c r="G57" s="919"/>
      <c r="H57" s="919"/>
      <c r="I57" s="919"/>
      <c r="J57" s="919"/>
      <c r="K57" s="919"/>
      <c r="L57" s="256"/>
      <c r="M57" s="186"/>
      <c r="N57" s="187"/>
      <c r="O57" s="188"/>
      <c r="P57" s="238"/>
      <c r="Q57" s="238"/>
      <c r="R57" s="189"/>
      <c r="S57" s="190"/>
      <c r="T57" s="190"/>
      <c r="U57" s="190"/>
      <c r="V57" s="191"/>
      <c r="W57" s="261"/>
    </row>
    <row r="58" spans="1:23" ht="15.75" thickBot="1" x14ac:dyDescent="0.3">
      <c r="A58" s="864"/>
      <c r="B58" s="178" t="s">
        <v>10</v>
      </c>
      <c r="C58" s="471" t="b">
        <f>IF('Table 1-B  Context Analysis'!$K$7="Yes",IF('Table 1-D-Outcomes'!M39="","N/A",'Table 1-D-Outcomes'!M39), IF('Table 1-B  Context Analysis'!$K$7="No",IF('Table 1-B  Context Analysis'!$K$8="Yes",IF('Table 1-D-Outcomes'!$V39="F3",IF('Table 1-D-Outcomes'!M39="","N/A",'Table 1-D-Outcomes'!M39),IF('Table 1-D-Outcomes'!M39="","N/A"," F3 exigé")),IF('Table 1-D-Outcomes'!$V39="F0",IF('Table 1-D-Outcomes'!M39="","N/A","F0"),IF('Table 1-D-Outcomes'!$V39="F1",IF('Table 1-D-Outcomes'!M39="","N/A","F1"),IF('Table 1-D-Outcomes'!$V$39="Erreur","fiabilité",IF('Table 1-D-Outcomes'!M39="","N/A",'Table 1-D-Outcomes'!M39)))))))</f>
        <v>0</v>
      </c>
      <c r="D58" s="934"/>
      <c r="E58" s="935"/>
      <c r="F58" s="936"/>
      <c r="G58" s="257"/>
      <c r="H58" s="257"/>
      <c r="I58" s="257"/>
      <c r="J58" s="257"/>
      <c r="K58" s="257"/>
      <c r="L58" s="256"/>
      <c r="M58" s="181"/>
      <c r="N58" s="182"/>
      <c r="O58" s="183"/>
      <c r="P58" s="239"/>
      <c r="Q58" s="239"/>
      <c r="R58" s="184"/>
      <c r="S58" s="185"/>
      <c r="T58" s="185"/>
      <c r="U58" s="185"/>
      <c r="V58" s="192"/>
      <c r="W58" s="246"/>
    </row>
    <row r="59" spans="1:23" ht="16.5" customHeight="1" thickBot="1" x14ac:dyDescent="0.3">
      <c r="A59" s="864"/>
      <c r="B59" s="787" t="s">
        <v>204</v>
      </c>
      <c r="C59" s="788"/>
      <c r="D59" s="788"/>
      <c r="E59" s="788"/>
      <c r="F59" s="788"/>
      <c r="G59" s="788"/>
      <c r="H59" s="788"/>
      <c r="I59" s="788"/>
      <c r="J59" s="788"/>
      <c r="K59" s="788"/>
      <c r="L59" s="789"/>
      <c r="M59" s="787" t="s">
        <v>204</v>
      </c>
      <c r="N59" s="788"/>
      <c r="O59" s="788"/>
      <c r="P59" s="788"/>
      <c r="Q59" s="788"/>
      <c r="R59" s="788"/>
      <c r="S59" s="788"/>
      <c r="T59" s="788"/>
      <c r="U59" s="788"/>
      <c r="V59" s="788"/>
      <c r="W59" s="789"/>
    </row>
    <row r="60" spans="1:23" ht="16.5" customHeight="1" thickBot="1" x14ac:dyDescent="0.3">
      <c r="A60" s="864"/>
      <c r="B60" s="474"/>
      <c r="C60" s="860" t="s">
        <v>201</v>
      </c>
      <c r="D60" s="860"/>
      <c r="E60" s="860" t="s">
        <v>130</v>
      </c>
      <c r="F60" s="860"/>
      <c r="G60" s="860" t="s">
        <v>202</v>
      </c>
      <c r="H60" s="860"/>
      <c r="I60" s="860" t="s">
        <v>203</v>
      </c>
      <c r="J60" s="860"/>
      <c r="K60" s="860" t="s">
        <v>129</v>
      </c>
      <c r="L60" s="860"/>
      <c r="M60" s="474"/>
      <c r="N60" s="860" t="s">
        <v>201</v>
      </c>
      <c r="O60" s="860"/>
      <c r="P60" s="860" t="s">
        <v>130</v>
      </c>
      <c r="Q60" s="860"/>
      <c r="R60" s="860" t="s">
        <v>202</v>
      </c>
      <c r="S60" s="860"/>
      <c r="T60" s="860" t="s">
        <v>203</v>
      </c>
      <c r="U60" s="860"/>
      <c r="V60" s="860" t="s">
        <v>129</v>
      </c>
      <c r="W60" s="860"/>
    </row>
    <row r="61" spans="1:23" ht="26.25" customHeight="1" thickBot="1" x14ac:dyDescent="0.3">
      <c r="A61" s="864"/>
      <c r="B61" s="475" t="s">
        <v>222</v>
      </c>
      <c r="C61" s="857" t="str">
        <f>IF('Table 2-A- FC Analysis'!D37="x","-F",IF('Table 2-A- FC Analysis'!E37="x","-M",IF('Table 2-A- FC Analysis'!F37="x","-L",IF('Table 2-A- FC Analysis'!G37="x","+L",IF('Table 2-A- FC Analysis'!H37="x","+M",IF('Table 2-A- FC Analysis'!I37="x","+F","N/A"))))))</f>
        <v>N/A</v>
      </c>
      <c r="D61" s="858"/>
      <c r="E61" s="857" t="str">
        <f>IF('Table 2-A- FC Analysis'!D72="x","-F",IF('Table 2-A- FC Analysis'!E72="x","-M",IF('Table 2-A- FC Analysis'!F72="x","-L",IF('Table 2-A- FC Analysis'!G72="x","+L",IF('Table 2-A- FC Analysis'!H72="x","+M",IF('Table 2-A- FC Analysis'!I72="x","+F","N/A"))))))</f>
        <v>N/A</v>
      </c>
      <c r="F61" s="858"/>
      <c r="G61" s="857" t="str">
        <f>IF('Table 2-A- FC Analysis'!D104="x","-F",IF('Table 2-A- FC Analysis'!E104="x","-M",IF('Table 2-A- FC Analysis'!F104="x","-L",IF('Table 2-A- FC Analysis'!G104="x","+L",IF('Table 2-A- FC Analysis'!H104="x","+M",IF('Table 2-A- FC Analysis'!I104="x","+F","N/A"))))))</f>
        <v>N/A</v>
      </c>
      <c r="H61" s="858"/>
      <c r="I61" s="857" t="str">
        <f>IF('Table 2-A- FC Analysis'!D136="x","-F",IF('Table 2-A- FC Analysis'!E136="x","-M",IF('Table 2-A- FC Analysis'!F136="x","-L",IF('Table 2-A- FC Analysis'!G136="x","+L",IF('Table 2-A- FC Analysis'!H136="x","+M",IF('Table 2-A- FC Analysis'!I136="x","+F","N/A"))))))</f>
        <v>N/A</v>
      </c>
      <c r="J61" s="858"/>
      <c r="K61" s="857" t="str">
        <f>IF('Table 2-A- FC Analysis'!D168="x","-F",IF('Table 2-A- FC Analysis'!E168="x","-M",IF('Table 2-A- FC Analysis'!F168="x","-L",IF('Table 2-A- FC Analysis'!G168="x","+L",IF('Table 2-A- FC Analysis'!H168="x","+M",IF('Table 2-A- FC Analysis'!I168="x","+F","N/A"))))))</f>
        <v>N/A</v>
      </c>
      <c r="L61" s="859"/>
      <c r="M61" s="475" t="s">
        <v>222</v>
      </c>
      <c r="N61" s="861" t="str">
        <f>IF('Table 2-A- FC Analysis'!K37="x","-F",IF('Table 2-A- FC Analysis'!L37="x","-M",IF('Table 2-A- FC Analysis'!M37="x","-L",IF('Table 2-A- FC Analysis'!N37="x","+L",IF('Table 2-A- FC Analysis'!O37="x","+M",IF('Table 2-A- FC Analysis'!P37="x","+F","N/A"))))))</f>
        <v>N/A</v>
      </c>
      <c r="O61" s="862"/>
      <c r="P61" s="861" t="str">
        <f>IF('Table 2-A- FC Analysis'!K72="x","-F",IF('Table 2-A- FC Analysis'!L72="x","-M",IF('Table 2-A- FC Analysis'!M72="x","-L",IF('Table 2-A- FC Analysis'!N72="x","+L",IF('Table 2-A- FC Analysis'!O72="x","+M",IF('Table 2-A- FC Analysis'!P72="x","+F","N/A"))))))</f>
        <v>N/A</v>
      </c>
      <c r="Q61" s="862"/>
      <c r="R61" s="861" t="str">
        <f>IF('Table 2-A- FC Analysis'!K104="x","-F",IF('Table 2-A- FC Analysis'!L104="x","-M",IF('Table 2-A- FC Analysis'!M104="x","-L",IF('Table 2-A- FC Analysis'!N104="x","+L",IF('Table 2-A- FC Analysis'!O104="x","+M",IF('Table 2-A- FC Analysis'!P104="x","+F","N/A"))))))</f>
        <v>N/A</v>
      </c>
      <c r="S61" s="862"/>
      <c r="T61" s="861" t="str">
        <f>IF('Table 2-A- FC Analysis'!K136="x","-F",IF('Table 2-A- FC Analysis'!L136="x","-M",IF('Table 2-A- FC Analysis'!M136="x","-L",IF('Table 2-A- FC Analysis'!N136="x","+L",IF('Table 2-A- FC Analysis'!O136="x","+M",IF('Table 2-A- FC Analysis'!P136="x","+F","N/A"))))))</f>
        <v>N/A</v>
      </c>
      <c r="U61" s="862"/>
      <c r="V61" s="861" t="str">
        <f>IF('Table 2-A- FC Analysis'!K168="x","-F",IF('Table 2-A- FC Analysis'!L168="x","-M",IF('Table 2-A- FC Analysis'!M168="x","-L",IF('Table 2-A- FC Analysis'!N168="x","+L",IF('Table 2-A- FC Analysis'!O168="x","+M",IF('Table 2-A- FC Analysis'!P168="x","+F","N/A"))))))</f>
        <v>N/A</v>
      </c>
      <c r="W61" s="862"/>
    </row>
    <row r="62" spans="1:23" ht="16.350000000000001" customHeight="1" thickBot="1" x14ac:dyDescent="0.3">
      <c r="A62" s="864"/>
      <c r="B62" s="890" t="s">
        <v>274</v>
      </c>
      <c r="C62" s="891"/>
      <c r="D62" s="891"/>
      <c r="E62" s="891"/>
      <c r="F62" s="891"/>
      <c r="G62" s="891"/>
      <c r="H62" s="891"/>
      <c r="I62" s="891"/>
      <c r="J62" s="891"/>
      <c r="K62" s="891"/>
      <c r="L62" s="892"/>
      <c r="M62" s="890" t="s">
        <v>274</v>
      </c>
      <c r="N62" s="891"/>
      <c r="O62" s="891"/>
      <c r="P62" s="891"/>
      <c r="Q62" s="891"/>
      <c r="R62" s="891"/>
      <c r="S62" s="891"/>
      <c r="T62" s="891"/>
      <c r="U62" s="891"/>
      <c r="V62" s="892"/>
      <c r="W62" s="247"/>
    </row>
    <row r="63" spans="1:23" x14ac:dyDescent="0.25">
      <c r="A63" s="864"/>
      <c r="B63" s="844"/>
      <c r="C63" s="847"/>
      <c r="D63" s="847"/>
      <c r="E63" s="847"/>
      <c r="F63" s="847"/>
      <c r="G63" s="847"/>
      <c r="H63" s="847"/>
      <c r="I63" s="847"/>
      <c r="J63" s="847"/>
      <c r="K63" s="847"/>
      <c r="L63" s="847"/>
      <c r="M63" s="841"/>
      <c r="N63" s="842"/>
      <c r="O63" s="842"/>
      <c r="P63" s="842"/>
      <c r="Q63" s="842"/>
      <c r="R63" s="842"/>
      <c r="S63" s="842"/>
      <c r="T63" s="842"/>
      <c r="U63" s="842"/>
      <c r="V63" s="842"/>
      <c r="W63" s="843"/>
    </row>
    <row r="64" spans="1:23" x14ac:dyDescent="0.25">
      <c r="A64" s="864"/>
      <c r="B64" s="848"/>
      <c r="C64" s="847"/>
      <c r="D64" s="847"/>
      <c r="E64" s="847"/>
      <c r="F64" s="847"/>
      <c r="G64" s="847"/>
      <c r="H64" s="847"/>
      <c r="I64" s="847"/>
      <c r="J64" s="847"/>
      <c r="K64" s="847"/>
      <c r="L64" s="847"/>
      <c r="M64" s="844"/>
      <c r="N64" s="845"/>
      <c r="O64" s="845"/>
      <c r="P64" s="845"/>
      <c r="Q64" s="845"/>
      <c r="R64" s="845"/>
      <c r="S64" s="845"/>
      <c r="T64" s="845"/>
      <c r="U64" s="845"/>
      <c r="V64" s="845"/>
      <c r="W64" s="846"/>
    </row>
    <row r="65" spans="1:23" x14ac:dyDescent="0.25">
      <c r="A65" s="864"/>
      <c r="B65" s="848"/>
      <c r="C65" s="847"/>
      <c r="D65" s="847"/>
      <c r="E65" s="847"/>
      <c r="F65" s="847"/>
      <c r="G65" s="847"/>
      <c r="H65" s="847"/>
      <c r="I65" s="847"/>
      <c r="J65" s="847"/>
      <c r="K65" s="847"/>
      <c r="L65" s="847"/>
      <c r="M65" s="844"/>
      <c r="N65" s="845"/>
      <c r="O65" s="845"/>
      <c r="P65" s="845"/>
      <c r="Q65" s="845"/>
      <c r="R65" s="845"/>
      <c r="S65" s="845"/>
      <c r="T65" s="845"/>
      <c r="U65" s="845"/>
      <c r="V65" s="845"/>
      <c r="W65" s="846"/>
    </row>
    <row r="66" spans="1:23" ht="15.75" thickBot="1" x14ac:dyDescent="0.3">
      <c r="A66" s="864"/>
      <c r="B66" s="849"/>
      <c r="C66" s="850"/>
      <c r="D66" s="850"/>
      <c r="E66" s="850"/>
      <c r="F66" s="847"/>
      <c r="G66" s="847"/>
      <c r="H66" s="850"/>
      <c r="I66" s="850"/>
      <c r="J66" s="850"/>
      <c r="K66" s="850"/>
      <c r="L66" s="847"/>
      <c r="M66" s="844"/>
      <c r="N66" s="845"/>
      <c r="O66" s="845"/>
      <c r="P66" s="845"/>
      <c r="Q66" s="845"/>
      <c r="R66" s="845"/>
      <c r="S66" s="845"/>
      <c r="T66" s="845"/>
      <c r="U66" s="845"/>
      <c r="V66" s="845"/>
      <c r="W66" s="846"/>
    </row>
    <row r="67" spans="1:23" ht="35.25" customHeight="1" x14ac:dyDescent="0.25">
      <c r="A67" s="864"/>
      <c r="B67" s="873" t="s">
        <v>223</v>
      </c>
      <c r="C67" s="903"/>
      <c r="D67" s="925"/>
      <c r="E67" s="925"/>
      <c r="F67" s="926"/>
      <c r="G67" s="323" t="s">
        <v>17</v>
      </c>
      <c r="H67" s="227" t="s">
        <v>18</v>
      </c>
      <c r="I67" s="169" t="s">
        <v>19</v>
      </c>
      <c r="J67" s="170" t="s">
        <v>20</v>
      </c>
      <c r="K67" s="171" t="s">
        <v>21</v>
      </c>
      <c r="L67" s="264"/>
      <c r="M67" s="873" t="s">
        <v>223</v>
      </c>
      <c r="N67" s="874"/>
      <c r="O67" s="820" t="s">
        <v>17</v>
      </c>
      <c r="P67" s="820"/>
      <c r="Q67" s="820"/>
      <c r="R67" s="820"/>
      <c r="S67" s="227" t="s">
        <v>18</v>
      </c>
      <c r="T67" s="169" t="s">
        <v>19</v>
      </c>
      <c r="U67" s="170" t="s">
        <v>20</v>
      </c>
      <c r="V67" s="171" t="s">
        <v>21</v>
      </c>
      <c r="W67" s="855"/>
    </row>
    <row r="68" spans="1:23" ht="15.75" thickBot="1" x14ac:dyDescent="0.3">
      <c r="A68" s="864"/>
      <c r="B68" s="871"/>
      <c r="C68" s="872"/>
      <c r="D68" s="925"/>
      <c r="E68" s="925"/>
      <c r="F68" s="926"/>
      <c r="G68" s="257"/>
      <c r="H68" s="257"/>
      <c r="I68" s="257"/>
      <c r="J68" s="257"/>
      <c r="K68" s="257"/>
      <c r="L68" s="140" t="s">
        <v>63</v>
      </c>
      <c r="M68" s="871"/>
      <c r="N68" s="875"/>
      <c r="O68" s="821"/>
      <c r="P68" s="822"/>
      <c r="Q68" s="822"/>
      <c r="R68" s="823"/>
      <c r="S68" s="257"/>
      <c r="T68" s="257"/>
      <c r="U68" s="257"/>
      <c r="V68" s="257"/>
      <c r="W68" s="856"/>
    </row>
    <row r="69" spans="1:23" ht="5.85" customHeight="1" thickBot="1" x14ac:dyDescent="0.3">
      <c r="A69" s="21"/>
      <c r="B69" s="267"/>
      <c r="C69" s="262"/>
      <c r="D69" s="262"/>
      <c r="E69" s="262"/>
      <c r="F69" s="262"/>
      <c r="G69" s="268"/>
      <c r="H69" s="268"/>
      <c r="I69" s="268"/>
      <c r="J69" s="268"/>
      <c r="K69" s="269"/>
      <c r="L69" s="262"/>
      <c r="M69" s="22"/>
      <c r="N69" s="23"/>
      <c r="O69" s="24"/>
      <c r="P69" s="24"/>
      <c r="Q69" s="24"/>
      <c r="R69" s="24"/>
      <c r="S69" s="24"/>
      <c r="T69" s="24"/>
      <c r="U69" s="24"/>
      <c r="V69" s="25"/>
      <c r="W69" s="25"/>
    </row>
    <row r="70" spans="1:23" ht="15.75" thickBot="1" x14ac:dyDescent="0.3">
      <c r="A70" s="863" t="s">
        <v>30</v>
      </c>
      <c r="B70" s="795" t="s">
        <v>218</v>
      </c>
      <c r="C70" s="796"/>
      <c r="D70" s="796"/>
      <c r="E70" s="796"/>
      <c r="F70" s="796"/>
      <c r="G70" s="796"/>
      <c r="H70" s="796"/>
      <c r="I70" s="796"/>
      <c r="J70" s="796"/>
      <c r="K70" s="796"/>
      <c r="L70" s="251"/>
      <c r="M70" s="816" t="s">
        <v>218</v>
      </c>
      <c r="N70" s="816"/>
      <c r="O70" s="816"/>
      <c r="P70" s="816"/>
      <c r="Q70" s="816"/>
      <c r="R70" s="816"/>
      <c r="S70" s="816"/>
      <c r="T70" s="816"/>
      <c r="U70" s="816"/>
      <c r="V70" s="816"/>
      <c r="W70" s="817"/>
    </row>
    <row r="71" spans="1:23" ht="23.25" customHeight="1" thickBot="1" x14ac:dyDescent="0.3">
      <c r="A71" s="863"/>
      <c r="B71" s="829" t="s">
        <v>207</v>
      </c>
      <c r="C71" s="830"/>
      <c r="D71" s="830"/>
      <c r="E71" s="830"/>
      <c r="F71" s="830"/>
      <c r="G71" s="830"/>
      <c r="H71" s="830"/>
      <c r="I71" s="830"/>
      <c r="J71" s="830"/>
      <c r="K71" s="830"/>
      <c r="L71" s="245"/>
      <c r="M71" s="830" t="s">
        <v>207</v>
      </c>
      <c r="N71" s="830"/>
      <c r="O71" s="830"/>
      <c r="P71" s="830"/>
      <c r="Q71" s="830"/>
      <c r="R71" s="830"/>
      <c r="S71" s="830"/>
      <c r="T71" s="830"/>
      <c r="U71" s="830"/>
      <c r="V71" s="830"/>
      <c r="W71" s="889"/>
    </row>
    <row r="72" spans="1:23" ht="27" customHeight="1" thickBot="1" x14ac:dyDescent="0.3">
      <c r="A72" s="863"/>
      <c r="B72" s="515" t="s">
        <v>212</v>
      </c>
      <c r="C72" s="516" t="s">
        <v>219</v>
      </c>
      <c r="D72" s="927"/>
      <c r="E72" s="928"/>
      <c r="F72" s="928"/>
      <c r="G72" s="308" t="s">
        <v>17</v>
      </c>
      <c r="H72" s="227" t="s">
        <v>18</v>
      </c>
      <c r="I72" s="169" t="s">
        <v>19</v>
      </c>
      <c r="J72" s="170" t="s">
        <v>20</v>
      </c>
      <c r="K72" s="171" t="s">
        <v>21</v>
      </c>
      <c r="L72" s="276"/>
      <c r="M72" s="853"/>
      <c r="N72" s="853"/>
      <c r="O72" s="853"/>
      <c r="P72" s="853"/>
      <c r="Q72" s="853"/>
      <c r="R72" s="853"/>
      <c r="S72" s="853"/>
      <c r="T72" s="853"/>
      <c r="U72" s="853"/>
      <c r="V72" s="853"/>
      <c r="W72" s="854"/>
    </row>
    <row r="73" spans="1:23" ht="15.75" thickBot="1" x14ac:dyDescent="0.3">
      <c r="A73" s="863"/>
      <c r="B73" s="48" t="s">
        <v>162</v>
      </c>
      <c r="C73" s="180" t="b">
        <f>IF('Table 1-B  Context Analysis'!$K$7="Yes",IF('Table 1-D-Outcomes'!M42="","N/A",'Table 1-D-Outcomes'!M42), IF('Table 1-B  Context Analysis'!$K$7="No",IF('Table 1-B  Context Analysis'!$K$8="Yes",IF('Table 1-D-Outcomes'!$V42="F3",IF('Table 1-D-Outcomes'!M42="","N/A",'Table 1-D-Outcomes'!M42),IF('Table 1-D-Outcomes'!M42="","N/A"," F3 exigé")),IF('Table 1-D-Outcomes'!$V42="F0",IF('Table 1-D-Outcomes'!M42="","N/A","F0"),IF('Table 1-D-Outcomes'!$V42="F1",IF('Table 1-D-Outcomes'!M42="","N/A","F1"),IF('Table 1-D-Outcomes'!$V$42="Erreur","fiabilité",IF('Table 1-D-Outcomes'!M42="","N/A",'Table 1-D-Outcomes'!M42)))))))</f>
        <v>0</v>
      </c>
      <c r="D73" s="929"/>
      <c r="E73" s="930"/>
      <c r="F73" s="930"/>
      <c r="G73" s="257"/>
      <c r="H73" s="257"/>
      <c r="I73" s="257"/>
      <c r="J73" s="257"/>
      <c r="K73" s="257"/>
      <c r="L73" s="276"/>
      <c r="M73" s="853"/>
      <c r="N73" s="853"/>
      <c r="O73" s="853"/>
      <c r="P73" s="853"/>
      <c r="Q73" s="853"/>
      <c r="R73" s="853"/>
      <c r="S73" s="853"/>
      <c r="T73" s="853"/>
      <c r="U73" s="853"/>
      <c r="V73" s="853"/>
      <c r="W73" s="854"/>
    </row>
    <row r="74" spans="1:23" ht="15.75" thickBot="1" x14ac:dyDescent="0.3">
      <c r="A74" s="863"/>
      <c r="B74" s="48" t="s">
        <v>163</v>
      </c>
      <c r="C74" s="180" t="b">
        <f>IF('Table 1-B  Context Analysis'!$K$7="Yes",IF('Table 1-D-Outcomes'!M43="","N/A",'Table 1-D-Outcomes'!M43), IF('Table 1-B  Context Analysis'!$K$7="No",IF('Table 1-B  Context Analysis'!$K$8="Yes",IF('Table 1-D-Outcomes'!$V43="F3",IF('Table 1-D-Outcomes'!M43="","N/A",'Table 1-D-Outcomes'!M43),IF('Table 1-D-Outcomes'!M43="","N/A"," F3 exigé")),IF('Table 1-D-Outcomes'!$V43="F0",IF('Table 1-D-Outcomes'!M43="","N/A","F0"),IF('Table 1-D-Outcomes'!$V43="F1",IF('Table 1-D-Outcomes'!M43="","N/A","F1"),IF('Table 1-D-Outcomes'!$V$43="Erreur","fiabilité",IF('Table 1-D-Outcomes'!M43="","N/A",'Table 1-D-Outcomes'!M43)))))))</f>
        <v>0</v>
      </c>
      <c r="D74" s="931"/>
      <c r="E74" s="932"/>
      <c r="F74" s="932"/>
      <c r="G74" s="257"/>
      <c r="H74" s="257"/>
      <c r="I74" s="257"/>
      <c r="J74" s="257"/>
      <c r="K74" s="257"/>
      <c r="L74" s="276"/>
      <c r="M74" s="853"/>
      <c r="N74" s="853"/>
      <c r="O74" s="853"/>
      <c r="P74" s="853"/>
      <c r="Q74" s="853"/>
      <c r="R74" s="853"/>
      <c r="S74" s="853"/>
      <c r="T74" s="853"/>
      <c r="U74" s="853"/>
      <c r="V74" s="853"/>
      <c r="W74" s="854"/>
    </row>
    <row r="75" spans="1:23" ht="16.5" thickBot="1" x14ac:dyDescent="0.3">
      <c r="A75" s="863"/>
      <c r="B75" s="787" t="s">
        <v>62</v>
      </c>
      <c r="C75" s="788"/>
      <c r="D75" s="788"/>
      <c r="E75" s="788"/>
      <c r="F75" s="788"/>
      <c r="G75" s="788"/>
      <c r="H75" s="788"/>
      <c r="I75" s="788"/>
      <c r="J75" s="788"/>
      <c r="K75" s="788"/>
      <c r="L75" s="254"/>
      <c r="M75" s="787" t="s">
        <v>62</v>
      </c>
      <c r="N75" s="788"/>
      <c r="O75" s="788"/>
      <c r="P75" s="788"/>
      <c r="Q75" s="788"/>
      <c r="R75" s="788"/>
      <c r="S75" s="788"/>
      <c r="T75" s="788"/>
      <c r="U75" s="788"/>
      <c r="V75" s="788"/>
      <c r="W75" s="254"/>
    </row>
    <row r="76" spans="1:23" ht="16.5" customHeight="1" thickBot="1" x14ac:dyDescent="0.3">
      <c r="A76" s="863"/>
      <c r="B76" s="474"/>
      <c r="C76" s="860" t="s">
        <v>201</v>
      </c>
      <c r="D76" s="860"/>
      <c r="E76" s="860" t="s">
        <v>130</v>
      </c>
      <c r="F76" s="860"/>
      <c r="G76" s="860" t="s">
        <v>202</v>
      </c>
      <c r="H76" s="860"/>
      <c r="I76" s="860" t="s">
        <v>203</v>
      </c>
      <c r="J76" s="860"/>
      <c r="K76" s="860" t="s">
        <v>129</v>
      </c>
      <c r="L76" s="860"/>
      <c r="M76" s="474"/>
      <c r="N76" s="860" t="s">
        <v>201</v>
      </c>
      <c r="O76" s="860"/>
      <c r="P76" s="860" t="s">
        <v>130</v>
      </c>
      <c r="Q76" s="860"/>
      <c r="R76" s="860" t="s">
        <v>202</v>
      </c>
      <c r="S76" s="860"/>
      <c r="T76" s="860" t="s">
        <v>203</v>
      </c>
      <c r="U76" s="860"/>
      <c r="V76" s="860" t="s">
        <v>129</v>
      </c>
      <c r="W76" s="860"/>
    </row>
    <row r="77" spans="1:23" ht="21.75" customHeight="1" thickBot="1" x14ac:dyDescent="0.3">
      <c r="A77" s="863"/>
      <c r="B77" s="475" t="s">
        <v>221</v>
      </c>
      <c r="C77" s="857" t="str">
        <f>IF('Table 2-A- FC Analysis'!D38="x","-F",IF('Table 2-A- FC Analysis'!E38="x","-M",IF('Table 2-A- FC Analysis'!F38="x","-L",IF('Table 2-A- FC Analysis'!G38="x","+L",IF('Table 2-A- FC Analysis'!H38="x","+M",IF('Table 2-A- FC Analysis'!I38="x","+F","N/A"))))))</f>
        <v>N/A</v>
      </c>
      <c r="D77" s="858"/>
      <c r="E77" s="857" t="str">
        <f>IF('Table 2-A- FC Analysis'!D73="x","-F",IF('Table 2-A- FC Analysis'!E73="x","-M",IF('Table 2-A- FC Analysis'!F73="x","-L",IF('Table 2-A- FC Analysis'!G73="x","+L",IF('Table 2-A- FC Analysis'!H73="x","+M",IF('Table 2-A- FC Analysis'!I73="x","+F","N/A"))))))</f>
        <v>N/A</v>
      </c>
      <c r="F77" s="858"/>
      <c r="G77" s="857" t="str">
        <f>IF('Table 2-A- FC Analysis'!D105="x","-F",IF('Table 2-A- FC Analysis'!E105="x","-M",IF('Table 2-A- FC Analysis'!F105="x","-L",IF('Table 2-A- FC Analysis'!G105="x","+L",IF('Table 2-A- FC Analysis'!H105="x","+M",IF('Table 2-A- FC Analysis'!I105="x","+F","N/A"))))))</f>
        <v>N/A</v>
      </c>
      <c r="H77" s="858"/>
      <c r="I77" s="857" t="str">
        <f>IF('Table 2-A- FC Analysis'!D137="x","-F",IF('Table 2-A- FC Analysis'!E137="x","-M",IF('Table 2-A- FC Analysis'!F137="x","-L",IF('Table 2-A- FC Analysis'!G137="x","+L",IF('Table 2-A- FC Analysis'!H137="x","+M",IF('Table 2-A- FC Analysis'!I137="x","+F","N/A"))))))</f>
        <v>N/A</v>
      </c>
      <c r="J77" s="858"/>
      <c r="K77" s="857" t="str">
        <f>IF('Table 2-A- FC Analysis'!D169="x","-F",IF('Table 2-A- FC Analysis'!E169="x","-M",IF('Table 2-A- FC Analysis'!F169="x","-L",IF('Table 2-A- FC Analysis'!G169="x","+L",IF('Table 2-A- FC Analysis'!H169="x","+M",IF('Table 2-A- FC Analysis'!I169="x","+F","N/A"))))))</f>
        <v>N/A</v>
      </c>
      <c r="L77" s="859"/>
      <c r="M77" s="475" t="s">
        <v>221</v>
      </c>
      <c r="N77" s="861" t="str">
        <f>IF('Table 2-A- FC Analysis'!K38="x","-F",IF('Table 2-A- FC Analysis'!L38="x","-M",IF('Table 2-A- FC Analysis'!M38="x","-L",IF('Table 2-A- FC Analysis'!N38="x","+L",IF('Table 2-A- FC Analysis'!O38="x","+M",IF('Table 2-A- FC Analysis'!P38="x","+F","N/A"))))))</f>
        <v>N/A</v>
      </c>
      <c r="O77" s="862"/>
      <c r="P77" s="861" t="str">
        <f>IF('Table 2-A- FC Analysis'!K73="x","-F",IF('Table 2-A- FC Analysis'!L73="x","-M",IF('Table 2-A- FC Analysis'!M73="x","-L",IF('Table 2-A- FC Analysis'!N73="x","+L",IF('Table 2-A- FC Analysis'!O73="x","+M",IF('Table 2-A- FC Analysis'!P73="x","+F","N/A"))))))</f>
        <v>N/A</v>
      </c>
      <c r="Q77" s="862"/>
      <c r="R77" s="861" t="str">
        <f>IF('Table 2-A- FC Analysis'!K105="x","-F",IF('Table 2-A- FC Analysis'!L105="x","-M",IF('Table 2-A- FC Analysis'!M105="x","-L",IF('Table 2-A- FC Analysis'!N105="x","+L",IF('Table 2-A- FC Analysis'!O105="x","+M",IF('Table 2-A- FC Analysis'!P105="x","+F","N/A"))))))</f>
        <v>N/A</v>
      </c>
      <c r="S77" s="862"/>
      <c r="T77" s="861" t="str">
        <f>IF('Table 2-A- FC Analysis'!K137="x","-F",IF('Table 2-A- FC Analysis'!L137="x","-M",IF('Table 2-A- FC Analysis'!M137="x","-L",IF('Table 2-A- FC Analysis'!N137="x","+L",IF('Table 2-A- FC Analysis'!O137="x","+M",IF('Table 2-A- FC Analysis'!P137="x","+F","N/A"))))))</f>
        <v>N/A</v>
      </c>
      <c r="U77" s="862"/>
      <c r="V77" s="861" t="str">
        <f>IF('Table 2-A- FC Analysis'!K169="x","-F",IF('Table 2-A- FC Analysis'!L169="x","-M",IF('Table 2-A- FC Analysis'!M169="x","-L",IF('Table 2-A- FC Analysis'!N169="x","+L",IF('Table 2-A- FC Analysis'!O169="x","+M",IF('Table 2-A- FC Analysis'!P169="x","+F","N/A"))))))</f>
        <v>N/A</v>
      </c>
      <c r="W77" s="862"/>
    </row>
    <row r="78" spans="1:23" ht="16.350000000000001" customHeight="1" thickBot="1" x14ac:dyDescent="0.3">
      <c r="A78" s="863"/>
      <c r="B78" s="890" t="s">
        <v>224</v>
      </c>
      <c r="C78" s="891"/>
      <c r="D78" s="891"/>
      <c r="E78" s="891"/>
      <c r="F78" s="891"/>
      <c r="G78" s="891"/>
      <c r="H78" s="891"/>
      <c r="I78" s="891"/>
      <c r="J78" s="891"/>
      <c r="K78" s="891"/>
      <c r="L78" s="247"/>
      <c r="M78" s="890" t="s">
        <v>224</v>
      </c>
      <c r="N78" s="891"/>
      <c r="O78" s="891"/>
      <c r="P78" s="891"/>
      <c r="Q78" s="891"/>
      <c r="R78" s="891"/>
      <c r="S78" s="891"/>
      <c r="T78" s="891"/>
      <c r="U78" s="891"/>
      <c r="V78" s="891"/>
      <c r="W78" s="892"/>
    </row>
    <row r="79" spans="1:23" x14ac:dyDescent="0.25">
      <c r="A79" s="863"/>
      <c r="B79" s="844"/>
      <c r="C79" s="847"/>
      <c r="D79" s="847"/>
      <c r="E79" s="847"/>
      <c r="F79" s="847"/>
      <c r="G79" s="847"/>
      <c r="H79" s="847"/>
      <c r="I79" s="847"/>
      <c r="J79" s="847"/>
      <c r="K79" s="847"/>
      <c r="L79" s="851"/>
      <c r="M79" s="844"/>
      <c r="N79" s="847"/>
      <c r="O79" s="847"/>
      <c r="P79" s="847"/>
      <c r="Q79" s="847"/>
      <c r="R79" s="847"/>
      <c r="S79" s="847"/>
      <c r="T79" s="847"/>
      <c r="U79" s="847"/>
      <c r="V79" s="847"/>
      <c r="W79" s="851"/>
    </row>
    <row r="80" spans="1:23" x14ac:dyDescent="0.25">
      <c r="A80" s="863"/>
      <c r="B80" s="848"/>
      <c r="C80" s="847"/>
      <c r="D80" s="847"/>
      <c r="E80" s="847"/>
      <c r="F80" s="847"/>
      <c r="G80" s="847"/>
      <c r="H80" s="847"/>
      <c r="I80" s="847"/>
      <c r="J80" s="847"/>
      <c r="K80" s="847"/>
      <c r="L80" s="851"/>
      <c r="M80" s="848"/>
      <c r="N80" s="847"/>
      <c r="O80" s="847"/>
      <c r="P80" s="847"/>
      <c r="Q80" s="847"/>
      <c r="R80" s="847"/>
      <c r="S80" s="847"/>
      <c r="T80" s="847"/>
      <c r="U80" s="847"/>
      <c r="V80" s="847"/>
      <c r="W80" s="851"/>
    </row>
    <row r="81" spans="1:23" x14ac:dyDescent="0.25">
      <c r="A81" s="863"/>
      <c r="B81" s="848"/>
      <c r="C81" s="847"/>
      <c r="D81" s="847"/>
      <c r="E81" s="847"/>
      <c r="F81" s="847"/>
      <c r="G81" s="847"/>
      <c r="H81" s="847"/>
      <c r="I81" s="847"/>
      <c r="J81" s="847"/>
      <c r="K81" s="847"/>
      <c r="L81" s="851"/>
      <c r="M81" s="848"/>
      <c r="N81" s="847"/>
      <c r="O81" s="847"/>
      <c r="P81" s="847"/>
      <c r="Q81" s="847"/>
      <c r="R81" s="847"/>
      <c r="S81" s="847"/>
      <c r="T81" s="847"/>
      <c r="U81" s="847"/>
      <c r="V81" s="847"/>
      <c r="W81" s="851"/>
    </row>
    <row r="82" spans="1:23" ht="15.75" thickBot="1" x14ac:dyDescent="0.3">
      <c r="A82" s="863"/>
      <c r="B82" s="848"/>
      <c r="C82" s="847"/>
      <c r="D82" s="847"/>
      <c r="E82" s="847"/>
      <c r="F82" s="847"/>
      <c r="G82" s="847"/>
      <c r="H82" s="847"/>
      <c r="I82" s="847"/>
      <c r="J82" s="847"/>
      <c r="K82" s="847"/>
      <c r="L82" s="852"/>
      <c r="M82" s="848"/>
      <c r="N82" s="847"/>
      <c r="O82" s="847"/>
      <c r="P82" s="847"/>
      <c r="Q82" s="847"/>
      <c r="R82" s="847"/>
      <c r="S82" s="847"/>
      <c r="T82" s="847"/>
      <c r="U82" s="847"/>
      <c r="V82" s="847"/>
      <c r="W82" s="851"/>
    </row>
    <row r="83" spans="1:23" ht="30" customHeight="1" x14ac:dyDescent="0.25">
      <c r="A83" s="863"/>
      <c r="B83" s="893" t="s">
        <v>220</v>
      </c>
      <c r="C83" s="894"/>
      <c r="D83" s="275"/>
      <c r="E83" s="275"/>
      <c r="F83" s="410"/>
      <c r="G83" s="323" t="s">
        <v>17</v>
      </c>
      <c r="H83" s="324" t="s">
        <v>18</v>
      </c>
      <c r="I83" s="272" t="s">
        <v>19</v>
      </c>
      <c r="J83" s="273" t="s">
        <v>20</v>
      </c>
      <c r="K83" s="274" t="s">
        <v>21</v>
      </c>
      <c r="L83" s="252"/>
      <c r="M83" s="893" t="s">
        <v>220</v>
      </c>
      <c r="N83" s="894"/>
      <c r="O83" s="820" t="s">
        <v>17</v>
      </c>
      <c r="P83" s="820"/>
      <c r="Q83" s="820"/>
      <c r="R83" s="820"/>
      <c r="S83" s="227" t="s">
        <v>18</v>
      </c>
      <c r="T83" s="169" t="s">
        <v>19</v>
      </c>
      <c r="U83" s="170" t="s">
        <v>20</v>
      </c>
      <c r="V83" s="171" t="s">
        <v>21</v>
      </c>
      <c r="W83" s="252"/>
    </row>
    <row r="84" spans="1:23" ht="15.75" thickBot="1" x14ac:dyDescent="0.3">
      <c r="A84" s="863"/>
      <c r="B84" s="895"/>
      <c r="C84" s="896"/>
      <c r="D84" s="277"/>
      <c r="E84" s="277"/>
      <c r="F84" s="420"/>
      <c r="G84" s="257"/>
      <c r="H84" s="257"/>
      <c r="I84" s="257"/>
      <c r="J84" s="257"/>
      <c r="K84" s="257"/>
      <c r="L84" s="253"/>
      <c r="M84" s="895"/>
      <c r="N84" s="896"/>
      <c r="O84" s="821"/>
      <c r="P84" s="822"/>
      <c r="Q84" s="822"/>
      <c r="R84" s="823"/>
      <c r="S84" s="257"/>
      <c r="T84" s="257"/>
      <c r="U84" s="257"/>
      <c r="V84" s="257"/>
      <c r="W84" s="253"/>
    </row>
    <row r="85" spans="1:23" ht="6" customHeight="1" thickBot="1" x14ac:dyDescent="0.3">
      <c r="A85" s="21"/>
      <c r="B85" s="22"/>
      <c r="C85" s="23"/>
      <c r="D85" s="23"/>
      <c r="E85" s="23"/>
      <c r="F85" s="23"/>
      <c r="G85" s="23"/>
      <c r="H85" s="23"/>
      <c r="I85" s="23"/>
      <c r="J85" s="23"/>
      <c r="K85" s="234"/>
      <c r="L85" s="23"/>
      <c r="M85" s="23"/>
      <c r="N85" s="23"/>
      <c r="O85" s="23"/>
      <c r="P85" s="23"/>
      <c r="Q85" s="23"/>
      <c r="R85" s="23"/>
      <c r="S85" s="23"/>
      <c r="T85" s="23"/>
      <c r="U85" s="23"/>
      <c r="V85" s="234"/>
      <c r="W85" s="23"/>
    </row>
  </sheetData>
  <sheetProtection formatCells="0" formatColumns="0" formatRows="0" insertRows="0"/>
  <protectedRanges>
    <protectedRange sqref="L14:L18 G19:K22 L24 B29:L32 G34:K34 L39 B44:L47 G49:K49 G54:K56 G58:K58 B63:L66 G68:K68 G73:K74 B79:L82 G84:K84 L26:L27 W26:W27 W41:W42 L41:L42 L60:L61 L76:L77 W76:W77 W60:W61" name="Range1"/>
    <protectedRange sqref="M13:W16 W18 R19:V22 M29:W32 O34:V34 M38:W39 M44:W47 O49:V49 W24 M53:W54 M63:W66 M72:W74 M79:W82 O84:V84" name="Range2"/>
  </protectedRanges>
  <mergeCells count="174">
    <mergeCell ref="K41:L41"/>
    <mergeCell ref="D13:F13"/>
    <mergeCell ref="C15:F17"/>
    <mergeCell ref="C38:F38"/>
    <mergeCell ref="C39:F39"/>
    <mergeCell ref="D33:F34"/>
    <mergeCell ref="C41:D41"/>
    <mergeCell ref="E41:F41"/>
    <mergeCell ref="B25:L25"/>
    <mergeCell ref="D67:F68"/>
    <mergeCell ref="D72:F74"/>
    <mergeCell ref="D53:F56"/>
    <mergeCell ref="D58:F58"/>
    <mergeCell ref="D48:F49"/>
    <mergeCell ref="C61:D61"/>
    <mergeCell ref="E61:F61"/>
    <mergeCell ref="C42:D42"/>
    <mergeCell ref="E42:F42"/>
    <mergeCell ref="B43:K43"/>
    <mergeCell ref="K61:L61"/>
    <mergeCell ref="C60:D60"/>
    <mergeCell ref="E60:F60"/>
    <mergeCell ref="G60:H60"/>
    <mergeCell ref="I60:J60"/>
    <mergeCell ref="K60:L60"/>
    <mergeCell ref="B62:L62"/>
    <mergeCell ref="B52:L52"/>
    <mergeCell ref="R77:S77"/>
    <mergeCell ref="T77:U77"/>
    <mergeCell ref="V77:W77"/>
    <mergeCell ref="M75:V75"/>
    <mergeCell ref="N76:O76"/>
    <mergeCell ref="P76:Q76"/>
    <mergeCell ref="R76:S76"/>
    <mergeCell ref="T76:U76"/>
    <mergeCell ref="V76:W76"/>
    <mergeCell ref="M37:W37"/>
    <mergeCell ref="N26:O26"/>
    <mergeCell ref="P26:Q26"/>
    <mergeCell ref="R26:S26"/>
    <mergeCell ref="T26:U26"/>
    <mergeCell ref="V26:W26"/>
    <mergeCell ref="C26:D26"/>
    <mergeCell ref="E26:F26"/>
    <mergeCell ref="G26:H26"/>
    <mergeCell ref="I26:J26"/>
    <mergeCell ref="K26:L26"/>
    <mergeCell ref="B37:K37"/>
    <mergeCell ref="P27:Q27"/>
    <mergeCell ref="R27:S27"/>
    <mergeCell ref="T27:U27"/>
    <mergeCell ref="V27:W27"/>
    <mergeCell ref="E27:F27"/>
    <mergeCell ref="G27:H27"/>
    <mergeCell ref="I27:J27"/>
    <mergeCell ref="K27:L27"/>
    <mergeCell ref="C27:D27"/>
    <mergeCell ref="N27:O27"/>
    <mergeCell ref="M38:W39"/>
    <mergeCell ref="M43:W43"/>
    <mergeCell ref="M51:W51"/>
    <mergeCell ref="O56:R56"/>
    <mergeCell ref="O55:R55"/>
    <mergeCell ref="O48:R48"/>
    <mergeCell ref="O49:R49"/>
    <mergeCell ref="G42:H42"/>
    <mergeCell ref="I42:J42"/>
    <mergeCell ref="K42:L42"/>
    <mergeCell ref="G41:H41"/>
    <mergeCell ref="I41:J41"/>
    <mergeCell ref="B40:L40"/>
    <mergeCell ref="M40:W40"/>
    <mergeCell ref="N42:O42"/>
    <mergeCell ref="P42:Q42"/>
    <mergeCell ref="R42:S42"/>
    <mergeCell ref="T42:U42"/>
    <mergeCell ref="V42:W42"/>
    <mergeCell ref="N41:O41"/>
    <mergeCell ref="P41:Q41"/>
    <mergeCell ref="R41:S41"/>
    <mergeCell ref="T41:U41"/>
    <mergeCell ref="V41:W41"/>
    <mergeCell ref="M53:W54"/>
    <mergeCell ref="M44:W47"/>
    <mergeCell ref="B44:L47"/>
    <mergeCell ref="B57:K57"/>
    <mergeCell ref="B51:L51"/>
    <mergeCell ref="B59:L59"/>
    <mergeCell ref="N61:O61"/>
    <mergeCell ref="P61:Q61"/>
    <mergeCell ref="R61:S61"/>
    <mergeCell ref="T61:U61"/>
    <mergeCell ref="V61:W61"/>
    <mergeCell ref="N60:O60"/>
    <mergeCell ref="P60:Q60"/>
    <mergeCell ref="R60:S60"/>
    <mergeCell ref="T60:U60"/>
    <mergeCell ref="V60:W60"/>
    <mergeCell ref="M59:W59"/>
    <mergeCell ref="G61:H61"/>
    <mergeCell ref="I61:J61"/>
    <mergeCell ref="M52:W52"/>
    <mergeCell ref="A70:A84"/>
    <mergeCell ref="A51:A68"/>
    <mergeCell ref="M55:N55"/>
    <mergeCell ref="A36:A49"/>
    <mergeCell ref="A11:A34"/>
    <mergeCell ref="B48:C49"/>
    <mergeCell ref="M48:N49"/>
    <mergeCell ref="M33:N34"/>
    <mergeCell ref="B33:C34"/>
    <mergeCell ref="M23:W23"/>
    <mergeCell ref="M28:W28"/>
    <mergeCell ref="M29:W32"/>
    <mergeCell ref="M71:W71"/>
    <mergeCell ref="M78:W78"/>
    <mergeCell ref="B71:K71"/>
    <mergeCell ref="B70:K70"/>
    <mergeCell ref="B83:C84"/>
    <mergeCell ref="B29:L32"/>
    <mergeCell ref="L19:L22"/>
    <mergeCell ref="M83:N84"/>
    <mergeCell ref="B78:K78"/>
    <mergeCell ref="M62:V62"/>
    <mergeCell ref="B67:C68"/>
    <mergeCell ref="M67:N68"/>
    <mergeCell ref="O84:R84"/>
    <mergeCell ref="O67:R67"/>
    <mergeCell ref="O83:R83"/>
    <mergeCell ref="M63:W66"/>
    <mergeCell ref="B63:L66"/>
    <mergeCell ref="O68:R68"/>
    <mergeCell ref="B79:L82"/>
    <mergeCell ref="M72:W74"/>
    <mergeCell ref="M79:W82"/>
    <mergeCell ref="M70:W70"/>
    <mergeCell ref="W67:W68"/>
    <mergeCell ref="C77:D77"/>
    <mergeCell ref="E77:F77"/>
    <mergeCell ref="G77:H77"/>
    <mergeCell ref="I77:J77"/>
    <mergeCell ref="K77:L77"/>
    <mergeCell ref="B75:K75"/>
    <mergeCell ref="C76:D76"/>
    <mergeCell ref="E76:F76"/>
    <mergeCell ref="G76:H76"/>
    <mergeCell ref="I76:J76"/>
    <mergeCell ref="K76:L76"/>
    <mergeCell ref="N77:O77"/>
    <mergeCell ref="P77:Q77"/>
    <mergeCell ref="M25:W25"/>
    <mergeCell ref="A2:K2"/>
    <mergeCell ref="M10:W10"/>
    <mergeCell ref="B10:K10"/>
    <mergeCell ref="B36:K36"/>
    <mergeCell ref="B23:L23"/>
    <mergeCell ref="N17:P17"/>
    <mergeCell ref="C14:D14"/>
    <mergeCell ref="C7:D7"/>
    <mergeCell ref="A9:W9"/>
    <mergeCell ref="B11:L11"/>
    <mergeCell ref="W19:W22"/>
    <mergeCell ref="G14:H14"/>
    <mergeCell ref="P24:V24"/>
    <mergeCell ref="M36:W36"/>
    <mergeCell ref="B28:K28"/>
    <mergeCell ref="O33:R33"/>
    <mergeCell ref="O34:R34"/>
    <mergeCell ref="M11:W11"/>
    <mergeCell ref="M24:N24"/>
    <mergeCell ref="B12:L12"/>
    <mergeCell ref="M13:W16"/>
    <mergeCell ref="J14:K14"/>
    <mergeCell ref="I17:K17"/>
  </mergeCells>
  <conditionalFormatting sqref="H18:K22 G19:K22">
    <cfRule type="cellIs" dxfId="768" priority="1118" operator="equal">
      <formula>5</formula>
    </cfRule>
    <cfRule type="cellIs" dxfId="767" priority="1119" operator="equal">
      <formula>4</formula>
    </cfRule>
    <cfRule type="cellIs" dxfId="766" priority="1120" operator="equal">
      <formula>2</formula>
    </cfRule>
    <cfRule type="cellIs" dxfId="765" priority="1122" operator="equal">
      <formula>3</formula>
    </cfRule>
  </conditionalFormatting>
  <conditionalFormatting sqref="H18:K22 G19:K22">
    <cfRule type="cellIs" dxfId="764" priority="1040" operator="equal">
      <formula>1</formula>
    </cfRule>
  </conditionalFormatting>
  <conditionalFormatting sqref="D24:K24">
    <cfRule type="cellIs" dxfId="763" priority="1018" operator="equal">
      <formula>5</formula>
    </cfRule>
    <cfRule type="cellIs" dxfId="762" priority="1019" operator="equal">
      <formula>4</formula>
    </cfRule>
    <cfRule type="cellIs" dxfId="761" priority="1020" operator="equal">
      <formula>2</formula>
    </cfRule>
    <cfRule type="cellIs" dxfId="760" priority="1021" operator="equal">
      <formula>1</formula>
    </cfRule>
    <cfRule type="cellIs" dxfId="759" priority="1022" operator="equal">
      <formula>3</formula>
    </cfRule>
    <cfRule type="cellIs" dxfId="758" priority="1023" operator="equal">
      <formula>2</formula>
    </cfRule>
    <cfRule type="cellIs" dxfId="757" priority="1024" operator="equal">
      <formula>1</formula>
    </cfRule>
  </conditionalFormatting>
  <conditionalFormatting sqref="H24:K24">
    <cfRule type="cellIs" dxfId="756" priority="1011" operator="equal">
      <formula>5</formula>
    </cfRule>
    <cfRule type="cellIs" dxfId="755" priority="1012" operator="equal">
      <formula>4</formula>
    </cfRule>
    <cfRule type="cellIs" dxfId="754" priority="1013" operator="equal">
      <formula>2</formula>
    </cfRule>
    <cfRule type="cellIs" dxfId="753" priority="1014" operator="equal">
      <formula>1</formula>
    </cfRule>
    <cfRule type="cellIs" dxfId="752" priority="1015" operator="equal">
      <formula>3</formula>
    </cfRule>
    <cfRule type="cellIs" dxfId="751" priority="1016" operator="equal">
      <formula>2</formula>
    </cfRule>
    <cfRule type="cellIs" dxfId="750" priority="1017" operator="equal">
      <formula>1</formula>
    </cfRule>
  </conditionalFormatting>
  <conditionalFormatting sqref="D24:K24">
    <cfRule type="cellIs" dxfId="749" priority="1010" operator="equal">
      <formula>1</formula>
    </cfRule>
  </conditionalFormatting>
  <conditionalFormatting sqref="L49">
    <cfRule type="cellIs" dxfId="748" priority="928" operator="equal">
      <formula>5</formula>
    </cfRule>
    <cfRule type="cellIs" dxfId="747" priority="929" operator="equal">
      <formula>4</formula>
    </cfRule>
    <cfRule type="cellIs" dxfId="746" priority="930" operator="equal">
      <formula>2</formula>
    </cfRule>
    <cfRule type="cellIs" dxfId="745" priority="931" operator="equal">
      <formula>1</formula>
    </cfRule>
    <cfRule type="cellIs" dxfId="744" priority="932" operator="equal">
      <formula>3</formula>
    </cfRule>
    <cfRule type="cellIs" dxfId="743" priority="933" operator="equal">
      <formula>2</formula>
    </cfRule>
    <cfRule type="cellIs" dxfId="742" priority="934" operator="equal">
      <formula>1</formula>
    </cfRule>
  </conditionalFormatting>
  <conditionalFormatting sqref="L49">
    <cfRule type="cellIs" dxfId="741" priority="921" operator="equal">
      <formula>5</formula>
    </cfRule>
    <cfRule type="cellIs" dxfId="740" priority="922" operator="equal">
      <formula>4</formula>
    </cfRule>
    <cfRule type="cellIs" dxfId="739" priority="923" operator="equal">
      <formula>2</formula>
    </cfRule>
    <cfRule type="cellIs" dxfId="738" priority="924" operator="equal">
      <formula>1</formula>
    </cfRule>
    <cfRule type="cellIs" dxfId="737" priority="925" operator="equal">
      <formula>3</formula>
    </cfRule>
    <cfRule type="cellIs" dxfId="736" priority="926" operator="equal">
      <formula>2</formula>
    </cfRule>
    <cfRule type="cellIs" dxfId="735" priority="927" operator="equal">
      <formula>1</formula>
    </cfRule>
  </conditionalFormatting>
  <conditionalFormatting sqref="L49">
    <cfRule type="cellIs" dxfId="734" priority="920" operator="equal">
      <formula>1</formula>
    </cfRule>
  </conditionalFormatting>
  <conditionalFormatting sqref="K39">
    <cfRule type="cellIs" dxfId="733" priority="717" operator="equal">
      <formula>5</formula>
    </cfRule>
    <cfRule type="cellIs" dxfId="732" priority="718" operator="equal">
      <formula>4</formula>
    </cfRule>
    <cfRule type="cellIs" dxfId="731" priority="719" operator="equal">
      <formula>2</formula>
    </cfRule>
    <cfRule type="cellIs" dxfId="730" priority="720" operator="equal">
      <formula>1</formula>
    </cfRule>
    <cfRule type="cellIs" dxfId="729" priority="721" operator="equal">
      <formula>3</formula>
    </cfRule>
    <cfRule type="cellIs" dxfId="728" priority="722" operator="equal">
      <formula>2</formula>
    </cfRule>
    <cfRule type="cellIs" dxfId="727" priority="723" operator="equal">
      <formula>1</formula>
    </cfRule>
  </conditionalFormatting>
  <conditionalFormatting sqref="K39">
    <cfRule type="cellIs" dxfId="726" priority="716" operator="equal">
      <formula>1</formula>
    </cfRule>
  </conditionalFormatting>
  <conditionalFormatting sqref="L68">
    <cfRule type="cellIs" dxfId="725" priority="845" operator="equal">
      <formula>5</formula>
    </cfRule>
    <cfRule type="cellIs" dxfId="724" priority="846" operator="equal">
      <formula>4</formula>
    </cfRule>
    <cfRule type="cellIs" dxfId="723" priority="847" operator="equal">
      <formula>2</formula>
    </cfRule>
    <cfRule type="cellIs" dxfId="722" priority="848" operator="equal">
      <formula>1</formula>
    </cfRule>
    <cfRule type="cellIs" dxfId="721" priority="849" operator="equal">
      <formula>3</formula>
    </cfRule>
    <cfRule type="cellIs" dxfId="720" priority="850" operator="equal">
      <formula>2</formula>
    </cfRule>
    <cfRule type="cellIs" dxfId="719" priority="851" operator="equal">
      <formula>1</formula>
    </cfRule>
  </conditionalFormatting>
  <conditionalFormatting sqref="L68">
    <cfRule type="cellIs" dxfId="718" priority="837" operator="equal">
      <formula>1</formula>
    </cfRule>
  </conditionalFormatting>
  <conditionalFormatting sqref="R18">
    <cfRule type="cellIs" dxfId="717" priority="731" operator="equal">
      <formula>1</formula>
    </cfRule>
  </conditionalFormatting>
  <conditionalFormatting sqref="S18:V18">
    <cfRule type="cellIs" dxfId="716" priority="754" operator="equal">
      <formula>5</formula>
    </cfRule>
    <cfRule type="cellIs" dxfId="715" priority="755" operator="equal">
      <formula>4</formula>
    </cfRule>
    <cfRule type="cellIs" dxfId="714" priority="756" operator="equal">
      <formula>2</formula>
    </cfRule>
    <cfRule type="cellIs" dxfId="713" priority="757" operator="equal">
      <formula>1</formula>
    </cfRule>
    <cfRule type="cellIs" dxfId="712" priority="758" operator="equal">
      <formula>3</formula>
    </cfRule>
    <cfRule type="cellIs" dxfId="711" priority="759" operator="equal">
      <formula>2</formula>
    </cfRule>
    <cfRule type="cellIs" dxfId="710" priority="760" operator="equal">
      <formula>1</formula>
    </cfRule>
  </conditionalFormatting>
  <conditionalFormatting sqref="S18:V18">
    <cfRule type="cellIs" dxfId="709" priority="747" operator="equal">
      <formula>5</formula>
    </cfRule>
    <cfRule type="cellIs" dxfId="708" priority="748" operator="equal">
      <formula>4</formula>
    </cfRule>
    <cfRule type="cellIs" dxfId="707" priority="749" operator="equal">
      <formula>2</formula>
    </cfRule>
    <cfRule type="cellIs" dxfId="706" priority="750" operator="equal">
      <formula>1</formula>
    </cfRule>
    <cfRule type="cellIs" dxfId="705" priority="751" operator="equal">
      <formula>3</formula>
    </cfRule>
    <cfRule type="cellIs" dxfId="704" priority="752" operator="equal">
      <formula>2</formula>
    </cfRule>
    <cfRule type="cellIs" dxfId="703" priority="753" operator="equal">
      <formula>1</formula>
    </cfRule>
  </conditionalFormatting>
  <conditionalFormatting sqref="S18:V18">
    <cfRule type="cellIs" dxfId="702" priority="746" operator="equal">
      <formula>1</formula>
    </cfRule>
  </conditionalFormatting>
  <conditionalFormatting sqref="R18">
    <cfRule type="cellIs" dxfId="701" priority="739" operator="equal">
      <formula>5</formula>
    </cfRule>
    <cfRule type="cellIs" dxfId="700" priority="740" operator="equal">
      <formula>4</formula>
    </cfRule>
    <cfRule type="cellIs" dxfId="699" priority="741" operator="equal">
      <formula>2</formula>
    </cfRule>
    <cfRule type="cellIs" dxfId="698" priority="742" operator="equal">
      <formula>1</formula>
    </cfRule>
    <cfRule type="cellIs" dxfId="697" priority="743" operator="equal">
      <formula>3</formula>
    </cfRule>
    <cfRule type="cellIs" dxfId="696" priority="744" operator="equal">
      <formula>2</formula>
    </cfRule>
    <cfRule type="cellIs" dxfId="695" priority="745" operator="equal">
      <formula>1</formula>
    </cfRule>
  </conditionalFormatting>
  <conditionalFormatting sqref="R18">
    <cfRule type="cellIs" dxfId="694" priority="732" operator="equal">
      <formula>5</formula>
    </cfRule>
    <cfRule type="cellIs" dxfId="693" priority="733" operator="equal">
      <formula>4</formula>
    </cfRule>
    <cfRule type="cellIs" dxfId="692" priority="734" operator="equal">
      <formula>2</formula>
    </cfRule>
    <cfRule type="cellIs" dxfId="691" priority="735" operator="equal">
      <formula>1</formula>
    </cfRule>
    <cfRule type="cellIs" dxfId="690" priority="736" operator="equal">
      <formula>3</formula>
    </cfRule>
    <cfRule type="cellIs" dxfId="689" priority="737" operator="equal">
      <formula>2</formula>
    </cfRule>
    <cfRule type="cellIs" dxfId="688" priority="738" operator="equal">
      <formula>1</formula>
    </cfRule>
  </conditionalFormatting>
  <conditionalFormatting sqref="K39">
    <cfRule type="cellIs" dxfId="687" priority="724" operator="equal">
      <formula>5</formula>
    </cfRule>
    <cfRule type="cellIs" dxfId="686" priority="725" operator="equal">
      <formula>4</formula>
    </cfRule>
    <cfRule type="cellIs" dxfId="685" priority="726" operator="equal">
      <formula>2</formula>
    </cfRule>
    <cfRule type="cellIs" dxfId="684" priority="727" operator="equal">
      <formula>1</formula>
    </cfRule>
    <cfRule type="cellIs" dxfId="683" priority="728" operator="equal">
      <formula>3</formula>
    </cfRule>
    <cfRule type="cellIs" dxfId="682" priority="729" operator="equal">
      <formula>2</formula>
    </cfRule>
    <cfRule type="cellIs" dxfId="681" priority="730" operator="equal">
      <formula>1</formula>
    </cfRule>
  </conditionalFormatting>
  <conditionalFormatting sqref="L54:L56">
    <cfRule type="cellIs" dxfId="680" priority="649" operator="equal">
      <formula>5</formula>
    </cfRule>
    <cfRule type="cellIs" dxfId="679" priority="650" operator="equal">
      <formula>4</formula>
    </cfRule>
    <cfRule type="cellIs" dxfId="678" priority="651" operator="equal">
      <formula>2</formula>
    </cfRule>
    <cfRule type="cellIs" dxfId="677" priority="652" operator="equal">
      <formula>1</formula>
    </cfRule>
    <cfRule type="cellIs" dxfId="676" priority="653" operator="equal">
      <formula>3</formula>
    </cfRule>
    <cfRule type="cellIs" dxfId="675" priority="654" operator="equal">
      <formula>2</formula>
    </cfRule>
    <cfRule type="cellIs" dxfId="674" priority="655" operator="equal">
      <formula>1</formula>
    </cfRule>
  </conditionalFormatting>
  <conditionalFormatting sqref="L54:L56">
    <cfRule type="cellIs" dxfId="673" priority="648" operator="equal">
      <formula>1</formula>
    </cfRule>
  </conditionalFormatting>
  <conditionalFormatting sqref="G20">
    <cfRule type="cellIs" dxfId="672" priority="641" operator="equal">
      <formula>5</formula>
    </cfRule>
    <cfRule type="cellIs" dxfId="671" priority="642" operator="equal">
      <formula>4</formula>
    </cfRule>
    <cfRule type="cellIs" dxfId="670" priority="643" operator="equal">
      <formula>2</formula>
    </cfRule>
    <cfRule type="cellIs" dxfId="669" priority="644" operator="equal">
      <formula>1</formula>
    </cfRule>
    <cfRule type="cellIs" dxfId="668" priority="645" operator="equal">
      <formula>3</formula>
    </cfRule>
    <cfRule type="cellIs" dxfId="667" priority="646" operator="equal">
      <formula>2</formula>
    </cfRule>
    <cfRule type="cellIs" dxfId="666" priority="647" operator="equal">
      <formula>1</formula>
    </cfRule>
  </conditionalFormatting>
  <conditionalFormatting sqref="G20">
    <cfRule type="cellIs" dxfId="665" priority="640" operator="equal">
      <formula>1</formula>
    </cfRule>
  </conditionalFormatting>
  <conditionalFormatting sqref="L19">
    <cfRule type="cellIs" dxfId="664" priority="625" operator="equal">
      <formula>5</formula>
    </cfRule>
    <cfRule type="cellIs" dxfId="663" priority="626" operator="equal">
      <formula>4</formula>
    </cfRule>
    <cfRule type="cellIs" dxfId="662" priority="627" operator="equal">
      <formula>2</formula>
    </cfRule>
    <cfRule type="cellIs" dxfId="661" priority="628" operator="equal">
      <formula>1</formula>
    </cfRule>
    <cfRule type="cellIs" dxfId="660" priority="629" operator="equal">
      <formula>3</formula>
    </cfRule>
    <cfRule type="cellIs" dxfId="659" priority="630" operator="equal">
      <formula>2</formula>
    </cfRule>
    <cfRule type="cellIs" dxfId="658" priority="631" operator="equal">
      <formula>1</formula>
    </cfRule>
  </conditionalFormatting>
  <conditionalFormatting sqref="L19">
    <cfRule type="cellIs" dxfId="657" priority="624" operator="equal">
      <formula>1</formula>
    </cfRule>
  </conditionalFormatting>
  <conditionalFormatting sqref="P24:Q24">
    <cfRule type="cellIs" dxfId="656" priority="609" operator="equal">
      <formula>5</formula>
    </cfRule>
    <cfRule type="cellIs" dxfId="655" priority="610" operator="equal">
      <formula>4</formula>
    </cfRule>
    <cfRule type="cellIs" dxfId="654" priority="611" operator="equal">
      <formula>2</formula>
    </cfRule>
    <cfRule type="cellIs" dxfId="653" priority="612" operator="equal">
      <formula>1</formula>
    </cfRule>
    <cfRule type="cellIs" dxfId="652" priority="613" operator="equal">
      <formula>3</formula>
    </cfRule>
    <cfRule type="cellIs" dxfId="651" priority="614" operator="equal">
      <formula>2</formula>
    </cfRule>
    <cfRule type="cellIs" dxfId="650" priority="615" operator="equal">
      <formula>1</formula>
    </cfRule>
  </conditionalFormatting>
  <conditionalFormatting sqref="P24:Q24">
    <cfRule type="cellIs" dxfId="649" priority="602" operator="equal">
      <formula>5</formula>
    </cfRule>
    <cfRule type="cellIs" dxfId="648" priority="603" operator="equal">
      <formula>4</formula>
    </cfRule>
    <cfRule type="cellIs" dxfId="647" priority="604" operator="equal">
      <formula>2</formula>
    </cfRule>
    <cfRule type="cellIs" dxfId="646" priority="605" operator="equal">
      <formula>1</formula>
    </cfRule>
    <cfRule type="cellIs" dxfId="645" priority="606" operator="equal">
      <formula>3</formula>
    </cfRule>
    <cfRule type="cellIs" dxfId="644" priority="607" operator="equal">
      <formula>2</formula>
    </cfRule>
    <cfRule type="cellIs" dxfId="643" priority="608" operator="equal">
      <formula>1</formula>
    </cfRule>
  </conditionalFormatting>
  <conditionalFormatting sqref="P24:Q24">
    <cfRule type="cellIs" dxfId="642" priority="601" operator="equal">
      <formula>1</formula>
    </cfRule>
  </conditionalFormatting>
  <conditionalFormatting sqref="W19">
    <cfRule type="cellIs" dxfId="641" priority="594" operator="equal">
      <formula>5</formula>
    </cfRule>
    <cfRule type="cellIs" dxfId="640" priority="595" operator="equal">
      <formula>4</formula>
    </cfRule>
    <cfRule type="cellIs" dxfId="639" priority="596" operator="equal">
      <formula>2</formula>
    </cfRule>
    <cfRule type="cellIs" dxfId="638" priority="597" operator="equal">
      <formula>1</formula>
    </cfRule>
    <cfRule type="cellIs" dxfId="637" priority="598" operator="equal">
      <formula>3</formula>
    </cfRule>
    <cfRule type="cellIs" dxfId="636" priority="599" operator="equal">
      <formula>2</formula>
    </cfRule>
    <cfRule type="cellIs" dxfId="635" priority="600" operator="equal">
      <formula>1</formula>
    </cfRule>
  </conditionalFormatting>
  <conditionalFormatting sqref="W19">
    <cfRule type="cellIs" dxfId="634" priority="593" operator="equal">
      <formula>1</formula>
    </cfRule>
  </conditionalFormatting>
  <conditionalFormatting sqref="W55:W57">
    <cfRule type="cellIs" dxfId="633" priority="578" operator="equal">
      <formula>5</formula>
    </cfRule>
    <cfRule type="cellIs" dxfId="632" priority="579" operator="equal">
      <formula>4</formula>
    </cfRule>
    <cfRule type="cellIs" dxfId="631" priority="580" operator="equal">
      <formula>2</formula>
    </cfRule>
    <cfRule type="cellIs" dxfId="630" priority="581" operator="equal">
      <formula>1</formula>
    </cfRule>
    <cfRule type="cellIs" dxfId="629" priority="582" operator="equal">
      <formula>3</formula>
    </cfRule>
    <cfRule type="cellIs" dxfId="628" priority="583" operator="equal">
      <formula>2</formula>
    </cfRule>
    <cfRule type="cellIs" dxfId="627" priority="584" operator="equal">
      <formula>1</formula>
    </cfRule>
  </conditionalFormatting>
  <conditionalFormatting sqref="W55:W57">
    <cfRule type="cellIs" dxfId="626" priority="577" operator="equal">
      <formula>1</formula>
    </cfRule>
  </conditionalFormatting>
  <conditionalFormatting sqref="W67">
    <cfRule type="cellIs" dxfId="625" priority="570" operator="equal">
      <formula>5</formula>
    </cfRule>
    <cfRule type="cellIs" dxfId="624" priority="571" operator="equal">
      <formula>4</formula>
    </cfRule>
    <cfRule type="cellIs" dxfId="623" priority="572" operator="equal">
      <formula>2</formula>
    </cfRule>
    <cfRule type="cellIs" dxfId="622" priority="573" operator="equal">
      <formula>1</formula>
    </cfRule>
    <cfRule type="cellIs" dxfId="621" priority="574" operator="equal">
      <formula>3</formula>
    </cfRule>
    <cfRule type="cellIs" dxfId="620" priority="575" operator="equal">
      <formula>2</formula>
    </cfRule>
    <cfRule type="cellIs" dxfId="619" priority="576" operator="equal">
      <formula>1</formula>
    </cfRule>
  </conditionalFormatting>
  <conditionalFormatting sqref="W67">
    <cfRule type="cellIs" dxfId="618" priority="569" operator="equal">
      <formula>1</formula>
    </cfRule>
  </conditionalFormatting>
  <conditionalFormatting sqref="R19:V22">
    <cfRule type="cellIs" dxfId="617" priority="549" operator="equal">
      <formula>5</formula>
    </cfRule>
    <cfRule type="cellIs" dxfId="616" priority="550" operator="equal">
      <formula>4</formula>
    </cfRule>
    <cfRule type="cellIs" dxfId="615" priority="551" operator="equal">
      <formula>2</formula>
    </cfRule>
    <cfRule type="cellIs" dxfId="614" priority="552" operator="equal">
      <formula>3</formula>
    </cfRule>
  </conditionalFormatting>
  <conditionalFormatting sqref="R19:V22">
    <cfRule type="cellIs" dxfId="613" priority="548" operator="equal">
      <formula>1</formula>
    </cfRule>
  </conditionalFormatting>
  <conditionalFormatting sqref="W18">
    <cfRule type="cellIs" dxfId="612" priority="539" operator="equal">
      <formula>5</formula>
    </cfRule>
    <cfRule type="cellIs" dxfId="611" priority="540" operator="equal">
      <formula>4</formula>
    </cfRule>
    <cfRule type="cellIs" dxfId="610" priority="541" operator="equal">
      <formula>2</formula>
    </cfRule>
    <cfRule type="cellIs" dxfId="609" priority="542" operator="equal">
      <formula>3</formula>
    </cfRule>
  </conditionalFormatting>
  <conditionalFormatting sqref="W18">
    <cfRule type="cellIs" dxfId="608" priority="538" operator="equal">
      <formula>1</formula>
    </cfRule>
  </conditionalFormatting>
  <conditionalFormatting sqref="G34:K34">
    <cfRule type="cellIs" dxfId="607" priority="529" operator="equal">
      <formula>5</formula>
    </cfRule>
    <cfRule type="cellIs" dxfId="606" priority="530" operator="equal">
      <formula>4</formula>
    </cfRule>
    <cfRule type="cellIs" dxfId="605" priority="531" operator="equal">
      <formula>2</formula>
    </cfRule>
    <cfRule type="cellIs" dxfId="604" priority="532" operator="equal">
      <formula>3</formula>
    </cfRule>
  </conditionalFormatting>
  <conditionalFormatting sqref="G34:K34">
    <cfRule type="cellIs" dxfId="603" priority="528" operator="equal">
      <formula>1</formula>
    </cfRule>
  </conditionalFormatting>
  <conditionalFormatting sqref="C24">
    <cfRule type="containsText" dxfId="602" priority="488" operator="containsText" text="F3 exigé">
      <formula>NOT(ISERROR(SEARCH("F3 exigé",C24)))</formula>
    </cfRule>
  </conditionalFormatting>
  <conditionalFormatting sqref="O24">
    <cfRule type="containsText" dxfId="601" priority="487" operator="containsText" text="F3 exigé">
      <formula>NOT(ISERROR(SEARCH("F3 exigé",O24)))</formula>
    </cfRule>
  </conditionalFormatting>
  <conditionalFormatting sqref="A36:L37 A40 A49:C49 L48:L49 A44:A47 K39 A43:L43 A38:C39 A48:D48">
    <cfRule type="containsText" dxfId="600" priority="486" operator="containsText" text="F3 exigé">
      <formula>NOT(ISERROR(SEARCH("F3 exigé",A36)))</formula>
    </cfRule>
  </conditionalFormatting>
  <conditionalFormatting sqref="C1:C15 C33:C39 C48:C53 C67:C71 C83:C1048576 C24 C57 C62 C43 C28 C78 C18 C73:C74">
    <cfRule type="containsText" dxfId="599" priority="485" operator="containsText" text="F3 exigé">
      <formula>NOT(ISERROR(SEARCH("F3 exigé",C1)))</formula>
    </cfRule>
  </conditionalFormatting>
  <conditionalFormatting sqref="N1:N12 N33:N37 N48:N51 N67:N71 N55:N58 N85:N1048576 N78 N23:N24 N43 N28 N62">
    <cfRule type="containsText" dxfId="598" priority="484" operator="containsText" text="F3 exigé">
      <formula>NOT(ISERROR(SEARCH("F3 exigé",N1)))</formula>
    </cfRule>
  </conditionalFormatting>
  <conditionalFormatting sqref="A9:W9 R17:V17 A34:C34 W33:W34 A28:W28 A24:K24 E14:F14 M24:Q24 A29:A32 E18:K18 M17:N17 M20:M22 G19:M19 M23:W23 G20:K22 R20:V22 R18:W19 A23:B23 A26:A27 A33:D33 G33:N34 G13:K13 A11:W12 B10:W10 C14:C15 A13:A22 C18 C13:D13 M18">
    <cfRule type="containsText" dxfId="597" priority="483" operator="containsText" text="N/A">
      <formula>NOT(ISERROR(SEARCH("N/A",A9)))</formula>
    </cfRule>
  </conditionalFormatting>
  <conditionalFormatting sqref="G38:K38">
    <cfRule type="containsText" dxfId="596" priority="482" operator="containsText" text="N/A">
      <formula>NOT(ISERROR(SEARCH("N/A",G38)))</formula>
    </cfRule>
  </conditionalFormatting>
  <conditionalFormatting sqref="G48:K48">
    <cfRule type="containsText" dxfId="595" priority="481" operator="containsText" text="N/A">
      <formula>NOT(ISERROR(SEARCH("N/A",G48)))</formula>
    </cfRule>
  </conditionalFormatting>
  <conditionalFormatting sqref="G53:K53">
    <cfRule type="containsText" dxfId="594" priority="480" operator="containsText" text="N/A">
      <formula>NOT(ISERROR(SEARCH("N/A",G53)))</formula>
    </cfRule>
  </conditionalFormatting>
  <conditionalFormatting sqref="G67:K67">
    <cfRule type="containsText" dxfId="593" priority="479" operator="containsText" text="N/A">
      <formula>NOT(ISERROR(SEARCH("N/A",G67)))</formula>
    </cfRule>
  </conditionalFormatting>
  <conditionalFormatting sqref="G72:K72">
    <cfRule type="containsText" dxfId="592" priority="478" operator="containsText" text="N/A">
      <formula>NOT(ISERROR(SEARCH("N/A",G72)))</formula>
    </cfRule>
  </conditionalFormatting>
  <conditionalFormatting sqref="G83:K83">
    <cfRule type="containsText" dxfId="591" priority="477" operator="containsText" text="N/A">
      <formula>NOT(ISERROR(SEARCH("N/A",G83)))</formula>
    </cfRule>
  </conditionalFormatting>
  <conditionalFormatting sqref="S83:V83">
    <cfRule type="containsText" dxfId="590" priority="476" operator="containsText" text="N/A">
      <formula>NOT(ISERROR(SEARCH("N/A",S83)))</formula>
    </cfRule>
  </conditionalFormatting>
  <conditionalFormatting sqref="S67:V67">
    <cfRule type="containsText" dxfId="589" priority="475" operator="containsText" text="N/A">
      <formula>NOT(ISERROR(SEARCH("N/A",S67)))</formula>
    </cfRule>
  </conditionalFormatting>
  <conditionalFormatting sqref="S55:V55">
    <cfRule type="containsText" dxfId="588" priority="474" operator="containsText" text="N/A">
      <formula>NOT(ISERROR(SEARCH("N/A",S55)))</formula>
    </cfRule>
  </conditionalFormatting>
  <conditionalFormatting sqref="S48:V48">
    <cfRule type="containsText" dxfId="587" priority="473" operator="containsText" text="N/A">
      <formula>NOT(ISERROR(SEARCH("N/A",S48)))</formula>
    </cfRule>
  </conditionalFormatting>
  <conditionalFormatting sqref="S33:V33">
    <cfRule type="containsText" dxfId="586" priority="472" operator="containsText" text="N/A">
      <formula>NOT(ISERROR(SEARCH("N/A",S33)))</formula>
    </cfRule>
  </conditionalFormatting>
  <conditionalFormatting sqref="G19:K22">
    <cfRule type="cellIs" dxfId="585" priority="468" operator="equal">
      <formula>5</formula>
    </cfRule>
    <cfRule type="cellIs" dxfId="584" priority="469" operator="equal">
      <formula>4</formula>
    </cfRule>
    <cfRule type="cellIs" dxfId="583" priority="470" operator="equal">
      <formula>2</formula>
    </cfRule>
    <cfRule type="cellIs" dxfId="582" priority="471" operator="equal">
      <formula>3</formula>
    </cfRule>
  </conditionalFormatting>
  <conditionalFormatting sqref="G19:K22">
    <cfRule type="cellIs" dxfId="581" priority="467" operator="equal">
      <formula>1</formula>
    </cfRule>
  </conditionalFormatting>
  <conditionalFormatting sqref="G34:K34">
    <cfRule type="cellIs" dxfId="580" priority="463" operator="equal">
      <formula>5</formula>
    </cfRule>
    <cfRule type="cellIs" dxfId="579" priority="464" operator="equal">
      <formula>4</formula>
    </cfRule>
    <cfRule type="cellIs" dxfId="578" priority="465" operator="equal">
      <formula>2</formula>
    </cfRule>
    <cfRule type="cellIs" dxfId="577" priority="466" operator="equal">
      <formula>3</formula>
    </cfRule>
  </conditionalFormatting>
  <conditionalFormatting sqref="G34:K34">
    <cfRule type="cellIs" dxfId="576" priority="462" operator="equal">
      <formula>1</formula>
    </cfRule>
  </conditionalFormatting>
  <conditionalFormatting sqref="G34:K34">
    <cfRule type="cellIs" dxfId="575" priority="458" operator="equal">
      <formula>5</formula>
    </cfRule>
    <cfRule type="cellIs" dxfId="574" priority="459" operator="equal">
      <formula>4</formula>
    </cfRule>
    <cfRule type="cellIs" dxfId="573" priority="460" operator="equal">
      <formula>2</formula>
    </cfRule>
    <cfRule type="cellIs" dxfId="572" priority="461" operator="equal">
      <formula>3</formula>
    </cfRule>
  </conditionalFormatting>
  <conditionalFormatting sqref="G34:K34">
    <cfRule type="cellIs" dxfId="571" priority="457" operator="equal">
      <formula>1</formula>
    </cfRule>
  </conditionalFormatting>
  <conditionalFormatting sqref="G49:K49">
    <cfRule type="cellIs" dxfId="570" priority="453" operator="equal">
      <formula>5</formula>
    </cfRule>
    <cfRule type="cellIs" dxfId="569" priority="454" operator="equal">
      <formula>4</formula>
    </cfRule>
    <cfRule type="cellIs" dxfId="568" priority="455" operator="equal">
      <formula>2</formula>
    </cfRule>
    <cfRule type="cellIs" dxfId="567" priority="456" operator="equal">
      <formula>3</formula>
    </cfRule>
  </conditionalFormatting>
  <conditionalFormatting sqref="G49:K49">
    <cfRule type="cellIs" dxfId="566" priority="452" operator="equal">
      <formula>1</formula>
    </cfRule>
  </conditionalFormatting>
  <conditionalFormatting sqref="G49:K49">
    <cfRule type="containsText" dxfId="565" priority="451" operator="containsText" text="N/A">
      <formula>NOT(ISERROR(SEARCH("N/A",G49)))</formula>
    </cfRule>
  </conditionalFormatting>
  <conditionalFormatting sqref="G49:K49">
    <cfRule type="cellIs" dxfId="564" priority="447" operator="equal">
      <formula>5</formula>
    </cfRule>
    <cfRule type="cellIs" dxfId="563" priority="448" operator="equal">
      <formula>4</formula>
    </cfRule>
    <cfRule type="cellIs" dxfId="562" priority="449" operator="equal">
      <formula>2</formula>
    </cfRule>
    <cfRule type="cellIs" dxfId="561" priority="450" operator="equal">
      <formula>3</formula>
    </cfRule>
  </conditionalFormatting>
  <conditionalFormatting sqref="G49:K49">
    <cfRule type="cellIs" dxfId="560" priority="446" operator="equal">
      <formula>1</formula>
    </cfRule>
  </conditionalFormatting>
  <conditionalFormatting sqref="G54:K56">
    <cfRule type="cellIs" dxfId="559" priority="442" operator="equal">
      <formula>5</formula>
    </cfRule>
    <cfRule type="cellIs" dxfId="558" priority="443" operator="equal">
      <formula>4</formula>
    </cfRule>
    <cfRule type="cellIs" dxfId="557" priority="444" operator="equal">
      <formula>2</formula>
    </cfRule>
    <cfRule type="cellIs" dxfId="556" priority="445" operator="equal">
      <formula>3</formula>
    </cfRule>
  </conditionalFormatting>
  <conditionalFormatting sqref="G54:K56">
    <cfRule type="cellIs" dxfId="555" priority="441" operator="equal">
      <formula>1</formula>
    </cfRule>
  </conditionalFormatting>
  <conditionalFormatting sqref="G54:K56">
    <cfRule type="containsText" dxfId="554" priority="440" operator="containsText" text="N/A">
      <formula>NOT(ISERROR(SEARCH("N/A",G54)))</formula>
    </cfRule>
  </conditionalFormatting>
  <conditionalFormatting sqref="G54:K56">
    <cfRule type="cellIs" dxfId="553" priority="436" operator="equal">
      <formula>5</formula>
    </cfRule>
    <cfRule type="cellIs" dxfId="552" priority="437" operator="equal">
      <formula>4</formula>
    </cfRule>
    <cfRule type="cellIs" dxfId="551" priority="438" operator="equal">
      <formula>2</formula>
    </cfRule>
    <cfRule type="cellIs" dxfId="550" priority="439" operator="equal">
      <formula>3</formula>
    </cfRule>
  </conditionalFormatting>
  <conditionalFormatting sqref="G54:K56">
    <cfRule type="cellIs" dxfId="549" priority="435" operator="equal">
      <formula>1</formula>
    </cfRule>
  </conditionalFormatting>
  <conditionalFormatting sqref="G58:K58">
    <cfRule type="cellIs" dxfId="548" priority="431" operator="equal">
      <formula>5</formula>
    </cfRule>
    <cfRule type="cellIs" dxfId="547" priority="432" operator="equal">
      <formula>4</formula>
    </cfRule>
    <cfRule type="cellIs" dxfId="546" priority="433" operator="equal">
      <formula>2</formula>
    </cfRule>
    <cfRule type="cellIs" dxfId="545" priority="434" operator="equal">
      <formula>3</formula>
    </cfRule>
  </conditionalFormatting>
  <conditionalFormatting sqref="G58:K58">
    <cfRule type="cellIs" dxfId="544" priority="430" operator="equal">
      <formula>1</formula>
    </cfRule>
  </conditionalFormatting>
  <conditionalFormatting sqref="G58:K58">
    <cfRule type="containsText" dxfId="543" priority="429" operator="containsText" text="N/A">
      <formula>NOT(ISERROR(SEARCH("N/A",G58)))</formula>
    </cfRule>
  </conditionalFormatting>
  <conditionalFormatting sqref="G58:K58">
    <cfRule type="cellIs" dxfId="542" priority="425" operator="equal">
      <formula>5</formula>
    </cfRule>
    <cfRule type="cellIs" dxfId="541" priority="426" operator="equal">
      <formula>4</formula>
    </cfRule>
    <cfRule type="cellIs" dxfId="540" priority="427" operator="equal">
      <formula>2</formula>
    </cfRule>
    <cfRule type="cellIs" dxfId="539" priority="428" operator="equal">
      <formula>3</formula>
    </cfRule>
  </conditionalFormatting>
  <conditionalFormatting sqref="G58:K58">
    <cfRule type="cellIs" dxfId="538" priority="424" operator="equal">
      <formula>1</formula>
    </cfRule>
  </conditionalFormatting>
  <conditionalFormatting sqref="G68:K68">
    <cfRule type="cellIs" dxfId="537" priority="420" operator="equal">
      <formula>5</formula>
    </cfRule>
    <cfRule type="cellIs" dxfId="536" priority="421" operator="equal">
      <formula>4</formula>
    </cfRule>
    <cfRule type="cellIs" dxfId="535" priority="422" operator="equal">
      <formula>2</formula>
    </cfRule>
    <cfRule type="cellIs" dxfId="534" priority="423" operator="equal">
      <formula>3</formula>
    </cfRule>
  </conditionalFormatting>
  <conditionalFormatting sqref="G68:K68">
    <cfRule type="cellIs" dxfId="533" priority="419" operator="equal">
      <formula>1</formula>
    </cfRule>
  </conditionalFormatting>
  <conditionalFormatting sqref="G68:K68">
    <cfRule type="containsText" dxfId="532" priority="418" operator="containsText" text="N/A">
      <formula>NOT(ISERROR(SEARCH("N/A",G68)))</formula>
    </cfRule>
  </conditionalFormatting>
  <conditionalFormatting sqref="G68:K68">
    <cfRule type="cellIs" dxfId="531" priority="414" operator="equal">
      <formula>5</formula>
    </cfRule>
    <cfRule type="cellIs" dxfId="530" priority="415" operator="equal">
      <formula>4</formula>
    </cfRule>
    <cfRule type="cellIs" dxfId="529" priority="416" operator="equal">
      <formula>2</formula>
    </cfRule>
    <cfRule type="cellIs" dxfId="528" priority="417" operator="equal">
      <formula>3</formula>
    </cfRule>
  </conditionalFormatting>
  <conditionalFormatting sqref="G68:K68">
    <cfRule type="cellIs" dxfId="527" priority="413" operator="equal">
      <formula>1</formula>
    </cfRule>
  </conditionalFormatting>
  <conditionalFormatting sqref="G73:K74">
    <cfRule type="cellIs" dxfId="526" priority="409" operator="equal">
      <formula>5</formula>
    </cfRule>
    <cfRule type="cellIs" dxfId="525" priority="410" operator="equal">
      <formula>4</formula>
    </cfRule>
    <cfRule type="cellIs" dxfId="524" priority="411" operator="equal">
      <formula>2</formula>
    </cfRule>
    <cfRule type="cellIs" dxfId="523" priority="412" operator="equal">
      <formula>3</formula>
    </cfRule>
  </conditionalFormatting>
  <conditionalFormatting sqref="G73:K74">
    <cfRule type="cellIs" dxfId="522" priority="408" operator="equal">
      <formula>1</formula>
    </cfRule>
  </conditionalFormatting>
  <conditionalFormatting sqref="G73:K74">
    <cfRule type="containsText" dxfId="521" priority="407" operator="containsText" text="N/A">
      <formula>NOT(ISERROR(SEARCH("N/A",G73)))</formula>
    </cfRule>
  </conditionalFormatting>
  <conditionalFormatting sqref="G73:K74">
    <cfRule type="cellIs" dxfId="520" priority="403" operator="equal">
      <formula>5</formula>
    </cfRule>
    <cfRule type="cellIs" dxfId="519" priority="404" operator="equal">
      <formula>4</formula>
    </cfRule>
    <cfRule type="cellIs" dxfId="518" priority="405" operator="equal">
      <formula>2</formula>
    </cfRule>
    <cfRule type="cellIs" dxfId="517" priority="406" operator="equal">
      <formula>3</formula>
    </cfRule>
  </conditionalFormatting>
  <conditionalFormatting sqref="G73:K74">
    <cfRule type="cellIs" dxfId="516" priority="402" operator="equal">
      <formula>1</formula>
    </cfRule>
  </conditionalFormatting>
  <conditionalFormatting sqref="G84:K84">
    <cfRule type="cellIs" dxfId="515" priority="398" operator="equal">
      <formula>5</formula>
    </cfRule>
    <cfRule type="cellIs" dxfId="514" priority="399" operator="equal">
      <formula>4</formula>
    </cfRule>
    <cfRule type="cellIs" dxfId="513" priority="400" operator="equal">
      <formula>2</formula>
    </cfRule>
    <cfRule type="cellIs" dxfId="512" priority="401" operator="equal">
      <formula>3</formula>
    </cfRule>
  </conditionalFormatting>
  <conditionalFormatting sqref="G84:K84">
    <cfRule type="cellIs" dxfId="511" priority="397" operator="equal">
      <formula>1</formula>
    </cfRule>
  </conditionalFormatting>
  <conditionalFormatting sqref="G84:K84">
    <cfRule type="containsText" dxfId="510" priority="396" operator="containsText" text="N/A">
      <formula>NOT(ISERROR(SEARCH("N/A",G84)))</formula>
    </cfRule>
  </conditionalFormatting>
  <conditionalFormatting sqref="G84:K84">
    <cfRule type="cellIs" dxfId="509" priority="392" operator="equal">
      <formula>5</formula>
    </cfRule>
    <cfRule type="cellIs" dxfId="508" priority="393" operator="equal">
      <formula>4</formula>
    </cfRule>
    <cfRule type="cellIs" dxfId="507" priority="394" operator="equal">
      <formula>2</formula>
    </cfRule>
    <cfRule type="cellIs" dxfId="506" priority="395" operator="equal">
      <formula>3</formula>
    </cfRule>
  </conditionalFormatting>
  <conditionalFormatting sqref="G84:K84">
    <cfRule type="cellIs" dxfId="505" priority="391" operator="equal">
      <formula>1</formula>
    </cfRule>
  </conditionalFormatting>
  <conditionalFormatting sqref="S84:V84">
    <cfRule type="cellIs" dxfId="504" priority="387" operator="equal">
      <formula>5</formula>
    </cfRule>
    <cfRule type="cellIs" dxfId="503" priority="388" operator="equal">
      <formula>4</formula>
    </cfRule>
    <cfRule type="cellIs" dxfId="502" priority="389" operator="equal">
      <formula>2</formula>
    </cfRule>
    <cfRule type="cellIs" dxfId="501" priority="390" operator="equal">
      <formula>3</formula>
    </cfRule>
  </conditionalFormatting>
  <conditionalFormatting sqref="S84:V84">
    <cfRule type="cellIs" dxfId="500" priority="386" operator="equal">
      <formula>1</formula>
    </cfRule>
  </conditionalFormatting>
  <conditionalFormatting sqref="S84:V84">
    <cfRule type="containsText" dxfId="499" priority="385" operator="containsText" text="N/A">
      <formula>NOT(ISERROR(SEARCH("N/A",S84)))</formula>
    </cfRule>
  </conditionalFormatting>
  <conditionalFormatting sqref="S84:V84">
    <cfRule type="cellIs" dxfId="498" priority="381" operator="equal">
      <formula>5</formula>
    </cfRule>
    <cfRule type="cellIs" dxfId="497" priority="382" operator="equal">
      <formula>4</formula>
    </cfRule>
    <cfRule type="cellIs" dxfId="496" priority="383" operator="equal">
      <formula>2</formula>
    </cfRule>
    <cfRule type="cellIs" dxfId="495" priority="384" operator="equal">
      <formula>3</formula>
    </cfRule>
  </conditionalFormatting>
  <conditionalFormatting sqref="S84:V84">
    <cfRule type="cellIs" dxfId="494" priority="380" operator="equal">
      <formula>1</formula>
    </cfRule>
  </conditionalFormatting>
  <conditionalFormatting sqref="O84">
    <cfRule type="cellIs" dxfId="493" priority="376" operator="equal">
      <formula>5</formula>
    </cfRule>
    <cfRule type="cellIs" dxfId="492" priority="377" operator="equal">
      <formula>4</formula>
    </cfRule>
    <cfRule type="cellIs" dxfId="491" priority="378" operator="equal">
      <formula>2</formula>
    </cfRule>
    <cfRule type="cellIs" dxfId="490" priority="379" operator="equal">
      <formula>3</formula>
    </cfRule>
  </conditionalFormatting>
  <conditionalFormatting sqref="O84">
    <cfRule type="cellIs" dxfId="489" priority="375" operator="equal">
      <formula>1</formula>
    </cfRule>
  </conditionalFormatting>
  <conditionalFormatting sqref="O84">
    <cfRule type="containsText" dxfId="488" priority="374" operator="containsText" text="N/A">
      <formula>NOT(ISERROR(SEARCH("N/A",O84)))</formula>
    </cfRule>
  </conditionalFormatting>
  <conditionalFormatting sqref="O84">
    <cfRule type="cellIs" dxfId="487" priority="370" operator="equal">
      <formula>5</formula>
    </cfRule>
    <cfRule type="cellIs" dxfId="486" priority="371" operator="equal">
      <formula>4</formula>
    </cfRule>
    <cfRule type="cellIs" dxfId="485" priority="372" operator="equal">
      <formula>2</formula>
    </cfRule>
    <cfRule type="cellIs" dxfId="484" priority="373" operator="equal">
      <formula>3</formula>
    </cfRule>
  </conditionalFormatting>
  <conditionalFormatting sqref="O84">
    <cfRule type="cellIs" dxfId="483" priority="369" operator="equal">
      <formula>1</formula>
    </cfRule>
  </conditionalFormatting>
  <conditionalFormatting sqref="S68:V68">
    <cfRule type="cellIs" dxfId="482" priority="365" operator="equal">
      <formula>5</formula>
    </cfRule>
    <cfRule type="cellIs" dxfId="481" priority="366" operator="equal">
      <formula>4</formula>
    </cfRule>
    <cfRule type="cellIs" dxfId="480" priority="367" operator="equal">
      <formula>2</formula>
    </cfRule>
    <cfRule type="cellIs" dxfId="479" priority="368" operator="equal">
      <formula>3</formula>
    </cfRule>
  </conditionalFormatting>
  <conditionalFormatting sqref="S68:V68">
    <cfRule type="cellIs" dxfId="478" priority="364" operator="equal">
      <formula>1</formula>
    </cfRule>
  </conditionalFormatting>
  <conditionalFormatting sqref="S68:V68">
    <cfRule type="containsText" dxfId="477" priority="363" operator="containsText" text="N/A">
      <formula>NOT(ISERROR(SEARCH("N/A",S68)))</formula>
    </cfRule>
  </conditionalFormatting>
  <conditionalFormatting sqref="S68:V68">
    <cfRule type="cellIs" dxfId="476" priority="359" operator="equal">
      <formula>5</formula>
    </cfRule>
    <cfRule type="cellIs" dxfId="475" priority="360" operator="equal">
      <formula>4</formula>
    </cfRule>
    <cfRule type="cellIs" dxfId="474" priority="361" operator="equal">
      <formula>2</formula>
    </cfRule>
    <cfRule type="cellIs" dxfId="473" priority="362" operator="equal">
      <formula>3</formula>
    </cfRule>
  </conditionalFormatting>
  <conditionalFormatting sqref="S68:V68">
    <cfRule type="cellIs" dxfId="472" priority="358" operator="equal">
      <formula>1</formula>
    </cfRule>
  </conditionalFormatting>
  <conditionalFormatting sqref="O68">
    <cfRule type="cellIs" dxfId="471" priority="354" operator="equal">
      <formula>5</formula>
    </cfRule>
    <cfRule type="cellIs" dxfId="470" priority="355" operator="equal">
      <formula>4</formula>
    </cfRule>
    <cfRule type="cellIs" dxfId="469" priority="356" operator="equal">
      <formula>2</formula>
    </cfRule>
    <cfRule type="cellIs" dxfId="468" priority="357" operator="equal">
      <formula>3</formula>
    </cfRule>
  </conditionalFormatting>
  <conditionalFormatting sqref="O68">
    <cfRule type="cellIs" dxfId="467" priority="353" operator="equal">
      <formula>1</formula>
    </cfRule>
  </conditionalFormatting>
  <conditionalFormatting sqref="O68">
    <cfRule type="containsText" dxfId="466" priority="352" operator="containsText" text="N/A">
      <formula>NOT(ISERROR(SEARCH("N/A",O68)))</formula>
    </cfRule>
  </conditionalFormatting>
  <conditionalFormatting sqref="O68">
    <cfRule type="cellIs" dxfId="465" priority="348" operator="equal">
      <formula>5</formula>
    </cfRule>
    <cfRule type="cellIs" dxfId="464" priority="349" operator="equal">
      <formula>4</formula>
    </cfRule>
    <cfRule type="cellIs" dxfId="463" priority="350" operator="equal">
      <formula>2</formula>
    </cfRule>
    <cfRule type="cellIs" dxfId="462" priority="351" operator="equal">
      <formula>3</formula>
    </cfRule>
  </conditionalFormatting>
  <conditionalFormatting sqref="O68">
    <cfRule type="cellIs" dxfId="461" priority="347" operator="equal">
      <formula>1</formula>
    </cfRule>
  </conditionalFormatting>
  <conditionalFormatting sqref="S56:V56">
    <cfRule type="cellIs" dxfId="460" priority="343" operator="equal">
      <formula>5</formula>
    </cfRule>
    <cfRule type="cellIs" dxfId="459" priority="344" operator="equal">
      <formula>4</formula>
    </cfRule>
    <cfRule type="cellIs" dxfId="458" priority="345" operator="equal">
      <formula>2</formula>
    </cfRule>
    <cfRule type="cellIs" dxfId="457" priority="346" operator="equal">
      <formula>3</formula>
    </cfRule>
  </conditionalFormatting>
  <conditionalFormatting sqref="S56:V56">
    <cfRule type="cellIs" dxfId="456" priority="342" operator="equal">
      <formula>1</formula>
    </cfRule>
  </conditionalFormatting>
  <conditionalFormatting sqref="S56:V56">
    <cfRule type="containsText" dxfId="455" priority="341" operator="containsText" text="N/A">
      <formula>NOT(ISERROR(SEARCH("N/A",S56)))</formula>
    </cfRule>
  </conditionalFormatting>
  <conditionalFormatting sqref="S56:V56">
    <cfRule type="cellIs" dxfId="454" priority="337" operator="equal">
      <formula>5</formula>
    </cfRule>
    <cfRule type="cellIs" dxfId="453" priority="338" operator="equal">
      <formula>4</formula>
    </cfRule>
    <cfRule type="cellIs" dxfId="452" priority="339" operator="equal">
      <formula>2</formula>
    </cfRule>
    <cfRule type="cellIs" dxfId="451" priority="340" operator="equal">
      <formula>3</formula>
    </cfRule>
  </conditionalFormatting>
  <conditionalFormatting sqref="S56:V56">
    <cfRule type="cellIs" dxfId="450" priority="336" operator="equal">
      <formula>1</formula>
    </cfRule>
  </conditionalFormatting>
  <conditionalFormatting sqref="O56">
    <cfRule type="cellIs" dxfId="449" priority="332" operator="equal">
      <formula>5</formula>
    </cfRule>
    <cfRule type="cellIs" dxfId="448" priority="333" operator="equal">
      <formula>4</formula>
    </cfRule>
    <cfRule type="cellIs" dxfId="447" priority="334" operator="equal">
      <formula>2</formula>
    </cfRule>
    <cfRule type="cellIs" dxfId="446" priority="335" operator="equal">
      <formula>3</formula>
    </cfRule>
  </conditionalFormatting>
  <conditionalFormatting sqref="O56">
    <cfRule type="cellIs" dxfId="445" priority="331" operator="equal">
      <formula>1</formula>
    </cfRule>
  </conditionalFormatting>
  <conditionalFormatting sqref="O56">
    <cfRule type="containsText" dxfId="444" priority="330" operator="containsText" text="N/A">
      <formula>NOT(ISERROR(SEARCH("N/A",O56)))</formula>
    </cfRule>
  </conditionalFormatting>
  <conditionalFormatting sqref="O56">
    <cfRule type="cellIs" dxfId="443" priority="326" operator="equal">
      <formula>5</formula>
    </cfRule>
    <cfRule type="cellIs" dxfId="442" priority="327" operator="equal">
      <formula>4</formula>
    </cfRule>
    <cfRule type="cellIs" dxfId="441" priority="328" operator="equal">
      <formula>2</formula>
    </cfRule>
    <cfRule type="cellIs" dxfId="440" priority="329" operator="equal">
      <formula>3</formula>
    </cfRule>
  </conditionalFormatting>
  <conditionalFormatting sqref="O56">
    <cfRule type="cellIs" dxfId="439" priority="325" operator="equal">
      <formula>1</formula>
    </cfRule>
  </conditionalFormatting>
  <conditionalFormatting sqref="S49:V49">
    <cfRule type="cellIs" dxfId="438" priority="321" operator="equal">
      <formula>5</formula>
    </cfRule>
    <cfRule type="cellIs" dxfId="437" priority="322" operator="equal">
      <formula>4</formula>
    </cfRule>
    <cfRule type="cellIs" dxfId="436" priority="323" operator="equal">
      <formula>2</formula>
    </cfRule>
    <cfRule type="cellIs" dxfId="435" priority="324" operator="equal">
      <formula>3</formula>
    </cfRule>
  </conditionalFormatting>
  <conditionalFormatting sqref="S49:V49">
    <cfRule type="cellIs" dxfId="434" priority="320" operator="equal">
      <formula>1</formula>
    </cfRule>
  </conditionalFormatting>
  <conditionalFormatting sqref="S49:V49">
    <cfRule type="containsText" dxfId="433" priority="319" operator="containsText" text="N/A">
      <formula>NOT(ISERROR(SEARCH("N/A",S49)))</formula>
    </cfRule>
  </conditionalFormatting>
  <conditionalFormatting sqref="S49:V49">
    <cfRule type="cellIs" dxfId="432" priority="315" operator="equal">
      <formula>5</formula>
    </cfRule>
    <cfRule type="cellIs" dxfId="431" priority="316" operator="equal">
      <formula>4</formula>
    </cfRule>
    <cfRule type="cellIs" dxfId="430" priority="317" operator="equal">
      <formula>2</formula>
    </cfRule>
    <cfRule type="cellIs" dxfId="429" priority="318" operator="equal">
      <formula>3</formula>
    </cfRule>
  </conditionalFormatting>
  <conditionalFormatting sqref="S49:V49">
    <cfRule type="cellIs" dxfId="428" priority="314" operator="equal">
      <formula>1</formula>
    </cfRule>
  </conditionalFormatting>
  <conditionalFormatting sqref="O49">
    <cfRule type="cellIs" dxfId="427" priority="310" operator="equal">
      <formula>5</formula>
    </cfRule>
    <cfRule type="cellIs" dxfId="426" priority="311" operator="equal">
      <formula>4</formula>
    </cfRule>
    <cfRule type="cellIs" dxfId="425" priority="312" operator="equal">
      <formula>2</formula>
    </cfRule>
    <cfRule type="cellIs" dxfId="424" priority="313" operator="equal">
      <formula>3</formula>
    </cfRule>
  </conditionalFormatting>
  <conditionalFormatting sqref="O49">
    <cfRule type="cellIs" dxfId="423" priority="309" operator="equal">
      <formula>1</formula>
    </cfRule>
  </conditionalFormatting>
  <conditionalFormatting sqref="O49">
    <cfRule type="containsText" dxfId="422" priority="308" operator="containsText" text="N/A">
      <formula>NOT(ISERROR(SEARCH("N/A",O49)))</formula>
    </cfRule>
  </conditionalFormatting>
  <conditionalFormatting sqref="O49">
    <cfRule type="cellIs" dxfId="421" priority="304" operator="equal">
      <formula>5</formula>
    </cfRule>
    <cfRule type="cellIs" dxfId="420" priority="305" operator="equal">
      <formula>4</formula>
    </cfRule>
    <cfRule type="cellIs" dxfId="419" priority="306" operator="equal">
      <formula>2</formula>
    </cfRule>
    <cfRule type="cellIs" dxfId="418" priority="307" operator="equal">
      <formula>3</formula>
    </cfRule>
  </conditionalFormatting>
  <conditionalFormatting sqref="O49">
    <cfRule type="cellIs" dxfId="417" priority="303" operator="equal">
      <formula>1</formula>
    </cfRule>
  </conditionalFormatting>
  <conditionalFormatting sqref="S34:V34">
    <cfRule type="cellIs" dxfId="416" priority="299" operator="equal">
      <formula>5</formula>
    </cfRule>
    <cfRule type="cellIs" dxfId="415" priority="300" operator="equal">
      <formula>4</formula>
    </cfRule>
    <cfRule type="cellIs" dxfId="414" priority="301" operator="equal">
      <formula>2</formula>
    </cfRule>
    <cfRule type="cellIs" dxfId="413" priority="302" operator="equal">
      <formula>3</formula>
    </cfRule>
  </conditionalFormatting>
  <conditionalFormatting sqref="S34:V34">
    <cfRule type="cellIs" dxfId="412" priority="298" operator="equal">
      <formula>1</formula>
    </cfRule>
  </conditionalFormatting>
  <conditionalFormatting sqref="S34:V34">
    <cfRule type="containsText" dxfId="411" priority="297" operator="containsText" text="N/A">
      <formula>NOT(ISERROR(SEARCH("N/A",S34)))</formula>
    </cfRule>
  </conditionalFormatting>
  <conditionalFormatting sqref="S34:V34">
    <cfRule type="cellIs" dxfId="410" priority="293" operator="equal">
      <formula>5</formula>
    </cfRule>
    <cfRule type="cellIs" dxfId="409" priority="294" operator="equal">
      <formula>4</formula>
    </cfRule>
    <cfRule type="cellIs" dxfId="408" priority="295" operator="equal">
      <formula>2</formula>
    </cfRule>
    <cfRule type="cellIs" dxfId="407" priority="296" operator="equal">
      <formula>3</formula>
    </cfRule>
  </conditionalFormatting>
  <conditionalFormatting sqref="S34:V34">
    <cfRule type="cellIs" dxfId="406" priority="292" operator="equal">
      <formula>1</formula>
    </cfRule>
  </conditionalFormatting>
  <conditionalFormatting sqref="O34">
    <cfRule type="cellIs" dxfId="405" priority="288" operator="equal">
      <formula>5</formula>
    </cfRule>
    <cfRule type="cellIs" dxfId="404" priority="289" operator="equal">
      <formula>4</formula>
    </cfRule>
    <cfRule type="cellIs" dxfId="403" priority="290" operator="equal">
      <formula>2</formula>
    </cfRule>
    <cfRule type="cellIs" dxfId="402" priority="291" operator="equal">
      <formula>3</formula>
    </cfRule>
  </conditionalFormatting>
  <conditionalFormatting sqref="O34">
    <cfRule type="cellIs" dxfId="401" priority="287" operator="equal">
      <formula>1</formula>
    </cfRule>
  </conditionalFormatting>
  <conditionalFormatting sqref="O34">
    <cfRule type="containsText" dxfId="400" priority="286" operator="containsText" text="N/A">
      <formula>NOT(ISERROR(SEARCH("N/A",O34)))</formula>
    </cfRule>
  </conditionalFormatting>
  <conditionalFormatting sqref="O34">
    <cfRule type="cellIs" dxfId="399" priority="282" operator="equal">
      <formula>5</formula>
    </cfRule>
    <cfRule type="cellIs" dxfId="398" priority="283" operator="equal">
      <formula>4</formula>
    </cfRule>
    <cfRule type="cellIs" dxfId="397" priority="284" operator="equal">
      <formula>2</formula>
    </cfRule>
    <cfRule type="cellIs" dxfId="396" priority="285" operator="equal">
      <formula>3</formula>
    </cfRule>
  </conditionalFormatting>
  <conditionalFormatting sqref="O34">
    <cfRule type="cellIs" dxfId="395" priority="281" operator="equal">
      <formula>1</formula>
    </cfRule>
  </conditionalFormatting>
  <conditionalFormatting sqref="L39">
    <cfRule type="cellIs" dxfId="394" priority="277" operator="equal">
      <formula>5</formula>
    </cfRule>
    <cfRule type="cellIs" dxfId="393" priority="278" operator="equal">
      <formula>4</formula>
    </cfRule>
    <cfRule type="cellIs" dxfId="392" priority="279" operator="equal">
      <formula>2</formula>
    </cfRule>
    <cfRule type="cellIs" dxfId="391" priority="280" operator="equal">
      <formula>3</formula>
    </cfRule>
  </conditionalFormatting>
  <conditionalFormatting sqref="L39">
    <cfRule type="cellIs" dxfId="390" priority="276" operator="equal">
      <formula>1</formula>
    </cfRule>
  </conditionalFormatting>
  <conditionalFormatting sqref="L39">
    <cfRule type="containsText" dxfId="389" priority="275" operator="containsText" text="N/A">
      <formula>NOT(ISERROR(SEARCH("N/A",L39)))</formula>
    </cfRule>
  </conditionalFormatting>
  <conditionalFormatting sqref="L39">
    <cfRule type="cellIs" dxfId="388" priority="271" operator="equal">
      <formula>5</formula>
    </cfRule>
    <cfRule type="cellIs" dxfId="387" priority="272" operator="equal">
      <formula>4</formula>
    </cfRule>
    <cfRule type="cellIs" dxfId="386" priority="273" operator="equal">
      <formula>2</formula>
    </cfRule>
    <cfRule type="cellIs" dxfId="385" priority="274" operator="equal">
      <formula>3</formula>
    </cfRule>
  </conditionalFormatting>
  <conditionalFormatting sqref="L39">
    <cfRule type="cellIs" dxfId="384" priority="270" operator="equal">
      <formula>1</formula>
    </cfRule>
  </conditionalFormatting>
  <conditionalFormatting sqref="L39">
    <cfRule type="cellIs" dxfId="383" priority="266" operator="equal">
      <formula>5</formula>
    </cfRule>
    <cfRule type="cellIs" dxfId="382" priority="267" operator="equal">
      <formula>4</formula>
    </cfRule>
    <cfRule type="cellIs" dxfId="381" priority="268" operator="equal">
      <formula>2</formula>
    </cfRule>
    <cfRule type="cellIs" dxfId="380" priority="269" operator="equal">
      <formula>3</formula>
    </cfRule>
  </conditionalFormatting>
  <conditionalFormatting sqref="L39">
    <cfRule type="cellIs" dxfId="379" priority="265" operator="equal">
      <formula>1</formula>
    </cfRule>
  </conditionalFormatting>
  <conditionalFormatting sqref="L24">
    <cfRule type="cellIs" dxfId="378" priority="261" operator="equal">
      <formula>5</formula>
    </cfRule>
    <cfRule type="cellIs" dxfId="377" priority="262" operator="equal">
      <formula>4</formula>
    </cfRule>
    <cfRule type="cellIs" dxfId="376" priority="263" operator="equal">
      <formula>2</formula>
    </cfRule>
    <cfRule type="cellIs" dxfId="375" priority="264" operator="equal">
      <formula>3</formula>
    </cfRule>
  </conditionalFormatting>
  <conditionalFormatting sqref="L24">
    <cfRule type="cellIs" dxfId="374" priority="260" operator="equal">
      <formula>1</formula>
    </cfRule>
  </conditionalFormatting>
  <conditionalFormatting sqref="L24">
    <cfRule type="containsText" dxfId="373" priority="259" operator="containsText" text="N/A">
      <formula>NOT(ISERROR(SEARCH("N/A",L24)))</formula>
    </cfRule>
  </conditionalFormatting>
  <conditionalFormatting sqref="L24">
    <cfRule type="cellIs" dxfId="372" priority="255" operator="equal">
      <formula>5</formula>
    </cfRule>
    <cfRule type="cellIs" dxfId="371" priority="256" operator="equal">
      <formula>4</formula>
    </cfRule>
    <cfRule type="cellIs" dxfId="370" priority="257" operator="equal">
      <formula>2</formula>
    </cfRule>
    <cfRule type="cellIs" dxfId="369" priority="258" operator="equal">
      <formula>3</formula>
    </cfRule>
  </conditionalFormatting>
  <conditionalFormatting sqref="L24">
    <cfRule type="cellIs" dxfId="368" priority="254" operator="equal">
      <formula>1</formula>
    </cfRule>
  </conditionalFormatting>
  <conditionalFormatting sqref="L24">
    <cfRule type="cellIs" dxfId="367" priority="250" operator="equal">
      <formula>5</formula>
    </cfRule>
    <cfRule type="cellIs" dxfId="366" priority="251" operator="equal">
      <formula>4</formula>
    </cfRule>
    <cfRule type="cellIs" dxfId="365" priority="252" operator="equal">
      <formula>2</formula>
    </cfRule>
    <cfRule type="cellIs" dxfId="364" priority="253" operator="equal">
      <formula>3</formula>
    </cfRule>
  </conditionalFormatting>
  <conditionalFormatting sqref="L24">
    <cfRule type="cellIs" dxfId="363" priority="249" operator="equal">
      <formula>1</formula>
    </cfRule>
  </conditionalFormatting>
  <conditionalFormatting sqref="L14:L17">
    <cfRule type="cellIs" dxfId="362" priority="245" operator="equal">
      <formula>5</formula>
    </cfRule>
    <cfRule type="cellIs" dxfId="361" priority="246" operator="equal">
      <formula>4</formula>
    </cfRule>
    <cfRule type="cellIs" dxfId="360" priority="247" operator="equal">
      <formula>2</formula>
    </cfRule>
    <cfRule type="cellIs" dxfId="359" priority="248" operator="equal">
      <formula>3</formula>
    </cfRule>
  </conditionalFormatting>
  <conditionalFormatting sqref="L14:L17">
    <cfRule type="cellIs" dxfId="358" priority="244" operator="equal">
      <formula>1</formula>
    </cfRule>
  </conditionalFormatting>
  <conditionalFormatting sqref="L14:L17">
    <cfRule type="containsText" dxfId="357" priority="243" operator="containsText" text="N/A">
      <formula>NOT(ISERROR(SEARCH("N/A",L14)))</formula>
    </cfRule>
  </conditionalFormatting>
  <conditionalFormatting sqref="L14:L17">
    <cfRule type="cellIs" dxfId="356" priority="239" operator="equal">
      <formula>5</formula>
    </cfRule>
    <cfRule type="cellIs" dxfId="355" priority="240" operator="equal">
      <formula>4</formula>
    </cfRule>
    <cfRule type="cellIs" dxfId="354" priority="241" operator="equal">
      <formula>2</formula>
    </cfRule>
    <cfRule type="cellIs" dxfId="353" priority="242" operator="equal">
      <formula>3</formula>
    </cfRule>
  </conditionalFormatting>
  <conditionalFormatting sqref="L14:L17">
    <cfRule type="cellIs" dxfId="352" priority="238" operator="equal">
      <formula>1</formula>
    </cfRule>
  </conditionalFormatting>
  <conditionalFormatting sqref="L14:L17">
    <cfRule type="cellIs" dxfId="351" priority="234" operator="equal">
      <formula>5</formula>
    </cfRule>
    <cfRule type="cellIs" dxfId="350" priority="235" operator="equal">
      <formula>4</formula>
    </cfRule>
    <cfRule type="cellIs" dxfId="349" priority="236" operator="equal">
      <formula>2</formula>
    </cfRule>
    <cfRule type="cellIs" dxfId="348" priority="237" operator="equal">
      <formula>3</formula>
    </cfRule>
  </conditionalFormatting>
  <conditionalFormatting sqref="L14:L17">
    <cfRule type="cellIs" dxfId="347" priority="233" operator="equal">
      <formula>1</formula>
    </cfRule>
  </conditionalFormatting>
  <conditionalFormatting sqref="L18">
    <cfRule type="cellIs" dxfId="346" priority="229" operator="equal">
      <formula>5</formula>
    </cfRule>
    <cfRule type="cellIs" dxfId="345" priority="230" operator="equal">
      <formula>4</formula>
    </cfRule>
    <cfRule type="cellIs" dxfId="344" priority="231" operator="equal">
      <formula>2</formula>
    </cfRule>
    <cfRule type="cellIs" dxfId="343" priority="232" operator="equal">
      <formula>3</formula>
    </cfRule>
  </conditionalFormatting>
  <conditionalFormatting sqref="L18">
    <cfRule type="cellIs" dxfId="342" priority="228" operator="equal">
      <formula>1</formula>
    </cfRule>
  </conditionalFormatting>
  <conditionalFormatting sqref="L18">
    <cfRule type="containsText" dxfId="341" priority="227" operator="containsText" text="N/A">
      <formula>NOT(ISERROR(SEARCH("N/A",L18)))</formula>
    </cfRule>
  </conditionalFormatting>
  <conditionalFormatting sqref="L18">
    <cfRule type="cellIs" dxfId="340" priority="223" operator="equal">
      <formula>5</formula>
    </cfRule>
    <cfRule type="cellIs" dxfId="339" priority="224" operator="equal">
      <formula>4</formula>
    </cfRule>
    <cfRule type="cellIs" dxfId="338" priority="225" operator="equal">
      <formula>2</formula>
    </cfRule>
    <cfRule type="cellIs" dxfId="337" priority="226" operator="equal">
      <formula>3</formula>
    </cfRule>
  </conditionalFormatting>
  <conditionalFormatting sqref="L18">
    <cfRule type="cellIs" dxfId="336" priority="222" operator="equal">
      <formula>1</formula>
    </cfRule>
  </conditionalFormatting>
  <conditionalFormatting sqref="L18">
    <cfRule type="cellIs" dxfId="335" priority="218" operator="equal">
      <formula>5</formula>
    </cfRule>
    <cfRule type="cellIs" dxfId="334" priority="219" operator="equal">
      <formula>4</formula>
    </cfRule>
    <cfRule type="cellIs" dxfId="333" priority="220" operator="equal">
      <formula>2</formula>
    </cfRule>
    <cfRule type="cellIs" dxfId="332" priority="221" operator="equal">
      <formula>3</formula>
    </cfRule>
  </conditionalFormatting>
  <conditionalFormatting sqref="L18">
    <cfRule type="cellIs" dxfId="331" priority="217" operator="equal">
      <formula>1</formula>
    </cfRule>
  </conditionalFormatting>
  <conditionalFormatting sqref="W18">
    <cfRule type="cellIs" dxfId="330" priority="213" operator="equal">
      <formula>5</formula>
    </cfRule>
    <cfRule type="cellIs" dxfId="329" priority="214" operator="equal">
      <formula>4</formula>
    </cfRule>
    <cfRule type="cellIs" dxfId="328" priority="215" operator="equal">
      <formula>2</formula>
    </cfRule>
    <cfRule type="cellIs" dxfId="327" priority="216" operator="equal">
      <formula>3</formula>
    </cfRule>
  </conditionalFormatting>
  <conditionalFormatting sqref="W18">
    <cfRule type="cellIs" dxfId="326" priority="212" operator="equal">
      <formula>1</formula>
    </cfRule>
  </conditionalFormatting>
  <conditionalFormatting sqref="W24">
    <cfRule type="cellIs" dxfId="325" priority="198" operator="equal">
      <formula>5</formula>
    </cfRule>
    <cfRule type="cellIs" dxfId="324" priority="199" operator="equal">
      <formula>4</formula>
    </cfRule>
    <cfRule type="cellIs" dxfId="323" priority="200" operator="equal">
      <formula>2</formula>
    </cfRule>
    <cfRule type="cellIs" dxfId="322" priority="201" operator="equal">
      <formula>3</formula>
    </cfRule>
  </conditionalFormatting>
  <conditionalFormatting sqref="W24">
    <cfRule type="cellIs" dxfId="321" priority="197" operator="equal">
      <formula>1</formula>
    </cfRule>
  </conditionalFormatting>
  <conditionalFormatting sqref="W24">
    <cfRule type="containsText" dxfId="320" priority="196" operator="containsText" text="N/A">
      <formula>NOT(ISERROR(SEARCH("N/A",W24)))</formula>
    </cfRule>
  </conditionalFormatting>
  <conditionalFormatting sqref="N29:N32">
    <cfRule type="containsText" dxfId="319" priority="194" operator="containsText" text="F3 exigé">
      <formula>NOT(ISERROR(SEARCH("F3 exigé",N29)))</formula>
    </cfRule>
  </conditionalFormatting>
  <conditionalFormatting sqref="B29 M29:W32">
    <cfRule type="containsText" dxfId="318" priority="193" operator="containsText" text="N/A">
      <formula>NOT(ISERROR(SEARCH("N/A",B29)))</formula>
    </cfRule>
  </conditionalFormatting>
  <conditionalFormatting sqref="N13:N16">
    <cfRule type="containsText" dxfId="317" priority="192" operator="containsText" text="F3 exigé">
      <formula>NOT(ISERROR(SEARCH("F3 exigé",N13)))</formula>
    </cfRule>
  </conditionalFormatting>
  <conditionalFormatting sqref="M13:W16">
    <cfRule type="containsText" dxfId="316" priority="191" operator="containsText" text="N/A">
      <formula>NOT(ISERROR(SEARCH("N/A",M13)))</formula>
    </cfRule>
  </conditionalFormatting>
  <conditionalFormatting sqref="N38:N39">
    <cfRule type="containsText" dxfId="315" priority="190" operator="containsText" text="F3 exigé">
      <formula>NOT(ISERROR(SEARCH("F3 exigé",N38)))</formula>
    </cfRule>
  </conditionalFormatting>
  <conditionalFormatting sqref="B44:L47">
    <cfRule type="containsText" dxfId="314" priority="189" operator="containsText" text="F3 exigé">
      <formula>NOT(ISERROR(SEARCH("F3 exigé",B44)))</formula>
    </cfRule>
  </conditionalFormatting>
  <conditionalFormatting sqref="C44:C47">
    <cfRule type="containsText" dxfId="313" priority="188" operator="containsText" text="F3 exigé">
      <formula>NOT(ISERROR(SEARCH("F3 exigé",C44)))</formula>
    </cfRule>
  </conditionalFormatting>
  <conditionalFormatting sqref="N44:N47">
    <cfRule type="containsText" dxfId="312" priority="187" operator="containsText" text="F3 exigé">
      <formula>NOT(ISERROR(SEARCH("F3 exigé",N44)))</formula>
    </cfRule>
  </conditionalFormatting>
  <conditionalFormatting sqref="C63:C66">
    <cfRule type="containsText" dxfId="311" priority="186" operator="containsText" text="F3 exigé">
      <formula>NOT(ISERROR(SEARCH("F3 exigé",C63)))</formula>
    </cfRule>
  </conditionalFormatting>
  <conditionalFormatting sqref="N63:N66">
    <cfRule type="containsText" dxfId="310" priority="185" operator="containsText" text="F3 exigé">
      <formula>NOT(ISERROR(SEARCH("F3 exigé",N63)))</formula>
    </cfRule>
  </conditionalFormatting>
  <conditionalFormatting sqref="N53:N54">
    <cfRule type="containsText" dxfId="309" priority="184" operator="containsText" text="F3 exigé">
      <formula>NOT(ISERROR(SEARCH("F3 exigé",N53)))</formula>
    </cfRule>
  </conditionalFormatting>
  <conditionalFormatting sqref="C79:C82">
    <cfRule type="containsText" dxfId="308" priority="183" operator="containsText" text="F3 exigé">
      <formula>NOT(ISERROR(SEARCH("F3 exigé",C79)))</formula>
    </cfRule>
  </conditionalFormatting>
  <conditionalFormatting sqref="N79:N82">
    <cfRule type="containsText" dxfId="307" priority="182" operator="containsText" text="F3 exigé">
      <formula>NOT(ISERROR(SEARCH("F3 exigé",N79)))</formula>
    </cfRule>
  </conditionalFormatting>
  <conditionalFormatting sqref="N72:N74">
    <cfRule type="containsText" dxfId="306" priority="181" operator="containsText" text="F3 exigé">
      <formula>NOT(ISERROR(SEARCH("F3 exigé",N72)))</formula>
    </cfRule>
  </conditionalFormatting>
  <conditionalFormatting sqref="D18">
    <cfRule type="containsText" dxfId="305" priority="180" operator="containsText" text="F3 exigé">
      <formula>NOT(ISERROR(SEARCH("F3 exigé",D18)))</formula>
    </cfRule>
  </conditionalFormatting>
  <conditionalFormatting sqref="D18">
    <cfRule type="containsText" dxfId="304" priority="179" operator="containsText" text="N/A">
      <formula>NOT(ISERROR(SEARCH("N/A",D18)))</formula>
    </cfRule>
  </conditionalFormatting>
  <conditionalFormatting sqref="L38">
    <cfRule type="cellIs" dxfId="303" priority="165" operator="equal">
      <formula>5</formula>
    </cfRule>
    <cfRule type="cellIs" dxfId="302" priority="166" operator="equal">
      <formula>4</formula>
    </cfRule>
    <cfRule type="cellIs" dxfId="301" priority="167" operator="equal">
      <formula>2</formula>
    </cfRule>
    <cfRule type="cellIs" dxfId="300" priority="168" operator="equal">
      <formula>3</formula>
    </cfRule>
  </conditionalFormatting>
  <conditionalFormatting sqref="L38">
    <cfRule type="cellIs" dxfId="299" priority="164" operator="equal">
      <formula>1</formula>
    </cfRule>
  </conditionalFormatting>
  <conditionalFormatting sqref="L38">
    <cfRule type="containsText" dxfId="298" priority="163" operator="containsText" text="N/A">
      <formula>NOT(ISERROR(SEARCH("N/A",L38)))</formula>
    </cfRule>
  </conditionalFormatting>
  <conditionalFormatting sqref="L38">
    <cfRule type="cellIs" dxfId="297" priority="159" operator="equal">
      <formula>5</formula>
    </cfRule>
    <cfRule type="cellIs" dxfId="296" priority="160" operator="equal">
      <formula>4</formula>
    </cfRule>
    <cfRule type="cellIs" dxfId="295" priority="161" operator="equal">
      <formula>2</formula>
    </cfRule>
    <cfRule type="cellIs" dxfId="294" priority="162" operator="equal">
      <formula>3</formula>
    </cfRule>
  </conditionalFormatting>
  <conditionalFormatting sqref="L38">
    <cfRule type="cellIs" dxfId="293" priority="158" operator="equal">
      <formula>1</formula>
    </cfRule>
  </conditionalFormatting>
  <conditionalFormatting sqref="A41:A42">
    <cfRule type="containsText" dxfId="292" priority="123" operator="containsText" text="N/A">
      <formula>NOT(ISERROR(SEARCH("N/A",A41)))</formula>
    </cfRule>
  </conditionalFormatting>
  <conditionalFormatting sqref="A25:B25">
    <cfRule type="containsText" dxfId="291" priority="86" operator="containsText" text="N/A">
      <formula>NOT(ISERROR(SEARCH("N/A",A25)))</formula>
    </cfRule>
  </conditionalFormatting>
  <conditionalFormatting sqref="M25">
    <cfRule type="containsText" dxfId="290" priority="78" operator="containsText" text="N/A">
      <formula>NOT(ISERROR(SEARCH("N/A",M25)))</formula>
    </cfRule>
  </conditionalFormatting>
  <conditionalFormatting sqref="B27">
    <cfRule type="containsText" dxfId="289" priority="77" operator="containsText" text="F3 exigé">
      <formula>NOT(ISERROR(SEARCH("F3 exigé",B27)))</formula>
    </cfRule>
  </conditionalFormatting>
  <conditionalFormatting sqref="B27">
    <cfRule type="containsText" dxfId="288" priority="76" operator="containsText" text="N/A">
      <formula>NOT(ISERROR(SEARCH("N/A",B27)))</formula>
    </cfRule>
  </conditionalFormatting>
  <conditionalFormatting sqref="B40">
    <cfRule type="containsText" dxfId="287" priority="72" operator="containsText" text="N/A">
      <formula>NOT(ISERROR(SEARCH("N/A",B40)))</formula>
    </cfRule>
  </conditionalFormatting>
  <conditionalFormatting sqref="B42">
    <cfRule type="containsText" dxfId="286" priority="71" operator="containsText" text="F3 exigé">
      <formula>NOT(ISERROR(SEARCH("F3 exigé",B42)))</formula>
    </cfRule>
  </conditionalFormatting>
  <conditionalFormatting sqref="B42">
    <cfRule type="containsText" dxfId="285" priority="70" operator="containsText" text="N/A">
      <formula>NOT(ISERROR(SEARCH("N/A",B42)))</formula>
    </cfRule>
  </conditionalFormatting>
  <conditionalFormatting sqref="M40">
    <cfRule type="containsText" dxfId="284" priority="68" operator="containsText" text="N/A">
      <formula>NOT(ISERROR(SEARCH("N/A",M40)))</formula>
    </cfRule>
  </conditionalFormatting>
  <conditionalFormatting sqref="M42">
    <cfRule type="containsText" dxfId="283" priority="45" operator="containsText" text="F3 exigé">
      <formula>NOT(ISERROR(SEARCH("F3 exigé",M42)))</formula>
    </cfRule>
  </conditionalFormatting>
  <conditionalFormatting sqref="B59">
    <cfRule type="containsText" dxfId="282" priority="64" operator="containsText" text="N/A">
      <formula>NOT(ISERROR(SEARCH("N/A",B59)))</formula>
    </cfRule>
  </conditionalFormatting>
  <conditionalFormatting sqref="B61">
    <cfRule type="containsText" dxfId="281" priority="63" operator="containsText" text="F3 exigé">
      <formula>NOT(ISERROR(SEARCH("F3 exigé",B61)))</formula>
    </cfRule>
  </conditionalFormatting>
  <conditionalFormatting sqref="B61">
    <cfRule type="containsText" dxfId="280" priority="62" operator="containsText" text="N/A">
      <formula>NOT(ISERROR(SEARCH("N/A",B61)))</formula>
    </cfRule>
  </conditionalFormatting>
  <conditionalFormatting sqref="M59">
    <cfRule type="containsText" dxfId="279" priority="60" operator="containsText" text="N/A">
      <formula>NOT(ISERROR(SEARCH("N/A",M59)))</formula>
    </cfRule>
  </conditionalFormatting>
  <conditionalFormatting sqref="B77">
    <cfRule type="containsText" dxfId="278" priority="55" operator="containsText" text="F3 exigé">
      <formula>NOT(ISERROR(SEARCH("F3 exigé",B77)))</formula>
    </cfRule>
  </conditionalFormatting>
  <conditionalFormatting sqref="B77">
    <cfRule type="containsText" dxfId="277" priority="54" operator="containsText" text="N/A">
      <formula>NOT(ISERROR(SEARCH("N/A",B77)))</formula>
    </cfRule>
  </conditionalFormatting>
  <conditionalFormatting sqref="C75">
    <cfRule type="containsText" dxfId="276" priority="57" operator="containsText" text="F3 exigé">
      <formula>NOT(ISERROR(SEARCH("F3 exigé",C75)))</formula>
    </cfRule>
  </conditionalFormatting>
  <conditionalFormatting sqref="B75:L75">
    <cfRule type="containsText" dxfId="275" priority="56" operator="containsText" text="N/A">
      <formula>NOT(ISERROR(SEARCH("N/A",B75)))</formula>
    </cfRule>
  </conditionalFormatting>
  <conditionalFormatting sqref="N75">
    <cfRule type="containsText" dxfId="274" priority="53" operator="containsText" text="F3 exigé">
      <formula>NOT(ISERROR(SEARCH("F3 exigé",N75)))</formula>
    </cfRule>
  </conditionalFormatting>
  <conditionalFormatting sqref="M75:W75">
    <cfRule type="containsText" dxfId="273" priority="52" operator="containsText" text="N/A">
      <formula>NOT(ISERROR(SEARCH("N/A",M75)))</formula>
    </cfRule>
  </conditionalFormatting>
  <conditionalFormatting sqref="M42">
    <cfRule type="containsText" dxfId="272" priority="44" operator="containsText" text="N/A">
      <formula>NOT(ISERROR(SEARCH("N/A",M42)))</formula>
    </cfRule>
  </conditionalFormatting>
  <conditionalFormatting sqref="M27">
    <cfRule type="containsText" dxfId="271" priority="37" operator="containsText" text="F3 exigé">
      <formula>NOT(ISERROR(SEARCH("F3 exigé",M27)))</formula>
    </cfRule>
  </conditionalFormatting>
  <conditionalFormatting sqref="M27">
    <cfRule type="containsText" dxfId="270" priority="36" operator="containsText" text="N/A">
      <formula>NOT(ISERROR(SEARCH("N/A",M27)))</formula>
    </cfRule>
  </conditionalFormatting>
  <conditionalFormatting sqref="M61">
    <cfRule type="containsText" dxfId="269" priority="35" operator="containsText" text="F3 exigé">
      <formula>NOT(ISERROR(SEARCH("F3 exigé",M61)))</formula>
    </cfRule>
  </conditionalFormatting>
  <conditionalFormatting sqref="M61">
    <cfRule type="containsText" dxfId="268" priority="34" operator="containsText" text="N/A">
      <formula>NOT(ISERROR(SEARCH("N/A",M61)))</formula>
    </cfRule>
  </conditionalFormatting>
  <conditionalFormatting sqref="A4:A7">
    <cfRule type="containsText" dxfId="267" priority="30" operator="containsText" text="R1">
      <formula>NOT(ISERROR(SEARCH("R1",A4)))</formula>
    </cfRule>
    <cfRule type="containsText" dxfId="266" priority="31" operator="containsText" text="R3 required">
      <formula>NOT(ISERROR(SEARCH("R3 required",A4)))</formula>
    </cfRule>
  </conditionalFormatting>
  <conditionalFormatting sqref="A4:A7">
    <cfRule type="containsText" dxfId="265" priority="29" operator="containsText" text="R0">
      <formula>NOT(ISERROR(SEARCH("R0",A4)))</formula>
    </cfRule>
  </conditionalFormatting>
  <conditionalFormatting sqref="A10">
    <cfRule type="containsText" dxfId="264" priority="28" operator="containsText" text="N/A">
      <formula>NOT(ISERROR(SEARCH("N/A",A10)))</formula>
    </cfRule>
  </conditionalFormatting>
  <conditionalFormatting sqref="A10">
    <cfRule type="containsText" dxfId="263" priority="26" operator="containsText" text="R1">
      <formula>NOT(ISERROR(SEARCH("R1",A10)))</formula>
    </cfRule>
    <cfRule type="containsText" dxfId="262" priority="27" operator="containsText" text="R3 required">
      <formula>NOT(ISERROR(SEARCH("R3 required",A10)))</formula>
    </cfRule>
  </conditionalFormatting>
  <conditionalFormatting sqref="A10">
    <cfRule type="containsText" dxfId="261" priority="25" operator="containsText" text="R0">
      <formula>NOT(ISERROR(SEARCH("R0",A10)))</formula>
    </cfRule>
  </conditionalFormatting>
  <conditionalFormatting sqref="B13 B18:B22">
    <cfRule type="containsText" dxfId="260" priority="24" operator="containsText" text="N/A">
      <formula>NOT(ISERROR(SEARCH("N/A",B13)))</formula>
    </cfRule>
  </conditionalFormatting>
  <conditionalFormatting sqref="B14:B17">
    <cfRule type="containsText" dxfId="259" priority="23" operator="containsText" text="N/A">
      <formula>NOT(ISERROR(SEARCH("N/A",B14)))</formula>
    </cfRule>
  </conditionalFormatting>
  <conditionalFormatting sqref="B13:B22">
    <cfRule type="containsText" dxfId="258" priority="21" operator="containsText" text="R1">
      <formula>NOT(ISERROR(SEARCH("R1",B13)))</formula>
    </cfRule>
    <cfRule type="containsText" dxfId="257" priority="22" operator="containsText" text="R3 required">
      <formula>NOT(ISERROR(SEARCH("R3 required",B13)))</formula>
    </cfRule>
  </conditionalFormatting>
  <conditionalFormatting sqref="B13:B22">
    <cfRule type="containsText" dxfId="256" priority="20" operator="containsText" text="R0">
      <formula>NOT(ISERROR(SEARCH("R0",B13)))</formula>
    </cfRule>
  </conditionalFormatting>
  <conditionalFormatting sqref="L13">
    <cfRule type="containsText" dxfId="255" priority="19" operator="containsText" text="N/A">
      <formula>NOT(ISERROR(SEARCH("N/A",L13)))</formula>
    </cfRule>
  </conditionalFormatting>
  <conditionalFormatting sqref="L13">
    <cfRule type="containsText" dxfId="254" priority="17" operator="containsText" text="R1">
      <formula>NOT(ISERROR(SEARCH("R1",L13)))</formula>
    </cfRule>
    <cfRule type="containsText" dxfId="253" priority="18" operator="containsText" text="R3 required">
      <formula>NOT(ISERROR(SEARCH("R3 required",L13)))</formula>
    </cfRule>
  </conditionalFormatting>
  <conditionalFormatting sqref="L13">
    <cfRule type="containsText" dxfId="252" priority="16" operator="containsText" text="R0">
      <formula>NOT(ISERROR(SEARCH("R0",L13)))</formula>
    </cfRule>
  </conditionalFormatting>
  <conditionalFormatting sqref="C72">
    <cfRule type="containsText" dxfId="251" priority="15" operator="containsText" text="F3 exigé">
      <formula>NOT(ISERROR(SEARCH("F3 exigé",C72)))</formula>
    </cfRule>
  </conditionalFormatting>
  <conditionalFormatting sqref="B72:C72">
    <cfRule type="containsText" dxfId="250" priority="13" operator="containsText" text="R1">
      <formula>NOT(ISERROR(SEARCH("R1",B72)))</formula>
    </cfRule>
    <cfRule type="containsText" dxfId="249" priority="14" operator="containsText" text="R3 required">
      <formula>NOT(ISERROR(SEARCH("R3 required",B72)))</formula>
    </cfRule>
  </conditionalFormatting>
  <conditionalFormatting sqref="B72:C72">
    <cfRule type="containsText" dxfId="248" priority="12" operator="containsText" text="R0">
      <formula>NOT(ISERROR(SEARCH("R0",B72)))</formula>
    </cfRule>
  </conditionalFormatting>
  <conditionalFormatting sqref="N83:N84">
    <cfRule type="containsText" dxfId="247" priority="11" operator="containsText" text="F3 exigé">
      <formula>NOT(ISERROR(SEARCH("F3 exigé",N83)))</formula>
    </cfRule>
  </conditionalFormatting>
  <conditionalFormatting sqref="M77">
    <cfRule type="containsText" dxfId="246" priority="10" operator="containsText" text="F3 exigé">
      <formula>NOT(ISERROR(SEARCH("F3 exigé",M77)))</formula>
    </cfRule>
  </conditionalFormatting>
  <conditionalFormatting sqref="M77">
    <cfRule type="containsText" dxfId="245" priority="9" operator="containsText" text="N/A">
      <formula>NOT(ISERROR(SEARCH("N/A",M77)))</formula>
    </cfRule>
  </conditionalFormatting>
  <conditionalFormatting sqref="W17">
    <cfRule type="containsText" dxfId="244" priority="8" operator="containsText" text="N/A">
      <formula>NOT(ISERROR(SEARCH("N/A",W17)))</formula>
    </cfRule>
  </conditionalFormatting>
  <conditionalFormatting sqref="W17">
    <cfRule type="containsText" dxfId="243" priority="6" operator="containsText" text="R1">
      <formula>NOT(ISERROR(SEARCH("R1",W17)))</formula>
    </cfRule>
    <cfRule type="containsText" dxfId="242" priority="7" operator="containsText" text="R3 required">
      <formula>NOT(ISERROR(SEARCH("R3 required",W17)))</formula>
    </cfRule>
  </conditionalFormatting>
  <conditionalFormatting sqref="W17">
    <cfRule type="containsText" dxfId="241" priority="5" operator="containsText" text="R0">
      <formula>NOT(ISERROR(SEARCH("R0",W17)))</formula>
    </cfRule>
  </conditionalFormatting>
  <conditionalFormatting sqref="N18">
    <cfRule type="containsText" dxfId="240" priority="4" operator="containsText" text="F3 exigé">
      <formula>NOT(ISERROR(SEARCH("F3 exigé",N18)))</formula>
    </cfRule>
  </conditionalFormatting>
  <conditionalFormatting sqref="P18:Q18 N18">
    <cfRule type="containsText" dxfId="239" priority="3" operator="containsText" text="N/A">
      <formula>NOT(ISERROR(SEARCH("N/A",N18)))</formula>
    </cfRule>
  </conditionalFormatting>
  <conditionalFormatting sqref="O18">
    <cfRule type="containsText" dxfId="238" priority="2" operator="containsText" text="F3 exigé">
      <formula>NOT(ISERROR(SEARCH("F3 exigé",O18)))</formula>
    </cfRule>
  </conditionalFormatting>
  <conditionalFormatting sqref="O18">
    <cfRule type="containsText" dxfId="237" priority="1" operator="containsText" text="N/A">
      <formula>NOT(ISERROR(SEARCH("N/A",O18)))</formula>
    </cfRule>
  </conditionalFormatting>
  <pageMargins left="0.7" right="0.7" top="0.75" bottom="0.75" header="0.3" footer="0.3"/>
  <pageSetup paperSize="9" scale="58"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containsText" priority="38" operator="containsText" id="{2096BDB7-ACF8-4A20-A011-C6195069BE8B}">
            <xm:f>NOT(ISERROR(SEARCH("+F",C27)))</xm:f>
            <xm:f>"+F"</xm:f>
            <x14:dxf>
              <font>
                <b/>
                <i val="0"/>
              </font>
              <fill>
                <patternFill>
                  <bgColor theme="9" tint="-0.24994659260841701"/>
                </patternFill>
              </fill>
            </x14:dxf>
          </x14:cfRule>
          <x14:cfRule type="containsText" priority="39" operator="containsText" id="{D83DE18C-FDAD-4E71-BB7D-040DB87CAABE}">
            <xm:f>NOT(ISERROR(SEARCH("+M",C27)))</xm:f>
            <xm:f>"+M"</xm:f>
            <x14:dxf>
              <font>
                <b/>
                <i val="0"/>
              </font>
              <fill>
                <patternFill>
                  <bgColor theme="9" tint="0.39994506668294322"/>
                </patternFill>
              </fill>
            </x14:dxf>
          </x14:cfRule>
          <x14:cfRule type="containsText" priority="40" operator="containsText" id="{A15FE677-7121-4442-9FC5-E40DEBC1B16E}">
            <xm:f>NOT(ISERROR(SEARCH("+L",C27)))</xm:f>
            <xm:f>"+L"</xm:f>
            <x14:dxf>
              <font>
                <b/>
                <i val="0"/>
              </font>
              <fill>
                <patternFill>
                  <bgColor theme="9" tint="0.59996337778862885"/>
                </patternFill>
              </fill>
            </x14:dxf>
          </x14:cfRule>
          <x14:cfRule type="containsText" priority="41" operator="containsText" id="{398E6672-7840-4BCE-A933-DE9C4B2ACFFE}">
            <xm:f>NOT(ISERROR(SEARCH("-L",C27)))</xm:f>
            <xm:f>"-L"</xm:f>
            <x14:dxf>
              <font>
                <b/>
                <i val="0"/>
              </font>
              <fill>
                <patternFill>
                  <bgColor theme="5" tint="0.59996337778862885"/>
                </patternFill>
              </fill>
            </x14:dxf>
          </x14:cfRule>
          <x14:cfRule type="containsText" priority="42" operator="containsText" id="{DAB386E8-F579-45C3-A4D1-646E061D2C31}">
            <xm:f>NOT(ISERROR(SEARCH("-M",C27)))</xm:f>
            <xm:f>"-M"</xm:f>
            <x14:dxf>
              <font>
                <b/>
                <i val="0"/>
              </font>
              <fill>
                <patternFill>
                  <bgColor theme="5" tint="0.39994506668294322"/>
                </patternFill>
              </fill>
            </x14:dxf>
          </x14:cfRule>
          <x14:cfRule type="containsText" priority="43" operator="containsText" id="{F557BB7D-C985-4A65-B76E-B9E8A2EC7373}">
            <xm:f>NOT(ISERROR(SEARCH("-F",C27)))</xm:f>
            <xm:f>"-F"</xm:f>
            <x14:dxf>
              <font>
                <b/>
                <i val="0"/>
                <color auto="1"/>
              </font>
              <fill>
                <patternFill>
                  <bgColor theme="5" tint="-0.24994659260841701"/>
                </patternFill>
              </fill>
            </x14:dxf>
          </x14:cfRule>
          <xm:sqref>C27 N27:W27 C42:L42 N42:W42 C61:L61 N61:W61 C77:L77 N77:W77 E27:L27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M48"/>
  <sheetViews>
    <sheetView zoomScale="80" zoomScaleNormal="80" workbookViewId="0">
      <selection activeCell="AN16" sqref="AN16"/>
    </sheetView>
  </sheetViews>
  <sheetFormatPr defaultColWidth="8.7109375" defaultRowHeight="15" x14ac:dyDescent="0.25"/>
  <cols>
    <col min="1" max="1" width="15.5703125" customWidth="1"/>
    <col min="2" max="2" width="16" customWidth="1"/>
    <col min="3" max="3" width="12.42578125" customWidth="1"/>
    <col min="4" max="4" width="15.85546875" customWidth="1"/>
    <col min="5" max="5" width="12.85546875" customWidth="1"/>
    <col min="6" max="6" width="13.140625" customWidth="1"/>
    <col min="7" max="7" width="11.140625" customWidth="1"/>
    <col min="8" max="8" width="11.5703125" customWidth="1"/>
    <col min="9" max="14" width="3.85546875" style="135" customWidth="1"/>
    <col min="15" max="38" width="3.85546875" customWidth="1"/>
    <col min="39" max="39" width="14.140625" customWidth="1"/>
  </cols>
  <sheetData>
    <row r="1" spans="1:39" x14ac:dyDescent="0.25">
      <c r="D1" s="193" t="s">
        <v>46</v>
      </c>
    </row>
    <row r="2" spans="1:39" s="17" customFormat="1" ht="23.25" x14ac:dyDescent="0.25">
      <c r="A2" s="676" t="s">
        <v>226</v>
      </c>
      <c r="B2" s="676"/>
      <c r="C2" s="676"/>
      <c r="D2" s="676"/>
      <c r="E2" s="676"/>
      <c r="F2" s="676"/>
      <c r="G2" s="676"/>
      <c r="H2" s="676"/>
      <c r="I2" s="676"/>
      <c r="J2" s="676"/>
      <c r="K2" s="676"/>
      <c r="L2" s="676"/>
      <c r="M2" s="676"/>
      <c r="N2" s="676"/>
      <c r="O2" s="676"/>
      <c r="P2" s="119"/>
      <c r="Q2" s="119"/>
      <c r="R2" s="119"/>
      <c r="S2" s="119"/>
      <c r="T2" s="119"/>
      <c r="U2" s="65"/>
      <c r="V2" s="65"/>
      <c r="W2" s="65"/>
      <c r="X2" s="65"/>
      <c r="Y2" s="65"/>
      <c r="Z2" s="65"/>
      <c r="AA2" s="65"/>
      <c r="AB2" s="65"/>
      <c r="AC2" s="65"/>
      <c r="AD2" s="65"/>
      <c r="AE2" s="65"/>
      <c r="AF2" s="65"/>
      <c r="AG2" s="65"/>
      <c r="AH2" s="65"/>
      <c r="AI2" s="65"/>
      <c r="AJ2" s="65"/>
      <c r="AK2" s="65"/>
      <c r="AL2" s="65"/>
      <c r="AM2" s="65"/>
    </row>
    <row r="3" spans="1:39" s="17" customFormat="1" x14ac:dyDescent="0.25">
      <c r="A3" s="65"/>
      <c r="B3" s="65"/>
      <c r="C3" s="65"/>
      <c r="D3" s="65"/>
      <c r="E3" s="65"/>
      <c r="F3" s="65"/>
      <c r="G3" s="65"/>
      <c r="H3" s="65"/>
      <c r="I3" s="213"/>
      <c r="J3" s="213"/>
      <c r="K3" s="213"/>
      <c r="L3" s="213"/>
      <c r="M3" s="213"/>
      <c r="N3" s="213"/>
      <c r="O3" s="65"/>
      <c r="P3" s="65"/>
      <c r="Q3" s="65"/>
      <c r="R3" s="65"/>
      <c r="S3" s="65"/>
      <c r="T3" s="65"/>
      <c r="U3" s="65"/>
      <c r="V3" s="65"/>
      <c r="W3" s="65"/>
      <c r="X3" s="65"/>
      <c r="Y3" s="65"/>
      <c r="Z3" s="65"/>
      <c r="AA3" s="65"/>
      <c r="AB3" s="65"/>
      <c r="AC3" s="65"/>
      <c r="AD3" s="65"/>
      <c r="AE3" s="65"/>
      <c r="AF3" s="65"/>
      <c r="AG3" s="65"/>
      <c r="AH3" s="65"/>
      <c r="AI3" s="65"/>
      <c r="AJ3" s="65"/>
      <c r="AK3" s="65"/>
      <c r="AL3" s="65"/>
      <c r="AM3" s="65"/>
    </row>
    <row r="4" spans="1:39" s="17" customFormat="1" ht="15.75" x14ac:dyDescent="0.25">
      <c r="A4" s="479" t="s">
        <v>66</v>
      </c>
      <c r="B4" s="66"/>
      <c r="C4" s="217">
        <f>'Table 1-B  Context Analysis'!$C$5</f>
        <v>0</v>
      </c>
      <c r="D4" s="65"/>
      <c r="E4" s="67"/>
      <c r="F4" s="67"/>
      <c r="G4" s="67"/>
      <c r="H4" s="67"/>
      <c r="I4" s="214"/>
      <c r="J4" s="214"/>
      <c r="K4" s="214"/>
      <c r="L4" s="214"/>
      <c r="M4" s="214"/>
      <c r="N4" s="214"/>
      <c r="O4" s="67"/>
      <c r="P4" s="67"/>
      <c r="Q4" s="67"/>
      <c r="R4" s="67"/>
      <c r="S4" s="67"/>
      <c r="T4" s="67"/>
      <c r="U4" s="65"/>
      <c r="V4" s="65"/>
      <c r="W4" s="65"/>
      <c r="X4" s="65"/>
      <c r="Y4" s="65"/>
      <c r="Z4" s="65"/>
      <c r="AA4" s="65"/>
      <c r="AB4" s="65"/>
      <c r="AC4" s="65"/>
      <c r="AD4" s="65"/>
      <c r="AE4" s="65"/>
      <c r="AF4" s="65"/>
      <c r="AG4" s="65"/>
      <c r="AH4" s="65"/>
      <c r="AI4" s="65"/>
      <c r="AJ4" s="65"/>
      <c r="AK4" s="65"/>
      <c r="AL4" s="65"/>
      <c r="AM4" s="65"/>
    </row>
    <row r="5" spans="1:39" s="17" customFormat="1" ht="15.75" x14ac:dyDescent="0.25">
      <c r="A5" s="480" t="s">
        <v>74</v>
      </c>
      <c r="B5" s="66"/>
      <c r="C5" s="174">
        <f>'Table 1-B  Context Analysis'!$C$6</f>
        <v>0</v>
      </c>
      <c r="D5" s="65"/>
      <c r="E5" s="67"/>
      <c r="F5" s="67"/>
      <c r="G5" s="67"/>
      <c r="H5" s="67"/>
      <c r="I5" s="214"/>
      <c r="J5" s="214"/>
      <c r="K5" s="214"/>
      <c r="L5" s="214"/>
      <c r="M5" s="214"/>
      <c r="N5" s="214"/>
      <c r="O5" s="67"/>
      <c r="P5" s="67"/>
      <c r="Q5" s="67"/>
      <c r="R5" s="67"/>
      <c r="S5" s="67"/>
      <c r="T5" s="67"/>
      <c r="U5" s="65"/>
      <c r="V5" s="65"/>
      <c r="W5" s="65"/>
      <c r="X5" s="65"/>
      <c r="Y5" s="65"/>
      <c r="Z5" s="65"/>
      <c r="AA5" s="65"/>
      <c r="AB5" s="65"/>
      <c r="AC5" s="65"/>
      <c r="AD5" s="65"/>
      <c r="AE5" s="65"/>
      <c r="AF5" s="65"/>
      <c r="AG5" s="65"/>
      <c r="AH5" s="65"/>
      <c r="AI5" s="65"/>
      <c r="AJ5" s="65"/>
      <c r="AK5" s="65"/>
      <c r="AL5" s="65"/>
      <c r="AM5" s="65"/>
    </row>
    <row r="6" spans="1:39" s="17" customFormat="1" ht="15.75" x14ac:dyDescent="0.25">
      <c r="A6" s="480" t="s">
        <v>75</v>
      </c>
      <c r="B6" s="66"/>
      <c r="C6" s="174">
        <f>'Table 1-B  Context Analysis'!$C$7</f>
        <v>0</v>
      </c>
      <c r="D6" s="65"/>
      <c r="E6" s="67"/>
      <c r="F6" s="67"/>
      <c r="G6" s="67"/>
      <c r="H6" s="67"/>
      <c r="I6" s="214"/>
      <c r="J6" s="214"/>
      <c r="K6" s="214"/>
      <c r="L6" s="214"/>
      <c r="M6" s="214"/>
      <c r="N6" s="214"/>
      <c r="O6" s="67"/>
      <c r="P6" s="67"/>
      <c r="Q6" s="67"/>
      <c r="R6" s="67"/>
      <c r="S6" s="67"/>
      <c r="T6" s="67"/>
      <c r="U6" s="65"/>
      <c r="V6" s="65"/>
      <c r="W6" s="65"/>
      <c r="X6" s="65"/>
      <c r="Y6" s="65"/>
      <c r="Z6" s="65"/>
      <c r="AA6" s="65"/>
      <c r="AB6" s="65"/>
      <c r="AC6" s="65"/>
      <c r="AD6" s="65"/>
      <c r="AE6" s="65"/>
      <c r="AF6" s="65"/>
      <c r="AG6" s="65"/>
      <c r="AH6" s="65"/>
      <c r="AI6" s="65"/>
      <c r="AJ6" s="65"/>
      <c r="AK6" s="65"/>
      <c r="AL6" s="65"/>
      <c r="AM6" s="65"/>
    </row>
    <row r="7" spans="1:39" s="17" customFormat="1" x14ac:dyDescent="0.25">
      <c r="A7" s="517" t="s">
        <v>117</v>
      </c>
      <c r="B7" s="66"/>
      <c r="C7" s="961" t="str">
        <f>'Table 1-B  Context Analysis'!$C$9</f>
        <v/>
      </c>
      <c r="D7" s="955"/>
      <c r="E7" s="67"/>
      <c r="F7" s="67"/>
      <c r="G7" s="67"/>
      <c r="H7" s="67"/>
      <c r="I7" s="214"/>
      <c r="J7" s="214"/>
      <c r="K7" s="214"/>
      <c r="L7" s="214"/>
      <c r="M7" s="214"/>
      <c r="N7" s="214"/>
      <c r="O7" s="67"/>
      <c r="P7" s="67"/>
      <c r="Q7" s="67"/>
      <c r="R7" s="67"/>
      <c r="S7" s="67"/>
      <c r="T7" s="67"/>
      <c r="U7" s="65"/>
      <c r="V7" s="65"/>
      <c r="W7" s="65"/>
      <c r="X7" s="65"/>
      <c r="Y7" s="65"/>
      <c r="Z7" s="65"/>
      <c r="AA7" s="65"/>
      <c r="AB7" s="65"/>
      <c r="AC7" s="65"/>
      <c r="AD7" s="65"/>
      <c r="AE7" s="65"/>
      <c r="AF7" s="65"/>
      <c r="AG7" s="65"/>
      <c r="AH7" s="65"/>
      <c r="AI7" s="65"/>
      <c r="AJ7" s="65"/>
      <c r="AK7" s="65"/>
      <c r="AL7" s="65"/>
      <c r="AM7" s="65"/>
    </row>
    <row r="8" spans="1:39" s="17" customFormat="1" ht="23.85" customHeight="1" x14ac:dyDescent="0.25">
      <c r="A8" s="518" t="s">
        <v>227</v>
      </c>
      <c r="B8" s="65"/>
      <c r="C8" s="954">
        <f>'Table 1-B  Context Analysis'!$K$2</f>
        <v>0</v>
      </c>
      <c r="D8" s="955"/>
      <c r="E8" s="65"/>
      <c r="F8" s="65"/>
      <c r="G8" s="65"/>
      <c r="H8" s="65"/>
      <c r="I8" s="213"/>
      <c r="J8" s="213"/>
      <c r="K8" s="213"/>
      <c r="L8" s="213"/>
      <c r="M8" s="213"/>
      <c r="N8" s="213"/>
      <c r="O8" s="65"/>
      <c r="P8" s="65"/>
      <c r="Q8" s="65"/>
      <c r="R8" s="65"/>
      <c r="S8" s="65"/>
      <c r="T8" s="65"/>
      <c r="U8" s="65"/>
      <c r="V8" s="65"/>
      <c r="W8" s="65"/>
      <c r="X8" s="65"/>
      <c r="Y8" s="65"/>
      <c r="Z8" s="65"/>
      <c r="AA8" s="65"/>
      <c r="AB8" s="65"/>
      <c r="AC8" s="65"/>
      <c r="AD8" s="65"/>
      <c r="AE8" s="65"/>
      <c r="AF8" s="65"/>
      <c r="AG8" s="65"/>
      <c r="AH8" s="65"/>
      <c r="AI8" s="65"/>
      <c r="AJ8" s="65"/>
      <c r="AK8" s="65"/>
      <c r="AL8" s="65"/>
      <c r="AM8" s="65"/>
    </row>
    <row r="9" spans="1:39" s="17" customFormat="1" ht="23.85" customHeight="1" x14ac:dyDescent="0.25">
      <c r="A9" s="65"/>
      <c r="B9" s="65"/>
      <c r="C9" s="65"/>
      <c r="D9" s="65"/>
      <c r="E9" s="65"/>
      <c r="F9" s="65"/>
      <c r="G9" s="65"/>
      <c r="H9" s="65"/>
      <c r="I9" s="213"/>
      <c r="J9" s="213"/>
      <c r="K9" s="213"/>
      <c r="L9" s="213"/>
      <c r="M9" s="213"/>
      <c r="N9" s="213"/>
      <c r="O9" s="65"/>
      <c r="P9" s="65"/>
      <c r="Q9" s="65"/>
      <c r="R9" s="65"/>
      <c r="S9" s="65"/>
      <c r="T9" s="65"/>
      <c r="U9" s="65"/>
      <c r="V9" s="65"/>
      <c r="W9" s="65"/>
      <c r="X9" s="65"/>
      <c r="Y9" s="65"/>
      <c r="Z9" s="65"/>
      <c r="AA9" s="65"/>
      <c r="AB9" s="65"/>
      <c r="AC9" s="65"/>
      <c r="AD9" s="65"/>
      <c r="AE9" s="65"/>
      <c r="AF9" s="65"/>
      <c r="AG9" s="65"/>
      <c r="AH9" s="65"/>
      <c r="AI9" s="65"/>
      <c r="AJ9" s="65"/>
      <c r="AK9" s="65"/>
      <c r="AL9" s="65"/>
      <c r="AM9" s="65"/>
    </row>
    <row r="10" spans="1:39" ht="23.25" customHeight="1" thickBot="1" x14ac:dyDescent="0.3">
      <c r="A10" s="805" t="s">
        <v>228</v>
      </c>
      <c r="B10" s="806"/>
      <c r="C10" s="806"/>
      <c r="D10" s="806"/>
      <c r="E10" s="806"/>
      <c r="F10" s="806"/>
      <c r="G10" s="806"/>
      <c r="H10" s="806"/>
      <c r="I10" s="806"/>
      <c r="J10" s="806"/>
      <c r="K10" s="806"/>
      <c r="L10" s="806"/>
      <c r="M10" s="806"/>
      <c r="N10" s="806"/>
      <c r="O10" s="806"/>
      <c r="P10" s="806"/>
      <c r="Q10" s="806"/>
      <c r="R10" s="806"/>
      <c r="S10" s="806"/>
      <c r="T10" s="806"/>
      <c r="U10" s="806"/>
      <c r="V10" s="806"/>
      <c r="W10" s="806"/>
      <c r="X10" s="806"/>
      <c r="Y10" s="806"/>
      <c r="Z10" s="806"/>
      <c r="AA10" s="806"/>
      <c r="AB10" s="806"/>
      <c r="AC10" s="806"/>
      <c r="AD10" s="806"/>
      <c r="AE10" s="806"/>
      <c r="AF10" s="806"/>
      <c r="AG10" s="806"/>
      <c r="AH10" s="216"/>
      <c r="AI10" s="216"/>
      <c r="AJ10" s="216"/>
      <c r="AK10" s="216"/>
      <c r="AL10" s="216"/>
      <c r="AM10" s="354"/>
    </row>
    <row r="11" spans="1:39" ht="17.25" customHeight="1" thickTop="1" thickBot="1" x14ac:dyDescent="0.3">
      <c r="A11" s="962" t="s">
        <v>28</v>
      </c>
      <c r="B11" s="962" t="s">
        <v>29</v>
      </c>
      <c r="C11" s="964" t="s">
        <v>93</v>
      </c>
      <c r="D11" s="966" t="s">
        <v>133</v>
      </c>
      <c r="E11" s="967"/>
      <c r="F11" s="967"/>
      <c r="G11" s="968"/>
      <c r="H11" s="969" t="s">
        <v>232</v>
      </c>
      <c r="I11" s="970"/>
      <c r="J11" s="970"/>
      <c r="K11" s="970"/>
      <c r="L11" s="970"/>
      <c r="M11" s="970"/>
      <c r="N11" s="970"/>
      <c r="O11" s="970"/>
      <c r="P11" s="970"/>
      <c r="Q11" s="970"/>
      <c r="R11" s="970"/>
      <c r="S11" s="970"/>
      <c r="T11" s="970"/>
      <c r="U11" s="970"/>
      <c r="V11" s="970"/>
      <c r="W11" s="970"/>
      <c r="X11" s="970"/>
      <c r="Y11" s="970"/>
      <c r="Z11" s="970"/>
      <c r="AA11" s="970"/>
      <c r="AB11" s="970"/>
      <c r="AC11" s="970"/>
      <c r="AD11" s="970"/>
      <c r="AE11" s="970"/>
      <c r="AF11" s="971"/>
      <c r="AG11" s="520"/>
      <c r="AH11" s="520"/>
      <c r="AI11" s="520"/>
      <c r="AJ11" s="520"/>
      <c r="AK11" s="520"/>
      <c r="AL11" s="520"/>
      <c r="AM11" s="988" t="s">
        <v>233</v>
      </c>
    </row>
    <row r="12" spans="1:39" ht="38.25" customHeight="1" x14ac:dyDescent="0.25">
      <c r="A12" s="963"/>
      <c r="B12" s="963"/>
      <c r="C12" s="965"/>
      <c r="D12" s="519" t="s">
        <v>229</v>
      </c>
      <c r="E12" s="956" t="s">
        <v>230</v>
      </c>
      <c r="F12" s="956" t="s">
        <v>140</v>
      </c>
      <c r="G12" s="959" t="s">
        <v>141</v>
      </c>
      <c r="H12" s="978" t="s">
        <v>47</v>
      </c>
      <c r="I12" s="972" t="s">
        <v>234</v>
      </c>
      <c r="J12" s="973"/>
      <c r="K12" s="973"/>
      <c r="L12" s="973"/>
      <c r="M12" s="973"/>
      <c r="N12" s="974"/>
      <c r="O12" s="985" t="s">
        <v>235</v>
      </c>
      <c r="P12" s="973"/>
      <c r="Q12" s="973"/>
      <c r="R12" s="973"/>
      <c r="S12" s="973"/>
      <c r="T12" s="973"/>
      <c r="U12" s="972" t="s">
        <v>236</v>
      </c>
      <c r="V12" s="973"/>
      <c r="W12" s="973"/>
      <c r="X12" s="973"/>
      <c r="Y12" s="973"/>
      <c r="Z12" s="974"/>
      <c r="AA12" s="972" t="s">
        <v>237</v>
      </c>
      <c r="AB12" s="973"/>
      <c r="AC12" s="973"/>
      <c r="AD12" s="973"/>
      <c r="AE12" s="973"/>
      <c r="AF12" s="974"/>
      <c r="AG12" s="972" t="s">
        <v>129</v>
      </c>
      <c r="AH12" s="973"/>
      <c r="AI12" s="973"/>
      <c r="AJ12" s="973"/>
      <c r="AK12" s="973"/>
      <c r="AL12" s="974"/>
      <c r="AM12" s="989"/>
    </row>
    <row r="13" spans="1:39" ht="53.25" customHeight="1" thickBot="1" x14ac:dyDescent="0.3">
      <c r="A13" s="963"/>
      <c r="B13" s="963"/>
      <c r="C13" s="965"/>
      <c r="D13" s="519" t="s">
        <v>231</v>
      </c>
      <c r="E13" s="957"/>
      <c r="F13" s="958"/>
      <c r="G13" s="960"/>
      <c r="H13" s="979"/>
      <c r="I13" s="975"/>
      <c r="J13" s="976"/>
      <c r="K13" s="976"/>
      <c r="L13" s="976"/>
      <c r="M13" s="976"/>
      <c r="N13" s="977"/>
      <c r="O13" s="986"/>
      <c r="P13" s="981"/>
      <c r="Q13" s="981"/>
      <c r="R13" s="981"/>
      <c r="S13" s="981"/>
      <c r="T13" s="981"/>
      <c r="U13" s="980"/>
      <c r="V13" s="981"/>
      <c r="W13" s="981"/>
      <c r="X13" s="981"/>
      <c r="Y13" s="981"/>
      <c r="Z13" s="982"/>
      <c r="AA13" s="980"/>
      <c r="AB13" s="981"/>
      <c r="AC13" s="981"/>
      <c r="AD13" s="981"/>
      <c r="AE13" s="981"/>
      <c r="AF13" s="982"/>
      <c r="AG13" s="980"/>
      <c r="AH13" s="981"/>
      <c r="AI13" s="981"/>
      <c r="AJ13" s="981"/>
      <c r="AK13" s="981"/>
      <c r="AL13" s="982"/>
      <c r="AM13" s="989"/>
    </row>
    <row r="14" spans="1:39" ht="32.25" customHeight="1" thickTop="1" thickBot="1" x14ac:dyDescent="0.3">
      <c r="A14" s="984">
        <f>'Table 1-B  Context Analysis'!C6</f>
        <v>0</v>
      </c>
      <c r="B14" s="983">
        <f>'Table 1-B  Context Analysis'!C7</f>
        <v>0</v>
      </c>
      <c r="C14" s="987" t="str">
        <f>'Table 1-B  Context Analysis'!B17&amp;$D$1&amp;'Table 1-B  Context Analysis'!B18&amp;'Table 3 - Synthesis &amp; Classif'!$D$1&amp;'Table 1-B  Context Analysis'!B19</f>
        <v>LH1 / LH2 / LH3</v>
      </c>
      <c r="D14" s="990">
        <f>'Table 2 -B -Outcome Analysis '!G34+'Table 2 -B -Outcome Analysis '!H34+'Table 2 -B -Outcome Analysis '!I34+'Table 2 -B -Outcome Analysis '!J34+'Table 2 -B -Outcome Analysis '!K34</f>
        <v>0</v>
      </c>
      <c r="E14" s="990">
        <f>'Table 2 -B -Outcome Analysis '!G49+'Table 2 -B -Outcome Analysis '!H49+'Table 2 -B -Outcome Analysis '!I49+'Table 2 -B -Outcome Analysis '!J49+'Table 2 -B -Outcome Analysis '!K49</f>
        <v>0</v>
      </c>
      <c r="F14" s="990">
        <f>'Table 2 -B -Outcome Analysis '!G68+'Table 2 -B -Outcome Analysis '!H68+'Table 2 -B -Outcome Analysis '!I68+'Table 2 -B -Outcome Analysis '!J68+'Table 2 -B -Outcome Analysis '!K68</f>
        <v>0</v>
      </c>
      <c r="G14" s="990">
        <f>'Table 2 -B -Outcome Analysis '!G84+'Table 2 -B -Outcome Analysis '!H84+'Table 2 -B -Outcome Analysis '!I84+'Table 2 -B -Outcome Analysis '!J84+'Table 2 -B -Outcome Analysis '!K84</f>
        <v>0</v>
      </c>
      <c r="H14" s="215"/>
      <c r="I14" s="329" t="s">
        <v>53</v>
      </c>
      <c r="J14" s="330" t="s">
        <v>54</v>
      </c>
      <c r="K14" s="331" t="s">
        <v>55</v>
      </c>
      <c r="L14" s="332" t="s">
        <v>56</v>
      </c>
      <c r="M14" s="332" t="s">
        <v>57</v>
      </c>
      <c r="N14" s="332" t="s">
        <v>58</v>
      </c>
      <c r="O14" s="329" t="s">
        <v>53</v>
      </c>
      <c r="P14" s="330" t="s">
        <v>54</v>
      </c>
      <c r="Q14" s="331" t="s">
        <v>55</v>
      </c>
      <c r="R14" s="332" t="s">
        <v>56</v>
      </c>
      <c r="S14" s="332" t="s">
        <v>57</v>
      </c>
      <c r="T14" s="332" t="s">
        <v>58</v>
      </c>
      <c r="U14" s="329" t="s">
        <v>53</v>
      </c>
      <c r="V14" s="330" t="s">
        <v>54</v>
      </c>
      <c r="W14" s="331" t="s">
        <v>55</v>
      </c>
      <c r="X14" s="332" t="s">
        <v>56</v>
      </c>
      <c r="Y14" s="332" t="s">
        <v>57</v>
      </c>
      <c r="Z14" s="332" t="s">
        <v>58</v>
      </c>
      <c r="AA14" s="329" t="s">
        <v>53</v>
      </c>
      <c r="AB14" s="330" t="s">
        <v>54</v>
      </c>
      <c r="AC14" s="331" t="s">
        <v>55</v>
      </c>
      <c r="AD14" s="332" t="s">
        <v>56</v>
      </c>
      <c r="AE14" s="332" t="s">
        <v>57</v>
      </c>
      <c r="AF14" s="332" t="s">
        <v>58</v>
      </c>
      <c r="AG14" s="329" t="s">
        <v>53</v>
      </c>
      <c r="AH14" s="330" t="s">
        <v>54</v>
      </c>
      <c r="AI14" s="331" t="s">
        <v>55</v>
      </c>
      <c r="AJ14" s="332" t="s">
        <v>56</v>
      </c>
      <c r="AK14" s="332" t="s">
        <v>57</v>
      </c>
      <c r="AL14" s="389" t="s">
        <v>58</v>
      </c>
      <c r="AM14" s="390"/>
    </row>
    <row r="15" spans="1:39" ht="16.5" thickBot="1" x14ac:dyDescent="0.3">
      <c r="A15" s="984"/>
      <c r="B15" s="983"/>
      <c r="C15" s="987"/>
      <c r="D15" s="991"/>
      <c r="E15" s="991"/>
      <c r="F15" s="991"/>
      <c r="G15" s="991"/>
      <c r="H15" s="521" t="s">
        <v>177</v>
      </c>
      <c r="I15" s="219" t="str">
        <f>IF($D$14&gt;0,0,'Table 2-A- FC Analysis'!D35)</f>
        <v>x</v>
      </c>
      <c r="J15" s="219">
        <f>IF($D$14&gt;0,0,'Table 2-A- FC Analysis'!E35)</f>
        <v>0</v>
      </c>
      <c r="K15" s="219">
        <f>IF($D$14&gt;0,0,'Table 2-A- FC Analysis'!F35)</f>
        <v>0</v>
      </c>
      <c r="L15" s="219">
        <f>IF($D$14&gt;0,0,'Table 2-A- FC Analysis'!G35)</f>
        <v>0</v>
      </c>
      <c r="M15" s="219">
        <f>IF($D$14&gt;0,0,'Table 2-A- FC Analysis'!H35)</f>
        <v>0</v>
      </c>
      <c r="N15" s="219">
        <f>IF($D$14&gt;0,0,'Table 2-A- FC Analysis'!I35)</f>
        <v>0</v>
      </c>
      <c r="O15" s="219">
        <f>IF($D$14&gt;0,0,'Table 2-A- FC Analysis'!D70)</f>
        <v>0</v>
      </c>
      <c r="P15" s="219">
        <f>IF($D$14&gt;0,0,'Table 2-A- FC Analysis'!E70)</f>
        <v>0</v>
      </c>
      <c r="Q15" s="219">
        <f>IF($D$14&gt;0,0,'Table 2-A- FC Analysis'!F70)</f>
        <v>0</v>
      </c>
      <c r="R15" s="219">
        <f>IF($D$14&gt;0,0,'Table 2-A- FC Analysis'!G70)</f>
        <v>0</v>
      </c>
      <c r="S15" s="219">
        <f>IF($D$14&gt;0,0,'Table 2-A- FC Analysis'!H70)</f>
        <v>0</v>
      </c>
      <c r="T15" s="219">
        <f>IF($D$14&gt;0,0,'Table 2-A- FC Analysis'!I70)</f>
        <v>0</v>
      </c>
      <c r="U15" s="219">
        <f>IF($D$14&gt;0,0,'Table 2-A- FC Analysis'!D102)</f>
        <v>0</v>
      </c>
      <c r="V15" s="219">
        <f>IF($D$14&gt;0,0,'Table 2-A- FC Analysis'!E102)</f>
        <v>0</v>
      </c>
      <c r="W15" s="219">
        <f>IF($D$14&gt;0,0,'Table 2-A- FC Analysis'!F102)</f>
        <v>0</v>
      </c>
      <c r="X15" s="219">
        <f>IF($D$14&gt;0,0,'Table 2-A- FC Analysis'!G102)</f>
        <v>0</v>
      </c>
      <c r="Y15" s="219">
        <f>IF($D$14&gt;0,0,'Table 2-A- FC Analysis'!H102)</f>
        <v>0</v>
      </c>
      <c r="Z15" s="219">
        <f>IF($D$14&gt;0,0,'Table 2-A- FC Analysis'!I102)</f>
        <v>0</v>
      </c>
      <c r="AA15" s="219">
        <f>IF($D$14&gt;0,0,'Table 2-A- FC Analysis'!D134)</f>
        <v>0</v>
      </c>
      <c r="AB15" s="219">
        <f>IF($D$14&gt;0,0,'Table 2-A- FC Analysis'!E134)</f>
        <v>0</v>
      </c>
      <c r="AC15" s="219">
        <f>IF($D$14&gt;0,0,'Table 2-A- FC Analysis'!F134)</f>
        <v>0</v>
      </c>
      <c r="AD15" s="219">
        <f>IF($D$14&gt;0,0,'Table 2-A- FC Analysis'!G134)</f>
        <v>0</v>
      </c>
      <c r="AE15" s="219">
        <f>IF($D$14&gt;0,0,'Table 2-A- FC Analysis'!H134)</f>
        <v>0</v>
      </c>
      <c r="AF15" s="219">
        <f>IF($D$14&gt;0,0,'Table 2-A- FC Analysis'!I134)</f>
        <v>0</v>
      </c>
      <c r="AG15" s="219">
        <f>IF($D$14&gt;0,0,'Table 2-A- FC Analysis'!D166)</f>
        <v>0</v>
      </c>
      <c r="AH15" s="219">
        <f>IF($D$14&gt;0,0,'Table 2-A- FC Analysis'!E166)</f>
        <v>0</v>
      </c>
      <c r="AI15" s="219">
        <f>IF($D$14&gt;0,0,'Table 2-A- FC Analysis'!F166)</f>
        <v>0</v>
      </c>
      <c r="AJ15" s="219">
        <f>IF($D$14&gt;0,0,'Table 2-A- FC Analysis'!G166)</f>
        <v>0</v>
      </c>
      <c r="AK15" s="219">
        <f>IF($D$14&gt;0,0,'Table 2-A- FC Analysis'!H166)</f>
        <v>0</v>
      </c>
      <c r="AL15" s="219">
        <f>IF($D$14&gt;0,0,'Table 2-A- FC Analysis'!I166)</f>
        <v>0</v>
      </c>
      <c r="AM15" s="1010"/>
    </row>
    <row r="16" spans="1:39" ht="16.5" thickBot="1" x14ac:dyDescent="0.3">
      <c r="A16" s="984"/>
      <c r="B16" s="983"/>
      <c r="C16" s="987"/>
      <c r="D16" s="991"/>
      <c r="E16" s="991"/>
      <c r="F16" s="991"/>
      <c r="G16" s="991"/>
      <c r="H16" s="521" t="s">
        <v>178</v>
      </c>
      <c r="I16" s="219">
        <f>IF($E$14&gt;0,0,'Table 2-A- FC Analysis'!D36)</f>
        <v>0</v>
      </c>
      <c r="J16" s="219">
        <f>IF($E$14&gt;0,0,'Table 2-A- FC Analysis'!E36)</f>
        <v>0</v>
      </c>
      <c r="K16" s="219">
        <f>IF($E$14&gt;0,0,'Table 2-A- FC Analysis'!F36)</f>
        <v>0</v>
      </c>
      <c r="L16" s="219">
        <f>IF($E$14&gt;0,0,'Table 2-A- FC Analysis'!G36)</f>
        <v>0</v>
      </c>
      <c r="M16" s="219">
        <f>IF($E$14&gt;0,0,'Table 2-A- FC Analysis'!H36)</f>
        <v>0</v>
      </c>
      <c r="N16" s="219">
        <f>IF($E$14&gt;0,0,'Table 2-A- FC Analysis'!I36)</f>
        <v>0</v>
      </c>
      <c r="O16" s="219">
        <f>IF($E$14&gt;0,0,'Table 2-A- FC Analysis'!D71)</f>
        <v>0</v>
      </c>
      <c r="P16" s="219">
        <f>IF($E$14&gt;0,0,'Table 2-A- FC Analysis'!E71)</f>
        <v>0</v>
      </c>
      <c r="Q16" s="219">
        <f>IF($E$14&gt;0,0,'Table 2-A- FC Analysis'!F71)</f>
        <v>0</v>
      </c>
      <c r="R16" s="219">
        <f>IF($E$14&gt;0,0,'Table 2-A- FC Analysis'!G71)</f>
        <v>0</v>
      </c>
      <c r="S16" s="219">
        <f>IF($E$14&gt;0,0,'Table 2-A- FC Analysis'!H71)</f>
        <v>0</v>
      </c>
      <c r="T16" s="219">
        <f>IF($E$14&gt;0,0,'Table 2-A- FC Analysis'!I71)</f>
        <v>0</v>
      </c>
      <c r="U16" s="219">
        <f>IF($E$14&gt;0,0,'Table 2-A- FC Analysis'!D103)</f>
        <v>0</v>
      </c>
      <c r="V16" s="219">
        <f>IF($E$14&gt;0,0,'Table 2-A- FC Analysis'!E103)</f>
        <v>0</v>
      </c>
      <c r="W16" s="219">
        <f>IF($E$14&gt;0,0,'Table 2-A- FC Analysis'!F103)</f>
        <v>0</v>
      </c>
      <c r="X16" s="219">
        <f>IF($E$14&gt;0,0,'Table 2-A- FC Analysis'!G103)</f>
        <v>0</v>
      </c>
      <c r="Y16" s="219">
        <f>IF($E$14&gt;0,0,'Table 2-A- FC Analysis'!H103)</f>
        <v>0</v>
      </c>
      <c r="Z16" s="219">
        <f>IF($E$14&gt;0,0,'Table 2-A- FC Analysis'!I103)</f>
        <v>0</v>
      </c>
      <c r="AA16" s="219">
        <f>IF($E$14&gt;0,0,'Table 2-A- FC Analysis'!D135)</f>
        <v>0</v>
      </c>
      <c r="AB16" s="219">
        <f>IF($E$14&gt;0,0,'Table 2-A- FC Analysis'!E135)</f>
        <v>0</v>
      </c>
      <c r="AC16" s="219">
        <f>IF($E$14&gt;0,0,'Table 2-A- FC Analysis'!F135)</f>
        <v>0</v>
      </c>
      <c r="AD16" s="219">
        <f>IF($E$14&gt;0,0,'Table 2-A- FC Analysis'!G135)</f>
        <v>0</v>
      </c>
      <c r="AE16" s="219">
        <f>IF($E$14&gt;0,0,'Table 2-A- FC Analysis'!H135)</f>
        <v>0</v>
      </c>
      <c r="AF16" s="219">
        <f>IF($E$14&gt;0,0,'Table 2-A- FC Analysis'!I135)</f>
        <v>0</v>
      </c>
      <c r="AG16" s="219">
        <f>IF($E$14&gt;0,0,'Table 2-A- FC Analysis'!D167)</f>
        <v>0</v>
      </c>
      <c r="AH16" s="219">
        <f>IF($E$14&gt;0,0,'Table 2-A- FC Analysis'!E167)</f>
        <v>0</v>
      </c>
      <c r="AI16" s="219">
        <f>IF($E$14&gt;0,0,'Table 2-A- FC Analysis'!F167)</f>
        <v>0</v>
      </c>
      <c r="AJ16" s="219">
        <f>IF($E$14&gt;0,0,'Table 2-A- FC Analysis'!G167)</f>
        <v>0</v>
      </c>
      <c r="AK16" s="219">
        <f>IF($E$14&gt;0,0,'Table 2-A- FC Analysis'!H167)</f>
        <v>0</v>
      </c>
      <c r="AL16" s="219">
        <f>IF($E$14&gt;0,0,'Table 2-A- FC Analysis'!I167)</f>
        <v>0</v>
      </c>
      <c r="AM16" s="1010"/>
    </row>
    <row r="17" spans="1:39" ht="16.5" thickBot="1" x14ac:dyDescent="0.3">
      <c r="A17" s="984"/>
      <c r="B17" s="983"/>
      <c r="C17" s="987"/>
      <c r="D17" s="991"/>
      <c r="E17" s="991"/>
      <c r="F17" s="991"/>
      <c r="G17" s="991"/>
      <c r="H17" s="521" t="s">
        <v>15</v>
      </c>
      <c r="I17" s="219">
        <f>IF($F$14&gt;0,0,'Table 2-A- FC Analysis'!D37)</f>
        <v>0</v>
      </c>
      <c r="J17" s="219">
        <f>IF($F$14&gt;0,0,'Table 2-A- FC Analysis'!E37)</f>
        <v>0</v>
      </c>
      <c r="K17" s="219">
        <f>IF($F$14&gt;0,0,'Table 2-A- FC Analysis'!F37)</f>
        <v>0</v>
      </c>
      <c r="L17" s="219">
        <f>IF($F$14&gt;0,0,'Table 2-A- FC Analysis'!G37)</f>
        <v>0</v>
      </c>
      <c r="M17" s="219">
        <f>IF($F$14&gt;0,0,'Table 2-A- FC Analysis'!H37)</f>
        <v>0</v>
      </c>
      <c r="N17" s="219">
        <f>IF($F$14&gt;0,0,'Table 2-A- FC Analysis'!I37)</f>
        <v>0</v>
      </c>
      <c r="O17" s="219">
        <f>IF($F$14&gt;0,0,'Table 2-A- FC Analysis'!D72)</f>
        <v>0</v>
      </c>
      <c r="P17" s="219">
        <f>IF($F$14&gt;0,0,'Table 2-A- FC Analysis'!E72)</f>
        <v>0</v>
      </c>
      <c r="Q17" s="219">
        <f>IF($F$14&gt;0,0,'Table 2-A- FC Analysis'!F72)</f>
        <v>0</v>
      </c>
      <c r="R17" s="219">
        <f>IF($F$14&gt;0,0,'Table 2-A- FC Analysis'!G72)</f>
        <v>0</v>
      </c>
      <c r="S17" s="219">
        <f>IF($F$14&gt;0,0,'Table 2-A- FC Analysis'!H72)</f>
        <v>0</v>
      </c>
      <c r="T17" s="219">
        <f>IF($F$14&gt;0,0,'Table 2-A- FC Analysis'!I72)</f>
        <v>0</v>
      </c>
      <c r="U17" s="219">
        <f>IF($F$14&gt;0,0,'Table 2-A- FC Analysis'!D104)</f>
        <v>0</v>
      </c>
      <c r="V17" s="219">
        <f>IF($F$14&gt;0,0,'Table 2-A- FC Analysis'!E104)</f>
        <v>0</v>
      </c>
      <c r="W17" s="219">
        <f>IF($F$14&gt;0,0,'Table 2-A- FC Analysis'!F104)</f>
        <v>0</v>
      </c>
      <c r="X17" s="219">
        <f>IF($F$14&gt;0,0,'Table 2-A- FC Analysis'!G104)</f>
        <v>0</v>
      </c>
      <c r="Y17" s="219">
        <f>IF($F$14&gt;0,0,'Table 2-A- FC Analysis'!H104)</f>
        <v>0</v>
      </c>
      <c r="Z17" s="219">
        <f>IF($F$14&gt;0,0,'Table 2-A- FC Analysis'!I104)</f>
        <v>0</v>
      </c>
      <c r="AA17" s="219">
        <f>IF($F$14&gt;0,0,'Table 2-A- FC Analysis'!D136)</f>
        <v>0</v>
      </c>
      <c r="AB17" s="219">
        <f>IF($F$14&gt;0,0,'Table 2-A- FC Analysis'!E136)</f>
        <v>0</v>
      </c>
      <c r="AC17" s="219">
        <f>IF($F$14&gt;0,0,'Table 2-A- FC Analysis'!F136)</f>
        <v>0</v>
      </c>
      <c r="AD17" s="219">
        <f>IF($F$14&gt;0,0,'Table 2-A- FC Analysis'!G136)</f>
        <v>0</v>
      </c>
      <c r="AE17" s="219">
        <f>IF($F$14&gt;0,0,'Table 2-A- FC Analysis'!H136)</f>
        <v>0</v>
      </c>
      <c r="AF17" s="219">
        <f>IF($F$14&gt;0,0,'Table 2-A- FC Analysis'!I136)</f>
        <v>0</v>
      </c>
      <c r="AG17" s="219">
        <f>IF($F$14&gt;0,0,'Table 2-A- FC Analysis'!D168)</f>
        <v>0</v>
      </c>
      <c r="AH17" s="219">
        <f>IF($F$14&gt;0,0,'Table 2-A- FC Analysis'!E168)</f>
        <v>0</v>
      </c>
      <c r="AI17" s="219">
        <f>IF($F$14&gt;0,0,'Table 2-A- FC Analysis'!F168)</f>
        <v>0</v>
      </c>
      <c r="AJ17" s="219">
        <f>IF($F$14&gt;0,0,'Table 2-A- FC Analysis'!G168)</f>
        <v>0</v>
      </c>
      <c r="AK17" s="219">
        <f>IF($F$14&gt;0,0,'Table 2-A- FC Analysis'!H168)</f>
        <v>0</v>
      </c>
      <c r="AL17" s="219">
        <f>IF($F$14&gt;0,0,'Table 2-A- FC Analysis'!I168)</f>
        <v>0</v>
      </c>
      <c r="AM17" s="1010"/>
    </row>
    <row r="18" spans="1:39" ht="16.5" thickBot="1" x14ac:dyDescent="0.3">
      <c r="A18" s="984"/>
      <c r="B18" s="983"/>
      <c r="C18" s="987"/>
      <c r="D18" s="992"/>
      <c r="E18" s="992"/>
      <c r="F18" s="992"/>
      <c r="G18" s="992"/>
      <c r="H18" s="521" t="s">
        <v>16</v>
      </c>
      <c r="I18" s="219">
        <f>IF($G$14&gt;0,0,'Table 2-A- FC Analysis'!D38)</f>
        <v>0</v>
      </c>
      <c r="J18" s="219">
        <f>IF($G$14&gt;0,0,'Table 2-A- FC Analysis'!E38)</f>
        <v>0</v>
      </c>
      <c r="K18" s="219">
        <f>IF($G$14&gt;0,0,'Table 2-A- FC Analysis'!F38)</f>
        <v>0</v>
      </c>
      <c r="L18" s="219">
        <f>IF($G$14&gt;0,0,'Table 2-A- FC Analysis'!G38)</f>
        <v>0</v>
      </c>
      <c r="M18" s="219">
        <f>IF($G$14&gt;0,0,'Table 2-A- FC Analysis'!H38)</f>
        <v>0</v>
      </c>
      <c r="N18" s="219">
        <f>IF($G$14&gt;0,0,'Table 2-A- FC Analysis'!I38)</f>
        <v>0</v>
      </c>
      <c r="O18" s="219">
        <f>IF($G$14&gt;0,0,'Table 2-A- FC Analysis'!D73)</f>
        <v>0</v>
      </c>
      <c r="P18" s="219">
        <f>IF($G$14&gt;0,0,'Table 2-A- FC Analysis'!E73)</f>
        <v>0</v>
      </c>
      <c r="Q18" s="219">
        <f>IF($G$14&gt;0,0,'Table 2-A- FC Analysis'!F73)</f>
        <v>0</v>
      </c>
      <c r="R18" s="219">
        <f>IF($G$14&gt;0,0,'Table 2-A- FC Analysis'!G73)</f>
        <v>0</v>
      </c>
      <c r="S18" s="219">
        <f>IF($G$14&gt;0,0,'Table 2-A- FC Analysis'!H73)</f>
        <v>0</v>
      </c>
      <c r="T18" s="219">
        <f>IF($G$14&gt;0,0,'Table 2-A- FC Analysis'!I73)</f>
        <v>0</v>
      </c>
      <c r="U18" s="219">
        <f>IF($G$14&gt;0,0,'Table 2-A- FC Analysis'!D105)</f>
        <v>0</v>
      </c>
      <c r="V18" s="219">
        <f>IF($G$14&gt;0,0,'Table 2-A- FC Analysis'!E105)</f>
        <v>0</v>
      </c>
      <c r="W18" s="219">
        <f>IF($G$14&gt;0,0,'Table 2-A- FC Analysis'!F105)</f>
        <v>0</v>
      </c>
      <c r="X18" s="219">
        <f>IF($G$14&gt;0,0,'Table 2-A- FC Analysis'!G105)</f>
        <v>0</v>
      </c>
      <c r="Y18" s="219">
        <f>IF($G$14&gt;0,0,'Table 2-A- FC Analysis'!H105)</f>
        <v>0</v>
      </c>
      <c r="Z18" s="219">
        <f>IF($G$14&gt;0,0,'Table 2-A- FC Analysis'!I105)</f>
        <v>0</v>
      </c>
      <c r="AA18" s="219">
        <f>IF($G$14&gt;0,0,'Table 2-A- FC Analysis'!D137)</f>
        <v>0</v>
      </c>
      <c r="AB18" s="219">
        <f>IF($G$14&gt;0,0,'Table 2-A- FC Analysis'!E137)</f>
        <v>0</v>
      </c>
      <c r="AC18" s="219">
        <f>IF($G$14&gt;0,0,'Table 2-A- FC Analysis'!F137)</f>
        <v>0</v>
      </c>
      <c r="AD18" s="219">
        <f>IF($G$14&gt;0,0,'Table 2-A- FC Analysis'!G137)</f>
        <v>0</v>
      </c>
      <c r="AE18" s="219">
        <f>IF($G$14&gt;0,0,'Table 2-A- FC Analysis'!H137)</f>
        <v>0</v>
      </c>
      <c r="AF18" s="219">
        <f>IF($G$14&gt;0,0,'Table 2-A- FC Analysis'!I137)</f>
        <v>0</v>
      </c>
      <c r="AG18" s="219">
        <f>IF($G$14&gt;0,0,'Table 2-A- FC Analysis'!D169)</f>
        <v>0</v>
      </c>
      <c r="AH18" s="219">
        <f>IF($G$14&gt;0,0,'Table 2-A- FC Analysis'!E169)</f>
        <v>0</v>
      </c>
      <c r="AI18" s="219">
        <f>IF($G$14&gt;0,0,'Table 2-A- FC Analysis'!F169)</f>
        <v>0</v>
      </c>
      <c r="AJ18" s="219">
        <f>IF($G$14&gt;0,0,'Table 2-A- FC Analysis'!G169)</f>
        <v>0</v>
      </c>
      <c r="AK18" s="219">
        <f>IF($G$14&gt;0,0,'Table 2-A- FC Analysis'!H169)</f>
        <v>0</v>
      </c>
      <c r="AL18" s="219">
        <f>IF($G$14&gt;0,0,'Table 2-A- FC Analysis'!I169)</f>
        <v>0</v>
      </c>
      <c r="AM18" s="1011"/>
    </row>
    <row r="21" spans="1:39" ht="23.25" x14ac:dyDescent="0.25">
      <c r="A21" s="676" t="s">
        <v>238</v>
      </c>
      <c r="B21" s="676"/>
      <c r="C21" s="676"/>
      <c r="D21" s="676"/>
      <c r="E21" s="676"/>
      <c r="F21" s="676"/>
      <c r="G21" s="676"/>
      <c r="H21" s="676"/>
      <c r="I21" s="676"/>
      <c r="J21" s="676"/>
      <c r="K21" s="676"/>
      <c r="L21" s="676"/>
      <c r="M21" s="676"/>
      <c r="N21" s="676"/>
      <c r="O21" s="676"/>
      <c r="P21" s="676"/>
      <c r="Q21" s="676"/>
      <c r="R21" s="676"/>
      <c r="S21" s="676"/>
      <c r="T21" s="676"/>
      <c r="U21" s="676"/>
      <c r="V21" s="676"/>
      <c r="W21" s="676"/>
      <c r="X21" s="676"/>
      <c r="Y21" s="676"/>
      <c r="Z21" s="676"/>
      <c r="AA21" s="676"/>
      <c r="AB21" s="676"/>
      <c r="AC21" s="676"/>
      <c r="AD21" s="676"/>
      <c r="AE21" s="676"/>
      <c r="AF21" s="676"/>
      <c r="AG21" s="676"/>
      <c r="AH21" s="676"/>
      <c r="AI21" s="676"/>
      <c r="AJ21" s="676"/>
      <c r="AK21" s="676"/>
      <c r="AL21" s="676"/>
      <c r="AM21" s="676"/>
    </row>
    <row r="22" spans="1:39" x14ac:dyDescent="0.25">
      <c r="A22" s="999" t="s">
        <v>276</v>
      </c>
      <c r="B22" s="1000"/>
      <c r="C22" s="1000"/>
      <c r="D22" s="1000"/>
      <c r="E22" s="1000"/>
      <c r="F22" s="1000"/>
      <c r="G22" s="1000"/>
      <c r="H22" s="1000"/>
      <c r="I22" s="1000"/>
      <c r="J22" s="1000"/>
      <c r="K22" s="1000"/>
      <c r="L22" s="1000"/>
      <c r="M22" s="1000"/>
      <c r="N22" s="1000"/>
      <c r="O22" s="1000"/>
      <c r="P22" s="1000"/>
      <c r="Q22" s="1000"/>
      <c r="R22" s="1000"/>
      <c r="S22" s="1000"/>
      <c r="T22" s="1000"/>
      <c r="U22" s="1000"/>
      <c r="V22" s="1000"/>
      <c r="W22" s="1000"/>
      <c r="X22" s="1000"/>
      <c r="Y22" s="1000"/>
      <c r="Z22" s="1000"/>
      <c r="AA22" s="1000"/>
      <c r="AB22" s="1000"/>
      <c r="AC22" s="1000"/>
      <c r="AD22" s="1000"/>
      <c r="AE22" s="1000"/>
      <c r="AF22" s="1000"/>
      <c r="AG22" s="1000"/>
      <c r="AH22" s="1000"/>
      <c r="AI22" s="1000"/>
      <c r="AJ22" s="1000"/>
      <c r="AK22" s="1000"/>
      <c r="AL22" s="1000"/>
      <c r="AM22" s="1001"/>
    </row>
    <row r="23" spans="1:39" ht="100.5" customHeight="1" x14ac:dyDescent="0.25">
      <c r="A23" s="1002"/>
      <c r="B23" s="1003"/>
      <c r="C23" s="1003"/>
      <c r="D23" s="1003"/>
      <c r="E23" s="1003"/>
      <c r="F23" s="1003"/>
      <c r="G23" s="1003"/>
      <c r="H23" s="1003"/>
      <c r="I23" s="1003"/>
      <c r="J23" s="1003"/>
      <c r="K23" s="1003"/>
      <c r="L23" s="1003"/>
      <c r="M23" s="1003"/>
      <c r="N23" s="1003"/>
      <c r="O23" s="1003"/>
      <c r="P23" s="1003"/>
      <c r="Q23" s="1003"/>
      <c r="R23" s="1003"/>
      <c r="S23" s="1003"/>
      <c r="T23" s="1003"/>
      <c r="U23" s="1003"/>
      <c r="V23" s="1003"/>
      <c r="W23" s="1003"/>
      <c r="X23" s="1003"/>
      <c r="Y23" s="1003"/>
      <c r="Z23" s="1003"/>
      <c r="AA23" s="1003"/>
      <c r="AB23" s="1003"/>
      <c r="AC23" s="1003"/>
      <c r="AD23" s="1003"/>
      <c r="AE23" s="1003"/>
      <c r="AF23" s="1003"/>
      <c r="AG23" s="1003"/>
      <c r="AH23" s="1003"/>
      <c r="AI23" s="1003"/>
      <c r="AJ23" s="1003"/>
      <c r="AK23" s="1003"/>
      <c r="AL23" s="1003"/>
      <c r="AM23" s="1004"/>
    </row>
    <row r="28" spans="1:39" s="17" customFormat="1" ht="23.25" x14ac:dyDescent="0.25">
      <c r="A28" s="676" t="s">
        <v>226</v>
      </c>
      <c r="B28" s="676"/>
      <c r="C28" s="676"/>
      <c r="D28" s="676"/>
      <c r="E28" s="676"/>
      <c r="F28" s="676"/>
      <c r="G28" s="676"/>
      <c r="H28" s="676"/>
      <c r="I28" s="676"/>
      <c r="J28" s="676"/>
      <c r="K28" s="676"/>
      <c r="L28" s="676"/>
      <c r="M28" s="676"/>
      <c r="N28" s="676"/>
      <c r="O28" s="676"/>
      <c r="P28" s="119"/>
      <c r="Q28" s="119"/>
      <c r="R28" s="119"/>
      <c r="S28" s="119"/>
      <c r="T28" s="119"/>
      <c r="U28" s="65"/>
      <c r="V28" s="65"/>
      <c r="W28" s="65"/>
      <c r="X28" s="65"/>
      <c r="Y28" s="65"/>
      <c r="Z28" s="65"/>
      <c r="AA28" s="65"/>
      <c r="AB28" s="65"/>
      <c r="AC28" s="65"/>
      <c r="AD28" s="65"/>
      <c r="AE28" s="65"/>
      <c r="AF28" s="65"/>
      <c r="AG28" s="65"/>
      <c r="AH28" s="65"/>
      <c r="AI28" s="65"/>
      <c r="AJ28" s="65"/>
      <c r="AK28" s="65"/>
      <c r="AL28" s="65"/>
      <c r="AM28" s="65"/>
    </row>
    <row r="29" spans="1:39" s="17" customFormat="1" x14ac:dyDescent="0.25">
      <c r="A29" s="65"/>
      <c r="B29" s="65"/>
      <c r="C29" s="65"/>
      <c r="D29" s="65"/>
      <c r="E29" s="65"/>
      <c r="F29" s="65"/>
      <c r="G29" s="65"/>
      <c r="H29" s="65"/>
      <c r="I29" s="213"/>
      <c r="J29" s="213"/>
      <c r="K29" s="213"/>
      <c r="L29" s="213"/>
      <c r="M29" s="213"/>
      <c r="N29" s="213"/>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row>
    <row r="30" spans="1:39" s="17" customFormat="1" ht="15.75" x14ac:dyDescent="0.25">
      <c r="A30" s="479" t="s">
        <v>66</v>
      </c>
      <c r="B30" s="66"/>
      <c r="C30" s="217">
        <f>'Table 1-B  Context Analysis'!$C$5</f>
        <v>0</v>
      </c>
      <c r="D30" s="65"/>
      <c r="E30" s="67"/>
      <c r="F30" s="67"/>
      <c r="G30" s="67"/>
      <c r="H30" s="67"/>
      <c r="I30" s="214"/>
      <c r="J30" s="214"/>
      <c r="K30" s="214"/>
      <c r="L30" s="214"/>
      <c r="M30" s="214"/>
      <c r="N30" s="214"/>
      <c r="O30" s="67"/>
      <c r="P30" s="67"/>
      <c r="Q30" s="67"/>
      <c r="R30" s="67"/>
      <c r="S30" s="67"/>
      <c r="T30" s="67"/>
      <c r="U30" s="65"/>
      <c r="V30" s="65"/>
      <c r="W30" s="65"/>
      <c r="X30" s="65"/>
      <c r="Y30" s="65"/>
      <c r="Z30" s="65"/>
      <c r="AA30" s="65"/>
      <c r="AB30" s="65"/>
      <c r="AC30" s="65"/>
      <c r="AD30" s="65"/>
      <c r="AE30" s="65"/>
      <c r="AF30" s="65"/>
      <c r="AG30" s="65"/>
      <c r="AH30" s="65"/>
      <c r="AI30" s="65"/>
      <c r="AJ30" s="65"/>
      <c r="AK30" s="65"/>
      <c r="AL30" s="65"/>
      <c r="AM30" s="65"/>
    </row>
    <row r="31" spans="1:39" s="17" customFormat="1" ht="15.75" x14ac:dyDescent="0.25">
      <c r="A31" s="480" t="s">
        <v>74</v>
      </c>
      <c r="B31" s="66"/>
      <c r="C31" s="174">
        <f>'Table 1-B  Context Analysis'!$C$6</f>
        <v>0</v>
      </c>
      <c r="D31" s="65"/>
      <c r="E31" s="67"/>
      <c r="F31" s="67"/>
      <c r="G31" s="67"/>
      <c r="H31" s="67"/>
      <c r="I31" s="214"/>
      <c r="J31" s="214"/>
      <c r="K31" s="214"/>
      <c r="L31" s="214"/>
      <c r="M31" s="214"/>
      <c r="N31" s="214"/>
      <c r="O31" s="67"/>
      <c r="P31" s="67"/>
      <c r="Q31" s="67"/>
      <c r="R31" s="67"/>
      <c r="S31" s="67"/>
      <c r="T31" s="67"/>
      <c r="U31" s="65"/>
      <c r="V31" s="65"/>
      <c r="W31" s="65"/>
      <c r="X31" s="65"/>
      <c r="Y31" s="65"/>
      <c r="Z31" s="65"/>
      <c r="AA31" s="65"/>
      <c r="AB31" s="65"/>
      <c r="AC31" s="65"/>
      <c r="AD31" s="65"/>
      <c r="AE31" s="65"/>
      <c r="AF31" s="65"/>
      <c r="AG31" s="65"/>
      <c r="AH31" s="65"/>
      <c r="AI31" s="65"/>
      <c r="AJ31" s="65"/>
      <c r="AK31" s="65"/>
      <c r="AL31" s="65"/>
      <c r="AM31" s="65"/>
    </row>
    <row r="32" spans="1:39" s="17" customFormat="1" ht="15.75" x14ac:dyDescent="0.25">
      <c r="A32" s="480" t="s">
        <v>75</v>
      </c>
      <c r="B32" s="66"/>
      <c r="C32" s="174">
        <f>'Table 1-B  Context Analysis'!$C$7</f>
        <v>0</v>
      </c>
      <c r="D32" s="65"/>
      <c r="E32" s="67"/>
      <c r="F32" s="67"/>
      <c r="G32" s="67"/>
      <c r="H32" s="67"/>
      <c r="I32" s="214"/>
      <c r="J32" s="214"/>
      <c r="K32" s="214"/>
      <c r="L32" s="214"/>
      <c r="M32" s="214"/>
      <c r="N32" s="214"/>
      <c r="O32" s="67"/>
      <c r="P32" s="67"/>
      <c r="Q32" s="67"/>
      <c r="R32" s="67"/>
      <c r="S32" s="67"/>
      <c r="T32" s="67"/>
      <c r="U32" s="65"/>
      <c r="V32" s="65"/>
      <c r="W32" s="65"/>
      <c r="X32" s="65"/>
      <c r="Y32" s="65"/>
      <c r="Z32" s="65"/>
      <c r="AA32" s="65"/>
      <c r="AB32" s="65"/>
      <c r="AC32" s="65"/>
      <c r="AD32" s="65"/>
      <c r="AE32" s="65"/>
      <c r="AF32" s="65"/>
      <c r="AG32" s="65"/>
      <c r="AH32" s="65"/>
      <c r="AI32" s="65"/>
      <c r="AJ32" s="65"/>
      <c r="AK32" s="65"/>
      <c r="AL32" s="65"/>
      <c r="AM32" s="65"/>
    </row>
    <row r="33" spans="1:39" s="17" customFormat="1" x14ac:dyDescent="0.25">
      <c r="A33" s="517" t="s">
        <v>117</v>
      </c>
      <c r="B33" s="66"/>
      <c r="C33" s="961" t="str">
        <f>'Table 1-B  Context Analysis'!$C$9</f>
        <v/>
      </c>
      <c r="D33" s="955"/>
      <c r="E33" s="67"/>
      <c r="F33" s="67"/>
      <c r="G33" s="67"/>
      <c r="H33" s="67"/>
      <c r="I33" s="214"/>
      <c r="J33" s="214"/>
      <c r="K33" s="214"/>
      <c r="L33" s="214"/>
      <c r="M33" s="214"/>
      <c r="N33" s="214"/>
      <c r="O33" s="67"/>
      <c r="P33" s="67"/>
      <c r="Q33" s="67"/>
      <c r="R33" s="67"/>
      <c r="S33" s="67"/>
      <c r="T33" s="67"/>
      <c r="U33" s="65"/>
      <c r="V33" s="65"/>
      <c r="W33" s="65"/>
      <c r="X33" s="65"/>
      <c r="Y33" s="65"/>
      <c r="Z33" s="65"/>
      <c r="AA33" s="65"/>
      <c r="AB33" s="65"/>
      <c r="AC33" s="65"/>
      <c r="AD33" s="65"/>
      <c r="AE33" s="65"/>
      <c r="AF33" s="65"/>
      <c r="AG33" s="65"/>
      <c r="AH33" s="65"/>
      <c r="AI33" s="65"/>
      <c r="AJ33" s="65"/>
      <c r="AK33" s="65"/>
      <c r="AL33" s="65"/>
      <c r="AM33" s="65"/>
    </row>
    <row r="34" spans="1:39" s="17" customFormat="1" ht="23.85" customHeight="1" x14ac:dyDescent="0.25">
      <c r="A34" s="518" t="s">
        <v>239</v>
      </c>
      <c r="B34" s="65"/>
      <c r="C34" s="954">
        <f>'Table 1-B  Context Analysis'!$N$2</f>
        <v>0</v>
      </c>
      <c r="D34" s="955"/>
      <c r="E34" s="65"/>
      <c r="F34" s="65"/>
      <c r="G34" s="65"/>
      <c r="H34" s="65"/>
      <c r="I34" s="213"/>
      <c r="J34" s="213"/>
      <c r="K34" s="213"/>
      <c r="L34" s="213"/>
      <c r="M34" s="213"/>
      <c r="N34" s="213"/>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row>
    <row r="35" spans="1:39" ht="23.25" customHeight="1" thickBot="1" x14ac:dyDescent="0.3">
      <c r="A35" s="805" t="s">
        <v>279</v>
      </c>
      <c r="B35" s="806"/>
      <c r="C35" s="806"/>
      <c r="D35" s="806"/>
      <c r="E35" s="806"/>
      <c r="F35" s="806"/>
      <c r="G35" s="806"/>
      <c r="H35" s="806"/>
      <c r="I35" s="806"/>
      <c r="J35" s="806"/>
      <c r="K35" s="806"/>
      <c r="L35" s="806"/>
      <c r="M35" s="806"/>
      <c r="N35" s="806"/>
      <c r="O35" s="806"/>
      <c r="P35" s="806"/>
      <c r="Q35" s="806"/>
      <c r="R35" s="806"/>
      <c r="S35" s="806"/>
      <c r="T35" s="806"/>
      <c r="U35" s="806"/>
      <c r="V35" s="806"/>
      <c r="W35" s="806"/>
      <c r="X35" s="806"/>
      <c r="Y35" s="806"/>
      <c r="Z35" s="806"/>
      <c r="AA35" s="806"/>
      <c r="AB35" s="806"/>
      <c r="AC35" s="806"/>
      <c r="AD35" s="806"/>
      <c r="AE35" s="806"/>
      <c r="AF35" s="806"/>
      <c r="AG35" s="806"/>
      <c r="AH35" s="216"/>
      <c r="AI35" s="216"/>
      <c r="AJ35" s="216"/>
      <c r="AK35" s="216"/>
      <c r="AL35" s="216"/>
      <c r="AM35" s="354"/>
    </row>
    <row r="36" spans="1:39" ht="17.25" customHeight="1" thickTop="1" thickBot="1" x14ac:dyDescent="0.3">
      <c r="A36" s="1005" t="s">
        <v>28</v>
      </c>
      <c r="B36" s="1007" t="s">
        <v>29</v>
      </c>
      <c r="C36" s="964" t="s">
        <v>93</v>
      </c>
      <c r="D36" s="966" t="s">
        <v>133</v>
      </c>
      <c r="E36" s="967"/>
      <c r="F36" s="967"/>
      <c r="G36" s="968"/>
      <c r="H36" s="969" t="s">
        <v>232</v>
      </c>
      <c r="I36" s="970"/>
      <c r="J36" s="970"/>
      <c r="K36" s="970"/>
      <c r="L36" s="970"/>
      <c r="M36" s="970"/>
      <c r="N36" s="970"/>
      <c r="O36" s="970"/>
      <c r="P36" s="970"/>
      <c r="Q36" s="970"/>
      <c r="R36" s="970"/>
      <c r="S36" s="970"/>
      <c r="T36" s="970"/>
      <c r="U36" s="970"/>
      <c r="V36" s="970"/>
      <c r="W36" s="970"/>
      <c r="X36" s="970"/>
      <c r="Y36" s="970"/>
      <c r="Z36" s="970"/>
      <c r="AA36" s="970"/>
      <c r="AB36" s="970"/>
      <c r="AC36" s="970"/>
      <c r="AD36" s="970"/>
      <c r="AE36" s="970"/>
      <c r="AF36" s="971"/>
      <c r="AG36" s="520"/>
      <c r="AH36" s="520"/>
      <c r="AI36" s="520"/>
      <c r="AJ36" s="520"/>
      <c r="AK36" s="520"/>
      <c r="AL36" s="520"/>
      <c r="AM36" s="988" t="s">
        <v>233</v>
      </c>
    </row>
    <row r="37" spans="1:39" ht="38.25" customHeight="1" x14ac:dyDescent="0.25">
      <c r="A37" s="1006"/>
      <c r="B37" s="1008"/>
      <c r="C37" s="965"/>
      <c r="D37" s="519" t="s">
        <v>229</v>
      </c>
      <c r="E37" s="956" t="s">
        <v>230</v>
      </c>
      <c r="F37" s="956" t="s">
        <v>140</v>
      </c>
      <c r="G37" s="959" t="s">
        <v>141</v>
      </c>
      <c r="H37" s="1012" t="s">
        <v>47</v>
      </c>
      <c r="I37" s="972" t="s">
        <v>234</v>
      </c>
      <c r="J37" s="973"/>
      <c r="K37" s="973"/>
      <c r="L37" s="973"/>
      <c r="M37" s="973"/>
      <c r="N37" s="974"/>
      <c r="O37" s="985" t="s">
        <v>235</v>
      </c>
      <c r="P37" s="973"/>
      <c r="Q37" s="973"/>
      <c r="R37" s="973"/>
      <c r="S37" s="973"/>
      <c r="T37" s="973"/>
      <c r="U37" s="972" t="s">
        <v>236</v>
      </c>
      <c r="V37" s="973"/>
      <c r="W37" s="973"/>
      <c r="X37" s="973"/>
      <c r="Y37" s="973"/>
      <c r="Z37" s="974"/>
      <c r="AA37" s="972" t="s">
        <v>237</v>
      </c>
      <c r="AB37" s="973"/>
      <c r="AC37" s="973"/>
      <c r="AD37" s="973"/>
      <c r="AE37" s="973"/>
      <c r="AF37" s="974"/>
      <c r="AG37" s="972" t="s">
        <v>129</v>
      </c>
      <c r="AH37" s="973"/>
      <c r="AI37" s="973"/>
      <c r="AJ37" s="973"/>
      <c r="AK37" s="973"/>
      <c r="AL37" s="974"/>
      <c r="AM37" s="989"/>
    </row>
    <row r="38" spans="1:39" ht="53.25" customHeight="1" thickBot="1" x14ac:dyDescent="0.3">
      <c r="A38" s="1006"/>
      <c r="B38" s="1008"/>
      <c r="C38" s="965"/>
      <c r="D38" s="519" t="s">
        <v>231</v>
      </c>
      <c r="E38" s="957"/>
      <c r="F38" s="958"/>
      <c r="G38" s="960"/>
      <c r="H38" s="1013"/>
      <c r="I38" s="975"/>
      <c r="J38" s="976"/>
      <c r="K38" s="976"/>
      <c r="L38" s="976"/>
      <c r="M38" s="976"/>
      <c r="N38" s="977"/>
      <c r="O38" s="986"/>
      <c r="P38" s="981"/>
      <c r="Q38" s="981"/>
      <c r="R38" s="981"/>
      <c r="S38" s="981"/>
      <c r="T38" s="981"/>
      <c r="U38" s="980"/>
      <c r="V38" s="981"/>
      <c r="W38" s="981"/>
      <c r="X38" s="981"/>
      <c r="Y38" s="981"/>
      <c r="Z38" s="982"/>
      <c r="AA38" s="980"/>
      <c r="AB38" s="981"/>
      <c r="AC38" s="981"/>
      <c r="AD38" s="981"/>
      <c r="AE38" s="981"/>
      <c r="AF38" s="982"/>
      <c r="AG38" s="980"/>
      <c r="AH38" s="981"/>
      <c r="AI38" s="981"/>
      <c r="AJ38" s="981"/>
      <c r="AK38" s="981"/>
      <c r="AL38" s="982"/>
      <c r="AM38" s="989"/>
    </row>
    <row r="39" spans="1:39" ht="32.25" customHeight="1" thickTop="1" thickBot="1" x14ac:dyDescent="0.3">
      <c r="A39" s="984">
        <f>A14</f>
        <v>0</v>
      </c>
      <c r="B39" s="987">
        <f>B14</f>
        <v>0</v>
      </c>
      <c r="C39" s="987" t="str">
        <f>C14</f>
        <v>LH1 / LH2 / LH3</v>
      </c>
      <c r="D39" s="990">
        <f>'Table 2 -B -Outcome Analysis '!O34+'Table 2 -B -Outcome Analysis '!S34+'Table 2 -B -Outcome Analysis '!T34+'Table 2 -B -Outcome Analysis '!U34+'Table 2 -B -Outcome Analysis '!V34</f>
        <v>0</v>
      </c>
      <c r="E39" s="990">
        <f>'Table 2 -B -Outcome Analysis '!O49+'Table 2 -B -Outcome Analysis '!S49+'Table 2 -B -Outcome Analysis '!T49+'Table 2 -B -Outcome Analysis '!U49+'Table 2 -B -Outcome Analysis '!V49</f>
        <v>0</v>
      </c>
      <c r="F39" s="990">
        <f>'Table 2 -B -Outcome Analysis '!O68+'Table 2 -B -Outcome Analysis '!S68+'Table 2 -B -Outcome Analysis '!T68+'Table 2 -B -Outcome Analysis '!U68+'Table 2 -B -Outcome Analysis '!V68</f>
        <v>0</v>
      </c>
      <c r="G39" s="990">
        <f>'Table 2 -B -Outcome Analysis '!O84+'Table 2 -B -Outcome Analysis '!S84+'Table 2 -B -Outcome Analysis '!T84+'Table 2 -B -Outcome Analysis '!U84+'Table 2 -B -Outcome Analysis '!V84</f>
        <v>0</v>
      </c>
      <c r="H39" s="221"/>
      <c r="I39" s="329" t="s">
        <v>53</v>
      </c>
      <c r="J39" s="330" t="s">
        <v>54</v>
      </c>
      <c r="K39" s="331" t="s">
        <v>55</v>
      </c>
      <c r="L39" s="332" t="s">
        <v>56</v>
      </c>
      <c r="M39" s="332" t="s">
        <v>57</v>
      </c>
      <c r="N39" s="332" t="s">
        <v>58</v>
      </c>
      <c r="O39" s="329" t="s">
        <v>53</v>
      </c>
      <c r="P39" s="330" t="s">
        <v>54</v>
      </c>
      <c r="Q39" s="331" t="s">
        <v>55</v>
      </c>
      <c r="R39" s="332" t="s">
        <v>56</v>
      </c>
      <c r="S39" s="332" t="s">
        <v>57</v>
      </c>
      <c r="T39" s="332" t="s">
        <v>58</v>
      </c>
      <c r="U39" s="385" t="s">
        <v>53</v>
      </c>
      <c r="V39" s="386" t="s">
        <v>54</v>
      </c>
      <c r="W39" s="387" t="s">
        <v>55</v>
      </c>
      <c r="X39" s="388" t="s">
        <v>56</v>
      </c>
      <c r="Y39" s="388" t="s">
        <v>57</v>
      </c>
      <c r="Z39" s="388" t="s">
        <v>58</v>
      </c>
      <c r="AA39" s="329" t="s">
        <v>53</v>
      </c>
      <c r="AB39" s="330" t="s">
        <v>54</v>
      </c>
      <c r="AC39" s="331" t="s">
        <v>55</v>
      </c>
      <c r="AD39" s="332" t="s">
        <v>56</v>
      </c>
      <c r="AE39" s="332" t="s">
        <v>57</v>
      </c>
      <c r="AF39" s="332" t="s">
        <v>58</v>
      </c>
      <c r="AG39" s="329" t="s">
        <v>53</v>
      </c>
      <c r="AH39" s="330" t="s">
        <v>54</v>
      </c>
      <c r="AI39" s="331" t="s">
        <v>55</v>
      </c>
      <c r="AJ39" s="332" t="s">
        <v>56</v>
      </c>
      <c r="AK39" s="332" t="s">
        <v>57</v>
      </c>
      <c r="AL39" s="389" t="s">
        <v>58</v>
      </c>
      <c r="AM39" s="390"/>
    </row>
    <row r="40" spans="1:39" ht="16.5" thickBot="1" x14ac:dyDescent="0.3">
      <c r="A40" s="984"/>
      <c r="B40" s="987"/>
      <c r="C40" s="987"/>
      <c r="D40" s="991"/>
      <c r="E40" s="991"/>
      <c r="F40" s="991"/>
      <c r="G40" s="991"/>
      <c r="H40" s="521" t="s">
        <v>177</v>
      </c>
      <c r="I40" s="219">
        <f>IF($D$39&gt;0,0,'Table 2-A- FC Analysis'!K35)</f>
        <v>0</v>
      </c>
      <c r="J40" s="219">
        <f>IF($D$39&gt;0,0,'Table 2-A- FC Analysis'!L35)</f>
        <v>0</v>
      </c>
      <c r="K40" s="219">
        <f>IF($D$39&gt;0,0,'Table 2-A- FC Analysis'!M35)</f>
        <v>0</v>
      </c>
      <c r="L40" s="219">
        <f>IF($D$39&gt;0,0,'Table 2-A- FC Analysis'!N35)</f>
        <v>0</v>
      </c>
      <c r="M40" s="219">
        <f>IF($D$39&gt;0,0,'Table 2-A- FC Analysis'!O35)</f>
        <v>0</v>
      </c>
      <c r="N40" s="219">
        <f>IF($D$39&gt;0,0,'Table 2-A- FC Analysis'!P35)</f>
        <v>0</v>
      </c>
      <c r="O40" s="219">
        <f>IF($D$39&gt;0,0,'Table 2-A- FC Analysis'!K70)</f>
        <v>0</v>
      </c>
      <c r="P40" s="219">
        <f>IF($D$39&gt;0,0,'Table 2-A- FC Analysis'!L70)</f>
        <v>0</v>
      </c>
      <c r="Q40" s="219">
        <f>IF($D$39&gt;0,0,'Table 2-A- FC Analysis'!M70)</f>
        <v>0</v>
      </c>
      <c r="R40" s="219">
        <f>IF($D$39&gt;0,0,'Table 2-A- FC Analysis'!N70)</f>
        <v>0</v>
      </c>
      <c r="S40" s="219">
        <f>IF($D$39&gt;0,0,'Table 2-A- FC Analysis'!O70)</f>
        <v>0</v>
      </c>
      <c r="T40" s="219">
        <f>IF($D$39&gt;0,0,'Table 2-A- FC Analysis'!P70)</f>
        <v>0</v>
      </c>
      <c r="U40" s="218">
        <f>IF($D$39&gt;0,0,'Table 2-A- FC Analysis'!K102)</f>
        <v>0</v>
      </c>
      <c r="V40" s="218">
        <f>IF($D$39&gt;0,0,'Table 2-A- FC Analysis'!L102)</f>
        <v>0</v>
      </c>
      <c r="W40" s="218">
        <f>IF($D$39&gt;0,0,'Table 2-A- FC Analysis'!M102)</f>
        <v>0</v>
      </c>
      <c r="X40" s="218">
        <f>IF($D$39&gt;0,0,'Table 2-A- FC Analysis'!N102)</f>
        <v>0</v>
      </c>
      <c r="Y40" s="218">
        <f>IF($D$39&gt;0,0,'Table 2-A- FC Analysis'!O102)</f>
        <v>0</v>
      </c>
      <c r="Z40" s="218">
        <f>IF($D$39&gt;0,0,'Table 2-A- FC Analysis'!P102)</f>
        <v>0</v>
      </c>
      <c r="AA40" s="383">
        <f>IF($D$39&gt;0,0,'Table 2-A- FC Analysis'!K134)</f>
        <v>0</v>
      </c>
      <c r="AB40" s="383">
        <f>IF($D$39&gt;0,0,'Table 2-A- FC Analysis'!L134)</f>
        <v>0</v>
      </c>
      <c r="AC40" s="383">
        <f>IF($D$39&gt;0,0,'Table 2-A- FC Analysis'!M134)</f>
        <v>0</v>
      </c>
      <c r="AD40" s="383">
        <f>IF($D$39&gt;0,0,'Table 2-A- FC Analysis'!N134)</f>
        <v>0</v>
      </c>
      <c r="AE40" s="383">
        <f>IF($D$39&gt;0,0,'Table 2-A- FC Analysis'!O134)</f>
        <v>0</v>
      </c>
      <c r="AF40" s="383">
        <f>IF($D$39&gt;0,0,'Table 2-A- FC Analysis'!P134)</f>
        <v>0</v>
      </c>
      <c r="AG40" s="219">
        <f>IF($D$39&gt;0,0,'Table 2-A- FC Analysis'!K166)</f>
        <v>0</v>
      </c>
      <c r="AH40" s="219">
        <f>IF($D$39&gt;0,0,'Table 2-A- FC Analysis'!L166)</f>
        <v>0</v>
      </c>
      <c r="AI40" s="219">
        <f>IF($D$39&gt;0,0,'Table 2-A- FC Analysis'!M166)</f>
        <v>0</v>
      </c>
      <c r="AJ40" s="219">
        <f>IF($D$39&gt;0,0,'Table 2-A- FC Analysis'!N166)</f>
        <v>0</v>
      </c>
      <c r="AK40" s="219">
        <f>IF($D$39&gt;0,0,'Table 2-A- FC Analysis'!O166)</f>
        <v>0</v>
      </c>
      <c r="AL40" s="219">
        <f>IF($D$39&gt;0,0,'Table 2-A- FC Analysis'!P166)</f>
        <v>0</v>
      </c>
      <c r="AM40" s="1009"/>
    </row>
    <row r="41" spans="1:39" ht="16.5" thickBot="1" x14ac:dyDescent="0.3">
      <c r="A41" s="984"/>
      <c r="B41" s="987"/>
      <c r="C41" s="987"/>
      <c r="D41" s="991"/>
      <c r="E41" s="991"/>
      <c r="F41" s="991"/>
      <c r="G41" s="991"/>
      <c r="H41" s="521" t="s">
        <v>178</v>
      </c>
      <c r="I41" s="219">
        <f>IF($E$39&gt;0,0,'Table 2-A- FC Analysis'!K36)</f>
        <v>0</v>
      </c>
      <c r="J41" s="219">
        <f>IF($E$39&gt;0,0,'Table 2-A- FC Analysis'!L37)</f>
        <v>0</v>
      </c>
      <c r="K41" s="219">
        <f>IF($E$39&gt;0,0,'Table 2-A- FC Analysis'!M37)</f>
        <v>0</v>
      </c>
      <c r="L41" s="219">
        <f>IF($E$39&gt;0,0,'Table 2-A- FC Analysis'!N37)</f>
        <v>0</v>
      </c>
      <c r="M41" s="219">
        <f>IF($E$39&gt;0,0,'Table 2-A- FC Analysis'!O37)</f>
        <v>0</v>
      </c>
      <c r="N41" s="219">
        <f>IF($E$39&gt;0,0,'Table 2-A- FC Analysis'!P37)</f>
        <v>0</v>
      </c>
      <c r="O41" s="218">
        <f>IF($E$39&gt;0,0,'Table 2-A- FC Analysis'!K71)</f>
        <v>0</v>
      </c>
      <c r="P41" s="218">
        <f>IF($E$39&gt;0,0,'Table 2-A- FC Analysis'!L71)</f>
        <v>0</v>
      </c>
      <c r="Q41" s="218">
        <f>IF($E$39&gt;0,0,'Table 2-A- FC Analysis'!M71)</f>
        <v>0</v>
      </c>
      <c r="R41" s="218">
        <f>IF($E$39&gt;0,0,'Table 2-A- FC Analysis'!N71)</f>
        <v>0</v>
      </c>
      <c r="S41" s="218">
        <f>IF($E$39&gt;0,0,'Table 2-A- FC Analysis'!O71)</f>
        <v>0</v>
      </c>
      <c r="T41" s="218">
        <f>IF($E$39&gt;0,0,'Table 2-A- FC Analysis'!P71)</f>
        <v>0</v>
      </c>
      <c r="U41" s="218">
        <f>IF($E$39&gt;0,0,'Table 2-A- FC Analysis'!K103)</f>
        <v>0</v>
      </c>
      <c r="V41" s="218">
        <f>IF($E$39&gt;0,0,'Table 2-A- FC Analysis'!L103)</f>
        <v>0</v>
      </c>
      <c r="W41" s="218">
        <f>IF($E$39&gt;0,0,'Table 2-A- FC Analysis'!M103)</f>
        <v>0</v>
      </c>
      <c r="X41" s="218">
        <f>IF($E$39&gt;0,0,'Table 2-A- FC Analysis'!N103)</f>
        <v>0</v>
      </c>
      <c r="Y41" s="218">
        <f>IF($E$39&gt;0,0,'Table 2-A- FC Analysis'!O103)</f>
        <v>0</v>
      </c>
      <c r="Z41" s="218">
        <f>IF($E$39&gt;0,0,'Table 2-A- FC Analysis'!P103)</f>
        <v>0</v>
      </c>
      <c r="AA41" s="383">
        <f>IF($E$39&gt;0,0,'Table 2-A- FC Analysis'!K135)</f>
        <v>0</v>
      </c>
      <c r="AB41" s="383">
        <f>IF($E$39&gt;0,0,'Table 2-A- FC Analysis'!L135)</f>
        <v>0</v>
      </c>
      <c r="AC41" s="383">
        <f>IF($E$39&gt;0,0,'Table 2-A- FC Analysis'!M135)</f>
        <v>0</v>
      </c>
      <c r="AD41" s="383">
        <f>IF($E$39&gt;0,0,'Table 2-A- FC Analysis'!N135)</f>
        <v>0</v>
      </c>
      <c r="AE41" s="383">
        <f>IF($E$39&gt;0,0,'Table 2-A- FC Analysis'!O135)</f>
        <v>0</v>
      </c>
      <c r="AF41" s="383">
        <f>IF($E$39&gt;0,0,'Table 2-A- FC Analysis'!P135)</f>
        <v>0</v>
      </c>
      <c r="AG41" s="219">
        <f>IF($E$39&gt;0,0,'Table 2-A- FC Analysis'!K167)</f>
        <v>0</v>
      </c>
      <c r="AH41" s="219">
        <f>IF($E$39&gt;0,0,'Table 2-A- FC Analysis'!L167)</f>
        <v>0</v>
      </c>
      <c r="AI41" s="219">
        <f>IF($E$39&gt;0,0,'Table 2-A- FC Analysis'!M167)</f>
        <v>0</v>
      </c>
      <c r="AJ41" s="219">
        <f>IF($E$39&gt;0,0,'Table 2-A- FC Analysis'!N167)</f>
        <v>0</v>
      </c>
      <c r="AK41" s="219">
        <f>IF($E$39&gt;0,0,'Table 2-A- FC Analysis'!O167)</f>
        <v>0</v>
      </c>
      <c r="AL41" s="219">
        <f>IF($E$39&gt;0,0,'Table 2-A- FC Analysis'!P167)</f>
        <v>0</v>
      </c>
      <c r="AM41" s="1010"/>
    </row>
    <row r="42" spans="1:39" ht="16.5" thickBot="1" x14ac:dyDescent="0.3">
      <c r="A42" s="984"/>
      <c r="B42" s="987"/>
      <c r="C42" s="987"/>
      <c r="D42" s="991"/>
      <c r="E42" s="991"/>
      <c r="F42" s="991"/>
      <c r="G42" s="991"/>
      <c r="H42" s="521" t="s">
        <v>15</v>
      </c>
      <c r="I42" s="219">
        <f>IF($F$39&gt;0,0,'Table 2-A- FC Analysis'!K37)</f>
        <v>0</v>
      </c>
      <c r="J42" s="219">
        <f>IF($F$39&gt;0,0,'Table 2-A- FC Analysis'!L37)</f>
        <v>0</v>
      </c>
      <c r="K42" s="219">
        <f>IF($F$39&gt;0,0,'Table 2-A- FC Analysis'!M37)</f>
        <v>0</v>
      </c>
      <c r="L42" s="219">
        <f>IF($F$39&gt;0,0,'Table 2-A- FC Analysis'!N37)</f>
        <v>0</v>
      </c>
      <c r="M42" s="219">
        <f>IF($F$39&gt;0,0,'Table 2-A- FC Analysis'!O37)</f>
        <v>0</v>
      </c>
      <c r="N42" s="219">
        <f>IF($F$39&gt;0,0,'Table 2-A- FC Analysis'!P37)</f>
        <v>0</v>
      </c>
      <c r="O42" s="219">
        <f>IF($F$39&gt;0,0,'Table 2-A- FC Analysis'!K72)</f>
        <v>0</v>
      </c>
      <c r="P42" s="219">
        <f>IF($F$39&gt;0,0,'Table 2-A- FC Analysis'!L72)</f>
        <v>0</v>
      </c>
      <c r="Q42" s="219">
        <f>IF($F$39&gt;0,0,'Table 2-A- FC Analysis'!M72)</f>
        <v>0</v>
      </c>
      <c r="R42" s="219">
        <f>IF($F$39&gt;0,0,'Table 2-A- FC Analysis'!N72)</f>
        <v>0</v>
      </c>
      <c r="S42" s="219">
        <f>IF($F$39&gt;0,0,'Table 2-A- FC Analysis'!O72)</f>
        <v>0</v>
      </c>
      <c r="T42" s="219">
        <f>IF($F$39&gt;0,0,'Table 2-A- FC Analysis'!P72)</f>
        <v>0</v>
      </c>
      <c r="U42" s="218">
        <f>IF($F$39&gt;0,0,'Table 2-A- FC Analysis'!K104)</f>
        <v>0</v>
      </c>
      <c r="V42" s="218">
        <f>IF($F$39&gt;0,0,'Table 2-A- FC Analysis'!L104)</f>
        <v>0</v>
      </c>
      <c r="W42" s="218">
        <f>IF($F$39&gt;0,0,'Table 2-A- FC Analysis'!M104)</f>
        <v>0</v>
      </c>
      <c r="X42" s="218">
        <f>IF($F$39&gt;0,0,'Table 2-A- FC Analysis'!N104)</f>
        <v>0</v>
      </c>
      <c r="Y42" s="218">
        <f>IF($F$39&gt;0,0,'Table 2-A- FC Analysis'!O104)</f>
        <v>0</v>
      </c>
      <c r="Z42" s="218">
        <f>IF($F$39&gt;0,0,'Table 2-A- FC Analysis'!P104)</f>
        <v>0</v>
      </c>
      <c r="AA42" s="383">
        <f>IF($F$39&gt;0,0,'Table 2-A- FC Analysis'!K136)</f>
        <v>0</v>
      </c>
      <c r="AB42" s="383">
        <f>IF($F$39&gt;0,0,'Table 2-A- FC Analysis'!L136)</f>
        <v>0</v>
      </c>
      <c r="AC42" s="383">
        <f>IF($F$39&gt;0,0,'Table 2-A- FC Analysis'!M136)</f>
        <v>0</v>
      </c>
      <c r="AD42" s="383">
        <f>IF($F$39&gt;0,0,'Table 2-A- FC Analysis'!N136)</f>
        <v>0</v>
      </c>
      <c r="AE42" s="383">
        <f>IF($F$39&gt;0,0,'Table 2-A- FC Analysis'!O136)</f>
        <v>0</v>
      </c>
      <c r="AF42" s="383">
        <f>IF($F$39&gt;0,0,'Table 2-A- FC Analysis'!P136)</f>
        <v>0</v>
      </c>
      <c r="AG42" s="219">
        <f>IF($F$39&gt;0,0,'Table 2-A- FC Analysis'!K168)</f>
        <v>0</v>
      </c>
      <c r="AH42" s="219">
        <f>IF($F$39&gt;0,0,'Table 2-A- FC Analysis'!L168)</f>
        <v>0</v>
      </c>
      <c r="AI42" s="219">
        <f>IF($F$39&gt;0,0,'Table 2-A- FC Analysis'!M168)</f>
        <v>0</v>
      </c>
      <c r="AJ42" s="219">
        <f>IF($F$39&gt;0,0,'Table 2-A- FC Analysis'!N168)</f>
        <v>0</v>
      </c>
      <c r="AK42" s="219">
        <f>IF($F$39&gt;0,0,'Table 2-A- FC Analysis'!O168)</f>
        <v>0</v>
      </c>
      <c r="AL42" s="219">
        <f>IF($F$39&gt;0,0,'Table 2-A- FC Analysis'!P168)</f>
        <v>0</v>
      </c>
      <c r="AM42" s="1010"/>
    </row>
    <row r="43" spans="1:39" ht="16.5" thickBot="1" x14ac:dyDescent="0.3">
      <c r="A43" s="984"/>
      <c r="B43" s="987"/>
      <c r="C43" s="987"/>
      <c r="D43" s="992"/>
      <c r="E43" s="992"/>
      <c r="F43" s="992"/>
      <c r="G43" s="992"/>
      <c r="H43" s="521" t="s">
        <v>16</v>
      </c>
      <c r="I43" s="220">
        <f>IF($G$39&gt;0,0,'Table 2-A- FC Analysis'!K38)</f>
        <v>0</v>
      </c>
      <c r="J43" s="220">
        <f>IF($G$39&gt;0,0,'Table 2-A- FC Analysis'!L38)</f>
        <v>0</v>
      </c>
      <c r="K43" s="220">
        <f>IF($G$39&gt;0,0,'Table 2-A- FC Analysis'!M38)</f>
        <v>0</v>
      </c>
      <c r="L43" s="220">
        <f>IF($G$39&gt;0,0,'Table 2-A- FC Analysis'!N38)</f>
        <v>0</v>
      </c>
      <c r="M43" s="220">
        <f>IF($G$39&gt;0,0,'Table 2-A- FC Analysis'!O38)</f>
        <v>0</v>
      </c>
      <c r="N43" s="220">
        <f>IF($G$39&gt;0,0,'Table 2-A- FC Analysis'!P38)</f>
        <v>0</v>
      </c>
      <c r="O43" s="220">
        <f>IF($G$39&gt;0,0,'Table 2-A- FC Analysis'!K73)</f>
        <v>0</v>
      </c>
      <c r="P43" s="220">
        <f>IF($G$39&gt;0,0,'Table 2-A- FC Analysis'!L73)</f>
        <v>0</v>
      </c>
      <c r="Q43" s="220">
        <f>IF($G$39&gt;0,0,'Table 2-A- FC Analysis'!M73)</f>
        <v>0</v>
      </c>
      <c r="R43" s="220">
        <f>IF($G$39&gt;0,0,'Table 2-A- FC Analysis'!N73)</f>
        <v>0</v>
      </c>
      <c r="S43" s="220">
        <f>IF($G$39&gt;0,0,'Table 2-A- FC Analysis'!O73)</f>
        <v>0</v>
      </c>
      <c r="T43" s="220">
        <f>IF($G$39&gt;0,0,'Table 2-A- FC Analysis'!P73)</f>
        <v>0</v>
      </c>
      <c r="U43" s="218">
        <f>IF($G$39&gt;0,0,'Table 2-A- FC Analysis'!K105)</f>
        <v>0</v>
      </c>
      <c r="V43" s="218">
        <f>IF($G$39&gt;0,0,'Table 2-A- FC Analysis'!L105)</f>
        <v>0</v>
      </c>
      <c r="W43" s="218">
        <f>IF($G$39&gt;0,0,'Table 2-A- FC Analysis'!M105)</f>
        <v>0</v>
      </c>
      <c r="X43" s="218">
        <f>IF($G$39&gt;0,0,'Table 2-A- FC Analysis'!N105)</f>
        <v>0</v>
      </c>
      <c r="Y43" s="218">
        <f>IF($G$39&gt;0,0,'Table 2-A- FC Analysis'!O105)</f>
        <v>0</v>
      </c>
      <c r="Z43" s="218">
        <f>IF($G$39&gt;0,0,'Table 2-A- FC Analysis'!P105)</f>
        <v>0</v>
      </c>
      <c r="AA43" s="384">
        <f>IF($G$39&gt;0,0,'Table 2-A- FC Analysis'!K137)</f>
        <v>0</v>
      </c>
      <c r="AB43" s="384">
        <f>IF($G$39&gt;0,0,'Table 2-A- FC Analysis'!L137)</f>
        <v>0</v>
      </c>
      <c r="AC43" s="384">
        <f>IF($G$39&gt;0,0,'Table 2-A- FC Analysis'!M137)</f>
        <v>0</v>
      </c>
      <c r="AD43" s="384">
        <f>IF($G$39&gt;0,0,'Table 2-A- FC Analysis'!N137)</f>
        <v>0</v>
      </c>
      <c r="AE43" s="384">
        <f>IF($G$39&gt;0,0,'Table 2-A- FC Analysis'!O137)</f>
        <v>0</v>
      </c>
      <c r="AF43" s="384">
        <f>IF($G$39&gt;0,0,'Table 2-A- FC Analysis'!P137)</f>
        <v>0</v>
      </c>
      <c r="AG43" s="220">
        <f>IF($G$39&gt;0,0,'Table 2-A- FC Analysis'!K169)</f>
        <v>0</v>
      </c>
      <c r="AH43" s="220">
        <f>IF($G$39&gt;0,0,'Table 2-A- FC Analysis'!L169)</f>
        <v>0</v>
      </c>
      <c r="AI43" s="220">
        <f>IF($G$39&gt;0,0,'Table 2-A- FC Analysis'!M169)</f>
        <v>0</v>
      </c>
      <c r="AJ43" s="220">
        <f>IF($G$39&gt;0,0,'Table 2-A- FC Analysis'!N169)</f>
        <v>0</v>
      </c>
      <c r="AK43" s="220">
        <f>IF($G$39&gt;0,0,'Table 2-A- FC Analysis'!O169)</f>
        <v>0</v>
      </c>
      <c r="AL43" s="220">
        <f>IF($G$39&gt;0,0,'Table 2-A- FC Analysis'!P169)</f>
        <v>0</v>
      </c>
      <c r="AM43" s="1011"/>
    </row>
    <row r="46" spans="1:39" ht="23.25" x14ac:dyDescent="0.25">
      <c r="A46" s="676" t="s">
        <v>281</v>
      </c>
      <c r="B46" s="676"/>
      <c r="C46" s="676"/>
      <c r="D46" s="676"/>
      <c r="E46" s="676"/>
      <c r="F46" s="676"/>
      <c r="G46" s="676"/>
      <c r="H46" s="676"/>
      <c r="I46" s="676"/>
      <c r="J46" s="676"/>
      <c r="K46" s="676"/>
      <c r="L46" s="676"/>
      <c r="M46" s="676"/>
      <c r="N46" s="676"/>
      <c r="O46" s="676"/>
      <c r="P46" s="676"/>
      <c r="Q46" s="676"/>
      <c r="R46" s="676"/>
      <c r="S46" s="676"/>
      <c r="T46" s="676"/>
      <c r="U46" s="676"/>
      <c r="V46" s="676"/>
      <c r="W46" s="676"/>
      <c r="X46" s="676"/>
      <c r="Y46" s="676"/>
      <c r="Z46" s="676"/>
      <c r="AA46" s="676"/>
      <c r="AB46" s="676"/>
      <c r="AC46" s="676"/>
      <c r="AD46" s="676"/>
      <c r="AE46" s="676"/>
      <c r="AF46" s="676"/>
      <c r="AG46" s="676"/>
      <c r="AH46" s="676"/>
      <c r="AI46" s="676"/>
      <c r="AJ46" s="676"/>
      <c r="AK46" s="676"/>
      <c r="AL46" s="676"/>
      <c r="AM46" s="676"/>
    </row>
    <row r="47" spans="1:39" x14ac:dyDescent="0.25">
      <c r="A47" s="993"/>
      <c r="B47" s="994"/>
      <c r="C47" s="994"/>
      <c r="D47" s="994"/>
      <c r="E47" s="994"/>
      <c r="F47" s="994"/>
      <c r="G47" s="994"/>
      <c r="H47" s="994"/>
      <c r="I47" s="994"/>
      <c r="J47" s="994"/>
      <c r="K47" s="994"/>
      <c r="L47" s="994"/>
      <c r="M47" s="994"/>
      <c r="N47" s="994"/>
      <c r="O47" s="994"/>
      <c r="P47" s="994"/>
      <c r="Q47" s="994"/>
      <c r="R47" s="994"/>
      <c r="S47" s="994"/>
      <c r="T47" s="994"/>
      <c r="U47" s="994"/>
      <c r="V47" s="994"/>
      <c r="W47" s="994"/>
      <c r="X47" s="994"/>
      <c r="Y47" s="994"/>
      <c r="Z47" s="994"/>
      <c r="AA47" s="994"/>
      <c r="AB47" s="994"/>
      <c r="AC47" s="994"/>
      <c r="AD47" s="994"/>
      <c r="AE47" s="994"/>
      <c r="AF47" s="994"/>
      <c r="AG47" s="994"/>
      <c r="AH47" s="994"/>
      <c r="AI47" s="994"/>
      <c r="AJ47" s="994"/>
      <c r="AK47" s="994"/>
      <c r="AL47" s="994"/>
      <c r="AM47" s="995"/>
    </row>
    <row r="48" spans="1:39" ht="100.5" customHeight="1" x14ac:dyDescent="0.25">
      <c r="A48" s="996"/>
      <c r="B48" s="997"/>
      <c r="C48" s="997"/>
      <c r="D48" s="997"/>
      <c r="E48" s="997"/>
      <c r="F48" s="997"/>
      <c r="G48" s="997"/>
      <c r="H48" s="997"/>
      <c r="I48" s="997"/>
      <c r="J48" s="997"/>
      <c r="K48" s="997"/>
      <c r="L48" s="997"/>
      <c r="M48" s="997"/>
      <c r="N48" s="997"/>
      <c r="O48" s="997"/>
      <c r="P48" s="997"/>
      <c r="Q48" s="997"/>
      <c r="R48" s="997"/>
      <c r="S48" s="997"/>
      <c r="T48" s="997"/>
      <c r="U48" s="997"/>
      <c r="V48" s="997"/>
      <c r="W48" s="997"/>
      <c r="X48" s="997"/>
      <c r="Y48" s="997"/>
      <c r="Z48" s="997"/>
      <c r="AA48" s="997"/>
      <c r="AB48" s="997"/>
      <c r="AC48" s="997"/>
      <c r="AD48" s="997"/>
      <c r="AE48" s="997"/>
      <c r="AF48" s="997"/>
      <c r="AG48" s="997"/>
      <c r="AH48" s="997"/>
      <c r="AI48" s="997"/>
      <c r="AJ48" s="997"/>
      <c r="AK48" s="997"/>
      <c r="AL48" s="997"/>
      <c r="AM48" s="998"/>
    </row>
  </sheetData>
  <sheetProtection formatCells="0" formatColumns="0" formatRows="0" insertRows="0"/>
  <protectedRanges>
    <protectedRange sqref="AM14 AM40 A47" name="Range1"/>
    <protectedRange sqref="A22" name="Range1_1"/>
  </protectedRanges>
  <mergeCells count="62">
    <mergeCell ref="AM40:AM43"/>
    <mergeCell ref="AM15:AM18"/>
    <mergeCell ref="A46:O46"/>
    <mergeCell ref="P46:AD46"/>
    <mergeCell ref="AE46:AM46"/>
    <mergeCell ref="G37:G38"/>
    <mergeCell ref="H37:H38"/>
    <mergeCell ref="H36:AF36"/>
    <mergeCell ref="G39:G43"/>
    <mergeCell ref="A39:A43"/>
    <mergeCell ref="B39:B43"/>
    <mergeCell ref="C39:C43"/>
    <mergeCell ref="D39:D43"/>
    <mergeCell ref="E39:E43"/>
    <mergeCell ref="F39:F43"/>
    <mergeCell ref="P21:AD21"/>
    <mergeCell ref="A47:AM48"/>
    <mergeCell ref="A22:AM23"/>
    <mergeCell ref="I37:N38"/>
    <mergeCell ref="O37:T38"/>
    <mergeCell ref="U37:Z38"/>
    <mergeCell ref="AA37:AF38"/>
    <mergeCell ref="AG37:AL38"/>
    <mergeCell ref="C33:D33"/>
    <mergeCell ref="A35:AG35"/>
    <mergeCell ref="A36:A38"/>
    <mergeCell ref="B36:B38"/>
    <mergeCell ref="C36:C38"/>
    <mergeCell ref="D36:G36"/>
    <mergeCell ref="AM36:AM38"/>
    <mergeCell ref="E37:E38"/>
    <mergeCell ref="F37:F38"/>
    <mergeCell ref="AE21:AM21"/>
    <mergeCell ref="AG12:AL13"/>
    <mergeCell ref="A28:O28"/>
    <mergeCell ref="B14:B18"/>
    <mergeCell ref="A14:A18"/>
    <mergeCell ref="O12:T13"/>
    <mergeCell ref="U12:Z13"/>
    <mergeCell ref="AA12:AF13"/>
    <mergeCell ref="C14:C18"/>
    <mergeCell ref="AM11:AM13"/>
    <mergeCell ref="F14:F18"/>
    <mergeCell ref="E14:E18"/>
    <mergeCell ref="D14:D18"/>
    <mergeCell ref="G14:G18"/>
    <mergeCell ref="A2:O2"/>
    <mergeCell ref="C7:D7"/>
    <mergeCell ref="A10:AG10"/>
    <mergeCell ref="A11:A13"/>
    <mergeCell ref="B11:B13"/>
    <mergeCell ref="C11:C13"/>
    <mergeCell ref="D11:G11"/>
    <mergeCell ref="H11:AF11"/>
    <mergeCell ref="I12:N13"/>
    <mergeCell ref="H12:H13"/>
    <mergeCell ref="C8:D8"/>
    <mergeCell ref="C34:D34"/>
    <mergeCell ref="E12:E13"/>
    <mergeCell ref="F12:F13"/>
    <mergeCell ref="G12:G13"/>
    <mergeCell ref="A21:O21"/>
  </mergeCells>
  <conditionalFormatting sqref="AM40">
    <cfRule type="cellIs" dxfId="230" priority="142" operator="equal">
      <formula>5</formula>
    </cfRule>
    <cfRule type="cellIs" dxfId="229" priority="143" operator="equal">
      <formula>4</formula>
    </cfRule>
    <cfRule type="cellIs" dxfId="228" priority="144" operator="equal">
      <formula>3</formula>
    </cfRule>
    <cfRule type="cellIs" dxfId="227" priority="145" operator="equal">
      <formula>2</formula>
    </cfRule>
    <cfRule type="cellIs" dxfId="226" priority="146" operator="equal">
      <formula>1</formula>
    </cfRule>
  </conditionalFormatting>
  <conditionalFormatting sqref="AM15">
    <cfRule type="cellIs" dxfId="225" priority="137" operator="equal">
      <formula>5</formula>
    </cfRule>
    <cfRule type="cellIs" dxfId="224" priority="138" operator="equal">
      <formula>4</formula>
    </cfRule>
    <cfRule type="cellIs" dxfId="223" priority="139" operator="equal">
      <formula>3</formula>
    </cfRule>
    <cfRule type="cellIs" dxfId="222" priority="140" operator="equal">
      <formula>2</formula>
    </cfRule>
    <cfRule type="cellIs" dxfId="221" priority="141" operator="equal">
      <formula>1</formula>
    </cfRule>
  </conditionalFormatting>
  <conditionalFormatting sqref="D39:G43">
    <cfRule type="cellIs" dxfId="220" priority="112" operator="equal">
      <formula>5</formula>
    </cfRule>
    <cfRule type="cellIs" dxfId="219" priority="113" operator="equal">
      <formula>4</formula>
    </cfRule>
    <cfRule type="cellIs" dxfId="218" priority="114" operator="equal">
      <formula>3</formula>
    </cfRule>
    <cfRule type="cellIs" dxfId="217" priority="115" operator="equal">
      <formula>2</formula>
    </cfRule>
    <cfRule type="cellIs" dxfId="216" priority="116" operator="equal">
      <formula>1</formula>
    </cfRule>
  </conditionalFormatting>
  <conditionalFormatting sqref="AM39">
    <cfRule type="containsText" dxfId="215" priority="95" operator="containsText" text="***">
      <formula>NOT(ISERROR(SEARCH("***",AM39)))</formula>
    </cfRule>
    <cfRule type="containsText" dxfId="214" priority="96" operator="containsText" text="**">
      <formula>NOT(ISERROR(SEARCH("**",AM39)))</formula>
    </cfRule>
    <cfRule type="containsText" dxfId="213" priority="97" operator="containsText" text="*">
      <formula>NOT(ISERROR(SEARCH("*",AM39)))</formula>
    </cfRule>
  </conditionalFormatting>
  <conditionalFormatting sqref="AM14">
    <cfRule type="containsText" dxfId="212" priority="92" operator="containsText" text="***">
      <formula>NOT(ISERROR(SEARCH("***",AM14)))</formula>
    </cfRule>
    <cfRule type="containsText" dxfId="211" priority="93" operator="containsText" text="**">
      <formula>NOT(ISERROR(SEARCH("**",AM14)))</formula>
    </cfRule>
    <cfRule type="containsText" dxfId="210" priority="94" operator="containsText" text="*">
      <formula>NOT(ISERROR(SEARCH("*",AM14)))</formula>
    </cfRule>
  </conditionalFormatting>
  <conditionalFormatting sqref="D14:G18">
    <cfRule type="cellIs" dxfId="209" priority="57" operator="equal">
      <formula>5</formula>
    </cfRule>
    <cfRule type="cellIs" dxfId="208" priority="58" operator="equal">
      <formula>4</formula>
    </cfRule>
    <cfRule type="cellIs" dxfId="207" priority="59" operator="equal">
      <formula>3</formula>
    </cfRule>
    <cfRule type="cellIs" dxfId="206" priority="60" operator="equal">
      <formula>2</formula>
    </cfRule>
    <cfRule type="cellIs" dxfId="205" priority="61" operator="equal">
      <formula>1</formula>
    </cfRule>
  </conditionalFormatting>
  <conditionalFormatting sqref="I15:AL18">
    <cfRule type="cellIs" dxfId="204" priority="18" operator="equal">
      <formula>0</formula>
    </cfRule>
  </conditionalFormatting>
  <conditionalFormatting sqref="I15:K18 O15:Q18 U15:W18 AA15:AC18 AG15:AI18">
    <cfRule type="containsText" dxfId="203" priority="17" operator="containsText" text="x">
      <formula>NOT(ISERROR(SEARCH("x",I15)))</formula>
    </cfRule>
  </conditionalFormatting>
  <conditionalFormatting sqref="L15:N18 R15:T18 X15:Z18 AD15:AF18 AJ15:AL18">
    <cfRule type="containsText" dxfId="202" priority="16" operator="containsText" text="x">
      <formula>NOT(ISERROR(SEARCH("x",L15)))</formula>
    </cfRule>
  </conditionalFormatting>
  <conditionalFormatting sqref="I40:AL43">
    <cfRule type="cellIs" dxfId="201" priority="15" operator="equal">
      <formula>0</formula>
    </cfRule>
  </conditionalFormatting>
  <conditionalFormatting sqref="I40:K43 O40:Q43 U40:W43 AA40:AC43 AG40:AI43">
    <cfRule type="containsText" dxfId="200" priority="14" operator="containsText" text="x">
      <formula>NOT(ISERROR(SEARCH("x",I40)))</formula>
    </cfRule>
  </conditionalFormatting>
  <conditionalFormatting sqref="L40:N43 R40:T43 X40:Z43 AD40:AF43 AJ40:AL43">
    <cfRule type="containsText" dxfId="199" priority="13" operator="containsText" text="x">
      <formula>NOT(ISERROR(SEARCH("x",L40)))</formula>
    </cfRule>
  </conditionalFormatting>
  <conditionalFormatting sqref="H40">
    <cfRule type="cellIs" dxfId="198" priority="8" operator="equal">
      <formula>5</formula>
    </cfRule>
    <cfRule type="cellIs" dxfId="197" priority="9" operator="equal">
      <formula>4</formula>
    </cfRule>
    <cfRule type="cellIs" dxfId="196" priority="10" operator="equal">
      <formula>2</formula>
    </cfRule>
    <cfRule type="cellIs" dxfId="195" priority="11" operator="equal">
      <formula>3</formula>
    </cfRule>
    <cfRule type="cellIs" dxfId="194" priority="12" operator="equal">
      <formula>2</formula>
    </cfRule>
  </conditionalFormatting>
  <conditionalFormatting sqref="H40">
    <cfRule type="cellIs" dxfId="193" priority="7" operator="equal">
      <formula>1</formula>
    </cfRule>
  </conditionalFormatting>
  <conditionalFormatting sqref="H15">
    <cfRule type="cellIs" dxfId="192" priority="2" operator="equal">
      <formula>5</formula>
    </cfRule>
    <cfRule type="cellIs" dxfId="191" priority="3" operator="equal">
      <formula>4</formula>
    </cfRule>
    <cfRule type="cellIs" dxfId="190" priority="4" operator="equal">
      <formula>2</formula>
    </cfRule>
    <cfRule type="cellIs" dxfId="189" priority="5" operator="equal">
      <formula>3</formula>
    </cfRule>
    <cfRule type="cellIs" dxfId="188" priority="6" operator="equal">
      <formula>2</formula>
    </cfRule>
  </conditionalFormatting>
  <conditionalFormatting sqref="H15">
    <cfRule type="cellIs" dxfId="187" priority="1" operator="equal">
      <formula>1</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B70"/>
  <sheetViews>
    <sheetView topLeftCell="A43" zoomScale="80" zoomScaleNormal="80" workbookViewId="0">
      <selection activeCell="U52" sqref="U52"/>
    </sheetView>
  </sheetViews>
  <sheetFormatPr defaultColWidth="11.42578125" defaultRowHeight="15" x14ac:dyDescent="0.25"/>
  <cols>
    <col min="1" max="1" width="13.7109375" customWidth="1"/>
    <col min="2" max="3" width="16" customWidth="1"/>
    <col min="4" max="4" width="16.7109375" customWidth="1"/>
    <col min="5" max="5" width="14.42578125" style="125" customWidth="1"/>
    <col min="6" max="9" width="11.42578125" style="125"/>
    <col min="11" max="11" width="12.85546875" customWidth="1"/>
    <col min="12" max="12" width="15.7109375" customWidth="1"/>
    <col min="13" max="13" width="12.85546875" customWidth="1"/>
    <col min="14" max="14" width="14.28515625" customWidth="1"/>
    <col min="16" max="16" width="14.140625" customWidth="1"/>
    <col min="17" max="17" width="14.28515625" customWidth="1"/>
    <col min="23" max="23" width="14.28515625" customWidth="1"/>
    <col min="24" max="24" width="15.28515625" customWidth="1"/>
    <col min="25" max="25" width="13.28515625" customWidth="1"/>
    <col min="28" max="28" width="15.5703125" customWidth="1"/>
  </cols>
  <sheetData>
    <row r="1" spans="1:28" ht="26.25" x14ac:dyDescent="0.4">
      <c r="A1" s="539" t="s">
        <v>240</v>
      </c>
      <c r="B1" s="540"/>
      <c r="C1" s="540"/>
      <c r="D1" s="540"/>
      <c r="E1" s="540"/>
      <c r="F1" s="540"/>
      <c r="G1" s="540"/>
      <c r="H1" s="540"/>
      <c r="I1" s="540"/>
      <c r="J1" s="540"/>
      <c r="K1" s="540"/>
      <c r="L1" s="540"/>
      <c r="M1" s="540"/>
      <c r="N1" s="540"/>
      <c r="O1" s="65"/>
      <c r="P1" s="65"/>
      <c r="Q1" s="65"/>
      <c r="R1" s="65"/>
      <c r="S1" s="65"/>
      <c r="T1" s="65"/>
      <c r="U1" s="65"/>
      <c r="V1" s="65"/>
      <c r="W1" s="65"/>
      <c r="X1" s="65"/>
      <c r="Y1" s="65"/>
      <c r="Z1" s="65"/>
      <c r="AA1" s="65"/>
      <c r="AB1" s="65"/>
    </row>
    <row r="2" spans="1:28" ht="15.75" x14ac:dyDescent="0.25">
      <c r="A2" s="58"/>
      <c r="B2" s="112"/>
      <c r="C2" s="112"/>
      <c r="D2" s="112"/>
      <c r="E2" s="223"/>
      <c r="F2" s="223"/>
      <c r="G2" s="223"/>
      <c r="H2" s="223"/>
      <c r="I2" s="223"/>
      <c r="J2" s="113"/>
      <c r="K2" s="114"/>
      <c r="L2" s="114"/>
      <c r="M2" s="114"/>
      <c r="N2" s="114"/>
      <c r="O2" s="65"/>
      <c r="P2" s="65"/>
      <c r="Q2" s="65"/>
      <c r="R2" s="65"/>
      <c r="S2" s="65"/>
      <c r="T2" s="65"/>
      <c r="U2" s="65"/>
      <c r="V2" s="65"/>
      <c r="W2" s="65"/>
      <c r="X2" s="65"/>
      <c r="Y2" s="65"/>
      <c r="Z2" s="65"/>
      <c r="AA2" s="65"/>
      <c r="AB2" s="65"/>
    </row>
    <row r="3" spans="1:28" s="17" customFormat="1" ht="15.75" x14ac:dyDescent="0.25">
      <c r="A3" s="479" t="s">
        <v>66</v>
      </c>
      <c r="B3" s="66"/>
      <c r="C3" s="66"/>
      <c r="D3" s="174">
        <f>'Table 1-B  Context Analysis'!$C$5</f>
        <v>0</v>
      </c>
      <c r="E3" s="211"/>
      <c r="F3" s="212"/>
      <c r="G3" s="212"/>
      <c r="H3" s="212"/>
      <c r="I3" s="212"/>
      <c r="J3" s="67"/>
      <c r="K3" s="65"/>
      <c r="L3" s="65"/>
      <c r="M3" s="65"/>
      <c r="N3" s="65"/>
      <c r="O3" s="65"/>
      <c r="P3" s="65"/>
      <c r="Q3" s="65"/>
      <c r="R3" s="65"/>
      <c r="S3" s="65"/>
      <c r="T3" s="65"/>
      <c r="U3" s="65"/>
      <c r="V3" s="65"/>
      <c r="W3" s="65"/>
      <c r="X3" s="65"/>
      <c r="Y3" s="65"/>
      <c r="Z3" s="65"/>
      <c r="AA3" s="65"/>
      <c r="AB3" s="65"/>
    </row>
    <row r="4" spans="1:28" s="17" customFormat="1" ht="15.75" x14ac:dyDescent="0.25">
      <c r="A4" s="480" t="s">
        <v>74</v>
      </c>
      <c r="B4" s="66"/>
      <c r="C4" s="66"/>
      <c r="D4" s="174">
        <f>'Table 1-B  Context Analysis'!$C$6</f>
        <v>0</v>
      </c>
      <c r="E4" s="211"/>
      <c r="F4" s="212"/>
      <c r="G4" s="212"/>
      <c r="H4" s="212"/>
      <c r="I4" s="212"/>
      <c r="J4" s="67"/>
      <c r="K4" s="65"/>
      <c r="L4" s="65"/>
      <c r="M4" s="65"/>
      <c r="N4" s="65"/>
      <c r="O4" s="65"/>
      <c r="P4" s="65"/>
      <c r="Q4" s="65"/>
      <c r="R4" s="65"/>
      <c r="S4" s="65"/>
      <c r="T4" s="65"/>
      <c r="U4" s="65"/>
      <c r="V4" s="65"/>
      <c r="W4" s="65"/>
      <c r="X4" s="65"/>
      <c r="Y4" s="65"/>
      <c r="Z4" s="65"/>
      <c r="AA4" s="65"/>
      <c r="AB4" s="65"/>
    </row>
    <row r="5" spans="1:28" s="17" customFormat="1" ht="15.75" x14ac:dyDescent="0.25">
      <c r="A5" s="480" t="s">
        <v>75</v>
      </c>
      <c r="B5" s="66"/>
      <c r="C5" s="66"/>
      <c r="D5" s="174">
        <f>'Table 1-B  Context Analysis'!$C$7</f>
        <v>0</v>
      </c>
      <c r="E5" s="211"/>
      <c r="F5" s="212"/>
      <c r="G5" s="212"/>
      <c r="H5" s="212"/>
      <c r="I5" s="212"/>
      <c r="J5" s="67"/>
      <c r="K5" s="65"/>
      <c r="L5" s="65"/>
      <c r="M5" s="65"/>
      <c r="N5" s="65"/>
      <c r="O5" s="65"/>
      <c r="P5" s="65"/>
      <c r="Q5" s="65"/>
      <c r="R5" s="65"/>
      <c r="S5" s="65"/>
      <c r="T5" s="65"/>
      <c r="U5" s="65"/>
      <c r="V5" s="65"/>
      <c r="W5" s="65"/>
      <c r="X5" s="65"/>
      <c r="Y5" s="65"/>
      <c r="Z5" s="65"/>
      <c r="AA5" s="65"/>
      <c r="AB5" s="65"/>
    </row>
    <row r="6" spans="1:28" s="17" customFormat="1" x14ac:dyDescent="0.25">
      <c r="A6" s="517" t="s">
        <v>117</v>
      </c>
      <c r="B6" s="66"/>
      <c r="C6" s="66"/>
      <c r="D6" s="1085" t="str">
        <f>'Table 1-B  Context Analysis'!$C$9</f>
        <v/>
      </c>
      <c r="E6" s="1086"/>
      <c r="F6" s="212"/>
      <c r="G6" s="212"/>
      <c r="H6" s="212"/>
      <c r="I6" s="212"/>
      <c r="J6" s="67"/>
      <c r="K6" s="65"/>
      <c r="L6" s="65"/>
      <c r="M6" s="65"/>
      <c r="N6" s="65"/>
      <c r="O6" s="65"/>
      <c r="P6" s="65"/>
      <c r="Q6" s="65"/>
      <c r="R6" s="65"/>
      <c r="S6" s="65"/>
      <c r="T6" s="65"/>
      <c r="U6" s="65"/>
      <c r="V6" s="65"/>
      <c r="W6" s="65"/>
      <c r="X6" s="65"/>
      <c r="Y6" s="65"/>
      <c r="Z6" s="65"/>
      <c r="AA6" s="65"/>
      <c r="AB6" s="65"/>
    </row>
    <row r="7" spans="1:28" x14ac:dyDescent="0.25">
      <c r="A7" s="65"/>
      <c r="B7" s="65"/>
      <c r="C7" s="65"/>
      <c r="D7" s="65"/>
      <c r="E7" s="211"/>
      <c r="F7" s="211"/>
      <c r="G7" s="211"/>
      <c r="H7" s="211"/>
      <c r="I7" s="211"/>
      <c r="J7" s="65"/>
      <c r="K7" s="65"/>
      <c r="L7" s="65"/>
      <c r="M7" s="65"/>
      <c r="N7" s="65"/>
      <c r="O7" s="65"/>
      <c r="P7" s="65"/>
      <c r="Q7" s="65"/>
      <c r="R7" s="65"/>
      <c r="S7" s="65"/>
      <c r="T7" s="65"/>
      <c r="U7" s="65"/>
      <c r="V7" s="65"/>
      <c r="W7" s="65"/>
      <c r="X7" s="65"/>
      <c r="Y7" s="65"/>
      <c r="Z7" s="65"/>
      <c r="AA7" s="65"/>
      <c r="AB7" s="65"/>
    </row>
    <row r="8" spans="1:28" x14ac:dyDescent="0.25">
      <c r="A8" s="65"/>
      <c r="B8" s="65"/>
      <c r="C8" s="65"/>
      <c r="D8" s="65"/>
      <c r="E8" s="211"/>
      <c r="F8" s="211"/>
      <c r="G8" s="211"/>
      <c r="H8" s="211"/>
      <c r="I8" s="211"/>
      <c r="J8" s="65"/>
      <c r="K8" s="65"/>
      <c r="L8" s="65"/>
      <c r="M8" s="65"/>
      <c r="N8" s="65"/>
      <c r="O8" s="65"/>
      <c r="P8" s="65"/>
      <c r="Q8" s="65"/>
      <c r="R8" s="65"/>
      <c r="S8" s="65"/>
      <c r="T8" s="65"/>
      <c r="U8" s="65"/>
      <c r="V8" s="65"/>
      <c r="W8" s="65"/>
      <c r="X8" s="65"/>
      <c r="Y8" s="65"/>
      <c r="Z8" s="65"/>
      <c r="AA8" s="65"/>
      <c r="AB8" s="65"/>
    </row>
    <row r="9" spans="1:28" x14ac:dyDescent="0.25">
      <c r="A9" s="65"/>
      <c r="B9" s="65"/>
      <c r="C9" s="65"/>
      <c r="D9" s="65"/>
      <c r="E9" s="211"/>
      <c r="F9" s="211"/>
      <c r="G9" s="211"/>
      <c r="H9" s="211"/>
      <c r="I9" s="211"/>
      <c r="J9" s="65"/>
      <c r="K9" s="65"/>
      <c r="L9" s="65"/>
      <c r="M9" s="65"/>
      <c r="N9" s="65"/>
      <c r="O9" s="65"/>
      <c r="P9" s="65"/>
      <c r="Q9" s="65"/>
      <c r="R9" s="65"/>
      <c r="S9" s="65"/>
      <c r="T9" s="65"/>
      <c r="U9" s="65"/>
      <c r="V9" s="65"/>
      <c r="W9" s="65"/>
      <c r="X9" s="65"/>
      <c r="Y9" s="65"/>
      <c r="Z9" s="65"/>
      <c r="AA9" s="65"/>
      <c r="AB9" s="65"/>
    </row>
    <row r="10" spans="1:28" ht="19.5" thickBot="1" x14ac:dyDescent="0.35">
      <c r="B10" s="1088" t="s">
        <v>241</v>
      </c>
      <c r="C10" s="1088"/>
      <c r="D10" s="1088"/>
      <c r="E10" s="1088"/>
      <c r="F10" s="1088"/>
      <c r="G10" s="1088"/>
      <c r="H10" s="1088"/>
      <c r="I10" s="1088"/>
      <c r="J10" s="1088"/>
      <c r="K10" s="1088"/>
      <c r="L10" s="1088"/>
      <c r="M10" s="1088"/>
      <c r="N10" s="1088"/>
      <c r="O10" s="1088"/>
      <c r="P10" s="1088"/>
      <c r="Q10" s="1088"/>
    </row>
    <row r="11" spans="1:28" ht="21.75" thickBot="1" x14ac:dyDescent="0.3">
      <c r="B11" s="30" t="s">
        <v>133</v>
      </c>
      <c r="C11" s="30"/>
      <c r="D11" s="793" t="s">
        <v>195</v>
      </c>
      <c r="E11" s="794"/>
      <c r="F11" s="794"/>
      <c r="G11" s="794"/>
      <c r="H11" s="794"/>
      <c r="I11" s="1089"/>
      <c r="K11" s="30" t="s">
        <v>133</v>
      </c>
      <c r="L11" s="793" t="s">
        <v>196</v>
      </c>
      <c r="M11" s="794"/>
      <c r="N11" s="794"/>
      <c r="O11" s="794"/>
      <c r="P11" s="794"/>
      <c r="Q11" s="1089"/>
    </row>
    <row r="12" spans="1:28" ht="15.75" customHeight="1" thickBot="1" x14ac:dyDescent="0.3">
      <c r="B12" s="1090" t="s">
        <v>138</v>
      </c>
      <c r="C12" s="403"/>
      <c r="D12" s="1093" t="s">
        <v>243</v>
      </c>
      <c r="E12" s="1077"/>
      <c r="F12" s="1077"/>
      <c r="G12" s="1077"/>
      <c r="H12" s="1077"/>
      <c r="I12" s="1094"/>
      <c r="K12" s="1090" t="s">
        <v>138</v>
      </c>
      <c r="L12" s="1093" t="s">
        <v>243</v>
      </c>
      <c r="M12" s="1077"/>
      <c r="N12" s="1077"/>
      <c r="O12" s="1077"/>
      <c r="P12" s="1077"/>
      <c r="Q12" s="1094"/>
    </row>
    <row r="13" spans="1:28" ht="15.75" thickBot="1" x14ac:dyDescent="0.3">
      <c r="B13" s="1072"/>
      <c r="C13" s="403"/>
      <c r="D13" s="829" t="s">
        <v>251</v>
      </c>
      <c r="E13" s="830"/>
      <c r="F13" s="830"/>
      <c r="G13" s="830"/>
      <c r="H13" s="830"/>
      <c r="I13" s="889"/>
      <c r="K13" s="1072"/>
      <c r="L13" s="829" t="s">
        <v>251</v>
      </c>
      <c r="M13" s="830"/>
      <c r="N13" s="830"/>
      <c r="O13" s="830"/>
      <c r="P13" s="830"/>
      <c r="Q13" s="889"/>
    </row>
    <row r="14" spans="1:28" ht="15.75" thickBot="1" x14ac:dyDescent="0.3">
      <c r="B14" s="1072"/>
      <c r="C14" s="402"/>
      <c r="D14" s="19" t="s">
        <v>212</v>
      </c>
      <c r="E14" s="308" t="s">
        <v>17</v>
      </c>
      <c r="F14" s="227" t="s">
        <v>18</v>
      </c>
      <c r="G14" s="169" t="s">
        <v>19</v>
      </c>
      <c r="H14" s="170" t="s">
        <v>20</v>
      </c>
      <c r="I14" s="171" t="s">
        <v>21</v>
      </c>
      <c r="K14" s="1072"/>
      <c r="L14" s="19" t="s">
        <v>23</v>
      </c>
      <c r="M14" s="300" t="s">
        <v>17</v>
      </c>
      <c r="N14" s="328" t="s">
        <v>18</v>
      </c>
      <c r="O14" s="90" t="s">
        <v>19</v>
      </c>
      <c r="P14" s="175" t="s">
        <v>20</v>
      </c>
      <c r="Q14" s="176" t="s">
        <v>21</v>
      </c>
    </row>
    <row r="15" spans="1:28" ht="15.75" thickBot="1" x14ac:dyDescent="0.3">
      <c r="B15" s="1072"/>
      <c r="C15" s="403"/>
      <c r="D15" s="230" t="s">
        <v>177</v>
      </c>
      <c r="E15" s="1087" t="b">
        <f>'Table 2 -B -Outcome Analysis '!G14</f>
        <v>0</v>
      </c>
      <c r="F15" s="1087"/>
      <c r="G15" s="428" t="b">
        <f>'Table 2 -B -Outcome Analysis '!I14</f>
        <v>0</v>
      </c>
      <c r="H15" s="1087" t="b">
        <f>'Table 2 -B -Outcome Analysis '!J14</f>
        <v>0</v>
      </c>
      <c r="I15" s="1087"/>
      <c r="K15" s="1072"/>
      <c r="L15" s="93"/>
      <c r="M15" s="1095"/>
      <c r="N15" s="1096"/>
      <c r="O15" s="327"/>
      <c r="P15" s="95"/>
      <c r="Q15" s="96"/>
    </row>
    <row r="16" spans="1:28" ht="15.75" thickBot="1" x14ac:dyDescent="0.3">
      <c r="B16" s="1072"/>
      <c r="C16" s="403"/>
      <c r="D16" s="230" t="s">
        <v>3</v>
      </c>
      <c r="E16" s="428" t="b">
        <f>'Table 2 -B -Outcome Analysis '!G15</f>
        <v>0</v>
      </c>
      <c r="F16" s="428" t="b">
        <f>'Table 2 -B -Outcome Analysis '!H15</f>
        <v>0</v>
      </c>
      <c r="G16" s="428" t="b">
        <f>'Table 2 -B -Outcome Analysis '!I15</f>
        <v>0</v>
      </c>
      <c r="H16" s="428" t="b">
        <f>'Table 2 -B -Outcome Analysis '!J15</f>
        <v>0</v>
      </c>
      <c r="I16" s="428" t="b">
        <f>'Table 2 -B -Outcome Analysis '!K15</f>
        <v>0</v>
      </c>
      <c r="K16" s="1072"/>
      <c r="L16" s="93"/>
      <c r="M16" s="94"/>
      <c r="N16" s="94"/>
      <c r="O16" s="94"/>
      <c r="P16" s="95"/>
      <c r="Q16" s="96"/>
    </row>
    <row r="17" spans="1:18" ht="15.75" thickBot="1" x14ac:dyDescent="0.3">
      <c r="B17" s="1072"/>
      <c r="C17" s="403"/>
      <c r="D17" s="230" t="s">
        <v>4</v>
      </c>
      <c r="E17" s="428" t="b">
        <f>'Table 2 -B -Outcome Analysis '!G16</f>
        <v>0</v>
      </c>
      <c r="F17" s="428" t="b">
        <f>'Table 2 -B -Outcome Analysis '!H16</f>
        <v>0</v>
      </c>
      <c r="G17" s="428" t="b">
        <f>'Table 2 -B -Outcome Analysis '!I16</f>
        <v>0</v>
      </c>
      <c r="H17" s="428" t="b">
        <f>'Table 2 -B -Outcome Analysis '!J16</f>
        <v>0</v>
      </c>
      <c r="I17" s="428" t="b">
        <f>'Table 2 -B -Outcome Analysis '!K16</f>
        <v>0</v>
      </c>
      <c r="K17" s="1072"/>
      <c r="L17" s="93"/>
      <c r="M17" s="94"/>
      <c r="N17" s="94"/>
      <c r="O17" s="94"/>
      <c r="P17" s="94"/>
      <c r="Q17" s="96"/>
    </row>
    <row r="18" spans="1:18" ht="15.75" thickBot="1" x14ac:dyDescent="0.3">
      <c r="B18" s="1072"/>
      <c r="C18" s="403"/>
      <c r="D18" s="230" t="s">
        <v>5</v>
      </c>
      <c r="E18" s="428" t="b">
        <f>'Table 2 -B -Outcome Analysis '!G17</f>
        <v>0</v>
      </c>
      <c r="F18" s="428" t="b">
        <f>'Table 2 -B -Outcome Analysis '!H17</f>
        <v>0</v>
      </c>
      <c r="G18" s="1078" t="b">
        <f>'Table 2 -B -Outcome Analysis '!I17</f>
        <v>0</v>
      </c>
      <c r="H18" s="1079"/>
      <c r="I18" s="1080"/>
      <c r="K18" s="1072"/>
      <c r="L18" s="93"/>
      <c r="M18" s="94"/>
      <c r="N18" s="94"/>
      <c r="O18" s="1074"/>
      <c r="P18" s="1075"/>
      <c r="Q18" s="1076"/>
    </row>
    <row r="19" spans="1:18" ht="7.5" customHeight="1" thickBot="1" x14ac:dyDescent="0.3">
      <c r="B19" s="1072"/>
      <c r="C19" s="403"/>
      <c r="D19" s="346"/>
      <c r="E19" s="347"/>
      <c r="F19" s="347"/>
      <c r="G19" s="347"/>
      <c r="H19" s="348"/>
      <c r="I19" s="349"/>
      <c r="K19" s="1072"/>
      <c r="L19" s="350"/>
      <c r="M19" s="351"/>
      <c r="N19" s="351"/>
      <c r="O19" s="351"/>
      <c r="P19" s="352"/>
      <c r="Q19" s="353"/>
    </row>
    <row r="20" spans="1:18" ht="15.75" thickBot="1" x14ac:dyDescent="0.3">
      <c r="B20" s="1072"/>
      <c r="C20" s="403"/>
      <c r="D20" s="230" t="s">
        <v>6</v>
      </c>
      <c r="E20" s="319" t="s">
        <v>8</v>
      </c>
      <c r="F20" s="319" t="s">
        <v>59</v>
      </c>
      <c r="G20" s="319" t="s">
        <v>7</v>
      </c>
      <c r="H20" s="319" t="s">
        <v>60</v>
      </c>
      <c r="I20" s="412"/>
      <c r="K20" s="1072"/>
      <c r="L20" s="93" t="s">
        <v>6</v>
      </c>
      <c r="M20" s="319" t="s">
        <v>8</v>
      </c>
      <c r="N20" s="319" t="s">
        <v>59</v>
      </c>
      <c r="O20" s="319" t="s">
        <v>7</v>
      </c>
      <c r="P20" s="319" t="s">
        <v>60</v>
      </c>
      <c r="Q20" s="415"/>
    </row>
    <row r="21" spans="1:18" ht="15.75" thickBot="1" x14ac:dyDescent="0.3">
      <c r="B21" s="1072"/>
      <c r="C21" s="402"/>
      <c r="D21" s="93" t="s">
        <v>33</v>
      </c>
      <c r="E21" s="375" t="b">
        <f>'Table 2 -B -Outcome Analysis '!C19</f>
        <v>0</v>
      </c>
      <c r="F21" s="375" t="b">
        <f>'Table 2 -B -Outcome Analysis '!D19</f>
        <v>0</v>
      </c>
      <c r="G21" s="375" t="b">
        <f>'Table 2 -B -Outcome Analysis '!E19</f>
        <v>0</v>
      </c>
      <c r="H21" s="375" t="b">
        <f>'Table 2 -B -Outcome Analysis '!F19</f>
        <v>0</v>
      </c>
      <c r="I21" s="413"/>
      <c r="K21" s="1072"/>
      <c r="L21" s="93" t="s">
        <v>33</v>
      </c>
      <c r="M21" s="376" t="b">
        <f>'Table 2 -B -Outcome Analysis '!N19</f>
        <v>0</v>
      </c>
      <c r="N21" s="376" t="b">
        <f>'Table 2 -B -Outcome Analysis '!O19</f>
        <v>0</v>
      </c>
      <c r="O21" s="376" t="b">
        <f>'Table 2 -B -Outcome Analysis '!P19</f>
        <v>0</v>
      </c>
      <c r="P21" s="376" t="b">
        <f>'Table 2 -B -Outcome Analysis '!Q19</f>
        <v>0</v>
      </c>
      <c r="Q21" s="416"/>
    </row>
    <row r="22" spans="1:18" ht="15.75" thickBot="1" x14ac:dyDescent="0.3">
      <c r="B22" s="1072"/>
      <c r="C22" s="402"/>
      <c r="D22" s="93" t="s">
        <v>34</v>
      </c>
      <c r="E22" s="375" t="b">
        <f>'Table 2 -B -Outcome Analysis '!C20</f>
        <v>0</v>
      </c>
      <c r="F22" s="375" t="b">
        <f>'Table 2 -B -Outcome Analysis '!D20</f>
        <v>0</v>
      </c>
      <c r="G22" s="375" t="b">
        <f>'Table 2 -B -Outcome Analysis '!E20</f>
        <v>0</v>
      </c>
      <c r="H22" s="375" t="b">
        <f>'Table 2 -B -Outcome Analysis '!F20</f>
        <v>0</v>
      </c>
      <c r="I22" s="413"/>
      <c r="K22" s="1072"/>
      <c r="L22" s="93" t="s">
        <v>34</v>
      </c>
      <c r="M22" s="376" t="b">
        <f>'Table 2 -B -Outcome Analysis '!N20</f>
        <v>0</v>
      </c>
      <c r="N22" s="376" t="b">
        <f>'Table 2 -B -Outcome Analysis '!O20</f>
        <v>0</v>
      </c>
      <c r="O22" s="376" t="b">
        <f>'Table 2 -B -Outcome Analysis '!P20</f>
        <v>0</v>
      </c>
      <c r="P22" s="376" t="b">
        <f>'Table 2 -B -Outcome Analysis '!Q20</f>
        <v>0</v>
      </c>
      <c r="Q22" s="416"/>
    </row>
    <row r="23" spans="1:18" ht="15.75" thickBot="1" x14ac:dyDescent="0.3">
      <c r="B23" s="1072"/>
      <c r="C23" s="402"/>
      <c r="D23" s="93" t="s">
        <v>35</v>
      </c>
      <c r="E23" s="375" t="b">
        <f>'Table 2 -B -Outcome Analysis '!C21</f>
        <v>0</v>
      </c>
      <c r="F23" s="375" t="b">
        <f>'Table 2 -B -Outcome Analysis '!D21</f>
        <v>0</v>
      </c>
      <c r="G23" s="375" t="b">
        <f>'Table 2 -B -Outcome Analysis '!E21</f>
        <v>0</v>
      </c>
      <c r="H23" s="375" t="b">
        <f>'Table 2 -B -Outcome Analysis '!F21</f>
        <v>0</v>
      </c>
      <c r="I23" s="413"/>
      <c r="K23" s="1072"/>
      <c r="L23" s="93" t="s">
        <v>35</v>
      </c>
      <c r="M23" s="376" t="b">
        <f>'Table 2 -B -Outcome Analysis '!N21</f>
        <v>0</v>
      </c>
      <c r="N23" s="376" t="b">
        <f>'Table 2 -B -Outcome Analysis '!O21</f>
        <v>0</v>
      </c>
      <c r="O23" s="376" t="b">
        <f>'Table 2 -B -Outcome Analysis '!P21</f>
        <v>0</v>
      </c>
      <c r="P23" s="376" t="b">
        <f>'Table 2 -B -Outcome Analysis '!Q21</f>
        <v>0</v>
      </c>
      <c r="Q23" s="416"/>
    </row>
    <row r="24" spans="1:18" ht="15.75" thickBot="1" x14ac:dyDescent="0.3">
      <c r="A24" t="s">
        <v>63</v>
      </c>
      <c r="B24" s="1072"/>
      <c r="C24" s="402"/>
      <c r="D24" s="97" t="s">
        <v>36</v>
      </c>
      <c r="E24" s="375" t="b">
        <f>'Table 2 -B -Outcome Analysis '!C22</f>
        <v>0</v>
      </c>
      <c r="F24" s="375" t="b">
        <f>'Table 2 -B -Outcome Analysis '!D22</f>
        <v>0</v>
      </c>
      <c r="G24" s="375" t="b">
        <f>'Table 2 -B -Outcome Analysis '!E22</f>
        <v>0</v>
      </c>
      <c r="H24" s="375" t="b">
        <f>'Table 2 -B -Outcome Analysis '!F22</f>
        <v>0</v>
      </c>
      <c r="I24" s="414"/>
      <c r="K24" s="1072"/>
      <c r="L24" s="97" t="s">
        <v>36</v>
      </c>
      <c r="M24" s="376" t="b">
        <f>'Table 2 -B -Outcome Analysis '!N22</f>
        <v>0</v>
      </c>
      <c r="N24" s="376" t="b">
        <f>'Table 2 -B -Outcome Analysis '!O22</f>
        <v>0</v>
      </c>
      <c r="O24" s="376" t="b">
        <f>'Table 2 -B -Outcome Analysis '!P22</f>
        <v>0</v>
      </c>
      <c r="P24" s="376" t="b">
        <f>'Table 2 -B -Outcome Analysis '!Q22</f>
        <v>0</v>
      </c>
      <c r="Q24" s="417"/>
    </row>
    <row r="25" spans="1:18" ht="15.75" thickBot="1" x14ac:dyDescent="0.3">
      <c r="B25" s="1072"/>
      <c r="C25" s="403"/>
      <c r="D25" s="795"/>
      <c r="E25" s="1077"/>
      <c r="F25" s="1077"/>
      <c r="G25" s="1077"/>
      <c r="H25" s="1077"/>
      <c r="I25" s="1077"/>
      <c r="K25" s="1072"/>
      <c r="L25" s="795"/>
      <c r="M25" s="796"/>
      <c r="N25" s="796"/>
      <c r="O25" s="796"/>
      <c r="P25" s="796"/>
      <c r="Q25" s="796"/>
    </row>
    <row r="26" spans="1:18" ht="15.75" thickBot="1" x14ac:dyDescent="0.3">
      <c r="B26" s="1091"/>
      <c r="C26" s="403"/>
      <c r="D26" s="345"/>
      <c r="E26" s="308" t="s">
        <v>17</v>
      </c>
      <c r="F26" s="227" t="s">
        <v>18</v>
      </c>
      <c r="G26" s="169" t="s">
        <v>19</v>
      </c>
      <c r="H26" s="170" t="s">
        <v>20</v>
      </c>
      <c r="I26" s="171" t="s">
        <v>21</v>
      </c>
      <c r="K26" s="1091"/>
      <c r="L26" s="18"/>
      <c r="M26" s="300" t="s">
        <v>17</v>
      </c>
      <c r="N26" s="328" t="s">
        <v>18</v>
      </c>
      <c r="O26" s="90" t="s">
        <v>19</v>
      </c>
      <c r="P26" s="175" t="s">
        <v>20</v>
      </c>
      <c r="Q26" s="176" t="s">
        <v>21</v>
      </c>
    </row>
    <row r="27" spans="1:18" ht="42" customHeight="1" thickBot="1" x14ac:dyDescent="0.3">
      <c r="B27" s="1091"/>
      <c r="C27" s="403"/>
      <c r="D27" s="424" t="s">
        <v>245</v>
      </c>
      <c r="E27" s="382">
        <f>'Table 2 -B -Outcome Analysis '!G34</f>
        <v>0</v>
      </c>
      <c r="F27" s="382">
        <f>'Table 2 -B -Outcome Analysis '!H34</f>
        <v>0</v>
      </c>
      <c r="G27" s="382">
        <f>'Table 2 -B -Outcome Analysis '!I34</f>
        <v>0</v>
      </c>
      <c r="H27" s="382">
        <f>'Table 2 -B -Outcome Analysis '!J34</f>
        <v>0</v>
      </c>
      <c r="I27" s="382">
        <f>'Table 2 -B -Outcome Analysis '!K34</f>
        <v>0</v>
      </c>
      <c r="K27" s="1091"/>
      <c r="L27" s="233" t="s">
        <v>245</v>
      </c>
      <c r="M27" s="382">
        <f>'Table 2 -B -Outcome Analysis '!O34</f>
        <v>0</v>
      </c>
      <c r="N27" s="382">
        <f>'Table 2 -B -Outcome Analysis '!S34</f>
        <v>0</v>
      </c>
      <c r="O27" s="382">
        <f>'Table 2 -B -Outcome Analysis '!T34</f>
        <v>0</v>
      </c>
      <c r="P27" s="382">
        <f>'Table 2 -B -Outcome Analysis '!U34</f>
        <v>0</v>
      </c>
      <c r="Q27" s="382">
        <f>'Table 2 -B -Outcome Analysis '!V34</f>
        <v>0</v>
      </c>
    </row>
    <row r="28" spans="1:18" ht="15.75" thickBot="1" x14ac:dyDescent="0.3">
      <c r="B28" s="1092"/>
      <c r="C28" s="403"/>
      <c r="D28" s="421" t="s">
        <v>244</v>
      </c>
      <c r="E28" s="338">
        <f>1-SUM(F28:I28)</f>
        <v>1</v>
      </c>
      <c r="F28" s="422"/>
      <c r="G28" s="422"/>
      <c r="H28" s="422"/>
      <c r="I28" s="423"/>
      <c r="K28" s="1092"/>
      <c r="L28" s="421" t="s">
        <v>244</v>
      </c>
      <c r="M28" s="326">
        <f>1-SUM(N28:Q28)</f>
        <v>1</v>
      </c>
      <c r="N28" s="318"/>
      <c r="O28" s="318"/>
      <c r="P28" s="318"/>
      <c r="Q28" s="318"/>
      <c r="R28" t="str">
        <f>IF(SUM(M28:Q28)=1,"OK","Erreur")</f>
        <v>OK</v>
      </c>
    </row>
    <row r="29" spans="1:18" ht="15.75" thickBot="1" x14ac:dyDescent="0.3">
      <c r="B29" s="98"/>
      <c r="C29" s="98"/>
      <c r="D29" s="22"/>
      <c r="E29" s="333"/>
      <c r="F29" s="333"/>
      <c r="G29" s="333"/>
      <c r="H29" s="333"/>
      <c r="I29" s="334"/>
      <c r="K29" s="98"/>
      <c r="L29" s="22"/>
      <c r="M29" s="23"/>
      <c r="N29" s="23"/>
      <c r="O29" s="23"/>
      <c r="P29" s="23"/>
      <c r="Q29" s="234"/>
    </row>
    <row r="30" spans="1:18" ht="15.75" customHeight="1" thickBot="1" x14ac:dyDescent="0.3">
      <c r="B30" s="1081" t="s">
        <v>242</v>
      </c>
      <c r="C30" s="404"/>
      <c r="D30" s="795" t="s">
        <v>246</v>
      </c>
      <c r="E30" s="796"/>
      <c r="F30" s="796"/>
      <c r="G30" s="796"/>
      <c r="H30" s="796"/>
      <c r="I30" s="1071"/>
      <c r="K30" s="1081" t="s">
        <v>242</v>
      </c>
      <c r="L30" s="795" t="s">
        <v>246</v>
      </c>
      <c r="M30" s="796"/>
      <c r="N30" s="796"/>
      <c r="O30" s="796"/>
      <c r="P30" s="796"/>
      <c r="Q30" s="1071"/>
    </row>
    <row r="31" spans="1:18" ht="15.75" thickBot="1" x14ac:dyDescent="0.3">
      <c r="B31" s="1082"/>
      <c r="C31" s="405"/>
      <c r="D31" s="815" t="s">
        <v>251</v>
      </c>
      <c r="E31" s="816"/>
      <c r="F31" s="816"/>
      <c r="G31" s="816"/>
      <c r="H31" s="816"/>
      <c r="I31" s="816"/>
      <c r="K31" s="1082"/>
      <c r="L31" s="829" t="s">
        <v>251</v>
      </c>
      <c r="M31" s="830"/>
      <c r="N31" s="830"/>
      <c r="O31" s="830"/>
      <c r="P31" s="830"/>
      <c r="Q31" s="830"/>
    </row>
    <row r="32" spans="1:18" ht="15.75" thickBot="1" x14ac:dyDescent="0.3">
      <c r="B32" s="1082"/>
      <c r="C32" s="406"/>
      <c r="D32" s="335" t="s">
        <v>212</v>
      </c>
      <c r="E32" s="323" t="s">
        <v>17</v>
      </c>
      <c r="F32" s="324" t="s">
        <v>18</v>
      </c>
      <c r="G32" s="272" t="s">
        <v>19</v>
      </c>
      <c r="H32" s="273" t="s">
        <v>20</v>
      </c>
      <c r="I32" s="274" t="s">
        <v>21</v>
      </c>
      <c r="K32" s="1082"/>
      <c r="L32" s="19" t="s">
        <v>212</v>
      </c>
      <c r="M32" s="308" t="s">
        <v>17</v>
      </c>
      <c r="N32" s="227" t="s">
        <v>18</v>
      </c>
      <c r="O32" s="169" t="s">
        <v>19</v>
      </c>
      <c r="P32" s="170" t="s">
        <v>20</v>
      </c>
      <c r="Q32" s="29" t="s">
        <v>21</v>
      </c>
    </row>
    <row r="33" spans="2:17" ht="27" customHeight="1" thickBot="1" x14ac:dyDescent="0.3">
      <c r="B33" s="1082"/>
      <c r="C33" s="406"/>
      <c r="D33" s="68" t="s">
        <v>247</v>
      </c>
      <c r="E33" s="427" t="b">
        <f>'Table 2 -B -Outcome Analysis '!G39</f>
        <v>0</v>
      </c>
      <c r="F33" s="426" t="b">
        <f>'Table 2 -B -Outcome Analysis '!H39</f>
        <v>0</v>
      </c>
      <c r="G33" s="426" t="b">
        <f>'Table 2 -B -Outcome Analysis '!I39</f>
        <v>0</v>
      </c>
      <c r="H33" s="426" t="b">
        <f>'Table 2 -B -Outcome Analysis '!J39</f>
        <v>0</v>
      </c>
      <c r="I33" s="226"/>
      <c r="K33" s="1082"/>
      <c r="L33" s="68" t="s">
        <v>247</v>
      </c>
      <c r="M33" s="382">
        <f>'Table 2 -B -Outcome Analysis '!O49</f>
        <v>0</v>
      </c>
      <c r="N33" s="382">
        <f>'Table 2 -B -Outcome Analysis '!S49</f>
        <v>0</v>
      </c>
      <c r="O33" s="382">
        <f>'Table 2 -B -Outcome Analysis '!T49</f>
        <v>0</v>
      </c>
      <c r="P33" s="382">
        <f>'Table 2 -B -Outcome Analysis '!U49</f>
        <v>0</v>
      </c>
      <c r="Q33" s="378"/>
    </row>
    <row r="34" spans="2:17" ht="15.75" thickBot="1" x14ac:dyDescent="0.3">
      <c r="B34" s="295"/>
      <c r="C34" s="407"/>
      <c r="D34" s="22"/>
      <c r="E34" s="333"/>
      <c r="F34" s="333"/>
      <c r="G34" s="333"/>
      <c r="H34" s="333"/>
      <c r="I34" s="334"/>
      <c r="K34" s="295"/>
      <c r="L34" s="22"/>
      <c r="M34" s="24"/>
      <c r="N34" s="24"/>
      <c r="O34" s="24"/>
      <c r="P34" s="24"/>
      <c r="Q34" s="25"/>
    </row>
    <row r="35" spans="2:17" ht="15.75" customHeight="1" thickBot="1" x14ac:dyDescent="0.3">
      <c r="B35" s="1072" t="s">
        <v>140</v>
      </c>
      <c r="C35" s="403"/>
      <c r="D35" s="795" t="s">
        <v>211</v>
      </c>
      <c r="E35" s="796"/>
      <c r="F35" s="796"/>
      <c r="G35" s="796"/>
      <c r="H35" s="796"/>
      <c r="I35" s="1071"/>
      <c r="K35" s="1072" t="s">
        <v>140</v>
      </c>
      <c r="L35" s="795" t="s">
        <v>211</v>
      </c>
      <c r="M35" s="796"/>
      <c r="N35" s="796"/>
      <c r="O35" s="796"/>
      <c r="P35" s="796"/>
      <c r="Q35" s="1071"/>
    </row>
    <row r="36" spans="2:17" ht="15.75" thickBot="1" x14ac:dyDescent="0.3">
      <c r="B36" s="1072"/>
      <c r="C36" s="403"/>
      <c r="D36" s="829" t="s">
        <v>251</v>
      </c>
      <c r="E36" s="830"/>
      <c r="F36" s="830"/>
      <c r="G36" s="830"/>
      <c r="H36" s="830"/>
      <c r="I36" s="830"/>
      <c r="K36" s="1072"/>
      <c r="L36" s="829" t="s">
        <v>251</v>
      </c>
      <c r="M36" s="830"/>
      <c r="N36" s="830"/>
      <c r="O36" s="830"/>
      <c r="P36" s="830"/>
      <c r="Q36" s="830"/>
    </row>
    <row r="37" spans="2:17" ht="15.75" thickBot="1" x14ac:dyDescent="0.3">
      <c r="B37" s="1072"/>
      <c r="C37" s="402"/>
      <c r="D37" s="19" t="s">
        <v>212</v>
      </c>
      <c r="E37" s="308" t="s">
        <v>17</v>
      </c>
      <c r="F37" s="227" t="s">
        <v>18</v>
      </c>
      <c r="G37" s="169" t="s">
        <v>19</v>
      </c>
      <c r="H37" s="170" t="s">
        <v>20</v>
      </c>
      <c r="I37" s="171" t="s">
        <v>21</v>
      </c>
      <c r="K37" s="1072"/>
      <c r="L37" s="19" t="s">
        <v>212</v>
      </c>
      <c r="M37" s="299" t="s">
        <v>17</v>
      </c>
      <c r="N37" s="227" t="s">
        <v>18</v>
      </c>
      <c r="O37" s="44" t="s">
        <v>19</v>
      </c>
      <c r="P37" s="45" t="s">
        <v>20</v>
      </c>
      <c r="Q37" s="46" t="s">
        <v>21</v>
      </c>
    </row>
    <row r="38" spans="2:17" x14ac:dyDescent="0.25">
      <c r="B38" s="1072"/>
      <c r="C38" s="403"/>
      <c r="D38" s="100" t="s">
        <v>216</v>
      </c>
      <c r="E38" s="426" t="str">
        <f>IF('Table 2 -B -Outcome Analysis '!G54=1,'Table 2 -B -Outcome Analysis '!$C$54,"")</f>
        <v/>
      </c>
      <c r="F38" s="426" t="str">
        <f>IF('Table 2 -B -Outcome Analysis '!H54=2,'Table 2 -B -Outcome Analysis '!$C$54,"")</f>
        <v/>
      </c>
      <c r="G38" s="426" t="str">
        <f>IF('Table 2 -B -Outcome Analysis '!I54=3,'Table 2 -B -Outcome Analysis '!$C$54,"")</f>
        <v/>
      </c>
      <c r="H38" s="426" t="str">
        <f>IF('Table 2 -B -Outcome Analysis '!J54=4,'Table 2 -B -Outcome Analysis '!$C$54,"")</f>
        <v/>
      </c>
      <c r="I38" s="426" t="str">
        <f>IF('Table 2 -B -Outcome Analysis '!K54=5,'Table 2 -B -Outcome Analysis '!$C$54,"")</f>
        <v/>
      </c>
      <c r="K38" s="1072"/>
      <c r="L38" s="101"/>
      <c r="M38" s="102"/>
      <c r="N38" s="102"/>
      <c r="O38" s="102"/>
      <c r="P38" s="102"/>
      <c r="Q38" s="102"/>
    </row>
    <row r="39" spans="2:17" x14ac:dyDescent="0.25">
      <c r="B39" s="1072"/>
      <c r="C39" s="402"/>
      <c r="D39" s="103" t="s">
        <v>248</v>
      </c>
      <c r="E39" s="426" t="str">
        <f>IF('Table 2 -B -Outcome Analysis '!G55=1,'Table 2 -B -Outcome Analysis '!$C$55,"")</f>
        <v/>
      </c>
      <c r="F39" s="426" t="str">
        <f>IF('Table 2 -B -Outcome Analysis '!H55=2,'Table 2 -B -Outcome Analysis '!$C$55,"")</f>
        <v/>
      </c>
      <c r="G39" s="426" t="str">
        <f>IF('Table 2 -B -Outcome Analysis '!I55=3,'Table 2 -B -Outcome Analysis '!$C$55,"")</f>
        <v/>
      </c>
      <c r="H39" s="426" t="str">
        <f>IF('Table 2 -B -Outcome Analysis '!J55=4,'Table 2 -B -Outcome Analysis '!$C$55,"")</f>
        <v/>
      </c>
      <c r="I39" s="426" t="str">
        <f>IF('Table 2 -B -Outcome Analysis '!K55=5,'Table 2 -B -Outcome Analysis '!$C$55,"")</f>
        <v/>
      </c>
      <c r="K39" s="1072"/>
      <c r="L39" s="103" t="s">
        <v>248</v>
      </c>
      <c r="M39" s="429" t="str">
        <f>IF('Table 2 -B -Outcome Analysis '!O56=1,'Table 2 -B -Outcome Analysis '!$N$56,"")</f>
        <v/>
      </c>
      <c r="N39" s="429" t="str">
        <f>IF('Table 2 -B -Outcome Analysis '!S56=2,'Table 2 -B -Outcome Analysis '!$N$56,"")</f>
        <v/>
      </c>
      <c r="O39" s="429" t="str">
        <f>IF('Table 2 -B -Outcome Analysis '!T56=3,'Table 2 -B -Outcome Analysis '!$N$56,"")</f>
        <v/>
      </c>
      <c r="P39" s="429" t="str">
        <f>IF('Table 2 -B -Outcome Analysis '!U56=4,'Table 2 -B -Outcome Analysis '!$N$56,"")</f>
        <v/>
      </c>
      <c r="Q39" s="429" t="str">
        <f>IF('Table 2 -B -Outcome Analysis '!V56=5,'Table 2 -B -Outcome Analysis '!$N$56,"")</f>
        <v/>
      </c>
    </row>
    <row r="40" spans="2:17" ht="15.75" thickBot="1" x14ac:dyDescent="0.3">
      <c r="B40" s="1072"/>
      <c r="C40" s="403"/>
      <c r="D40" s="104" t="s">
        <v>160</v>
      </c>
      <c r="E40" s="426" t="str">
        <f>IF('Table 2 -B -Outcome Analysis '!G56=1,'Table 2 -B -Outcome Analysis '!$C$56,"")</f>
        <v/>
      </c>
      <c r="F40" s="426" t="str">
        <f>IF('Table 2 -B -Outcome Analysis '!H56=2,'Table 2 -B -Outcome Analysis '!$C$56,"")</f>
        <v/>
      </c>
      <c r="G40" s="426" t="str">
        <f>IF('Table 2 -B -Outcome Analysis '!I56=3,'Table 2 -B -Outcome Analysis '!$C$56,"")</f>
        <v/>
      </c>
      <c r="H40" s="426" t="str">
        <f>IF('Table 2 -B -Outcome Analysis '!J56=4,'Table 2 -B -Outcome Analysis '!$C$56,"")</f>
        <v/>
      </c>
      <c r="I40" s="426" t="str">
        <f>IF('Table 2 -B -Outcome Analysis '!K56=5,'Table 2 -B -Outcome Analysis '!$C$56,"")</f>
        <v/>
      </c>
      <c r="K40" s="1072"/>
      <c r="L40" s="105"/>
      <c r="M40" s="102"/>
      <c r="N40" s="102"/>
      <c r="O40" s="102"/>
      <c r="P40" s="102"/>
      <c r="Q40" s="102"/>
    </row>
    <row r="41" spans="2:17" ht="15.75" thickBot="1" x14ac:dyDescent="0.3">
      <c r="B41" s="1072"/>
      <c r="C41" s="403"/>
      <c r="D41" s="795" t="s">
        <v>250</v>
      </c>
      <c r="E41" s="1083"/>
      <c r="F41" s="1083"/>
      <c r="G41" s="1083"/>
      <c r="H41" s="1083"/>
      <c r="I41" s="1084"/>
      <c r="K41" s="1072"/>
      <c r="L41" s="795"/>
      <c r="M41" s="1083"/>
      <c r="N41" s="1083"/>
      <c r="O41" s="1083"/>
      <c r="P41" s="1083"/>
      <c r="Q41" s="1084"/>
    </row>
    <row r="42" spans="2:17" ht="23.25" thickBot="1" x14ac:dyDescent="0.3">
      <c r="B42" s="1072"/>
      <c r="C42" s="403"/>
      <c r="D42" s="106" t="s">
        <v>10</v>
      </c>
      <c r="E42" s="210" t="str">
        <f>IF('Table 2 -B -Outcome Analysis '!G58=1,'Table 2 -B -Outcome Analysis '!$C$58,"")</f>
        <v/>
      </c>
      <c r="F42" s="210" t="str">
        <f>IF('Table 2 -B -Outcome Analysis '!H58=2,'Table 2 -B -Outcome Analysis '!$C$58,"")</f>
        <v/>
      </c>
      <c r="G42" s="210" t="str">
        <f>IF('Table 2 -B -Outcome Analysis '!I58=3,'Table 2 -B -Outcome Analysis '!$C$58,"")</f>
        <v/>
      </c>
      <c r="H42" s="210" t="str">
        <f>IF('Table 2 -B -Outcome Analysis '!J58=4,'Table 2 -B -Outcome Analysis '!$C$58,"")</f>
        <v/>
      </c>
      <c r="I42" s="210" t="str">
        <f>IF('Table 2 -B -Outcome Analysis '!K58=5,'Table 2 -B -Outcome Analysis '!$C$58,"")</f>
        <v/>
      </c>
      <c r="K42" s="1072"/>
      <c r="L42" s="99" t="s">
        <v>38</v>
      </c>
      <c r="M42" s="382">
        <f>'Table 2 -B -Outcome Analysis '!O68</f>
        <v>0</v>
      </c>
      <c r="N42" s="382">
        <f>'Table 2 -B -Outcome Analysis '!S68</f>
        <v>0</v>
      </c>
      <c r="O42" s="382">
        <f>'Table 2 -B -Outcome Analysis '!T68</f>
        <v>0</v>
      </c>
      <c r="P42" s="382">
        <f>'Table 2 -B -Outcome Analysis '!U68</f>
        <v>0</v>
      </c>
      <c r="Q42" s="382">
        <f>'Table 2 -B -Outcome Analysis '!V68</f>
        <v>0</v>
      </c>
    </row>
    <row r="43" spans="2:17" ht="15.75" thickBot="1" x14ac:dyDescent="0.3">
      <c r="B43" s="295"/>
      <c r="C43" s="407"/>
      <c r="D43" s="22"/>
      <c r="E43" s="224"/>
      <c r="F43" s="224"/>
      <c r="G43" s="224"/>
      <c r="H43" s="224"/>
      <c r="I43" s="225"/>
      <c r="K43" s="21"/>
      <c r="L43" s="22"/>
      <c r="M43" s="24"/>
      <c r="N43" s="24"/>
      <c r="O43" s="24"/>
      <c r="P43" s="24"/>
      <c r="Q43" s="25"/>
    </row>
    <row r="44" spans="2:17" ht="15.75" customHeight="1" thickBot="1" x14ac:dyDescent="0.3">
      <c r="B44" s="1072" t="s">
        <v>141</v>
      </c>
      <c r="C44" s="403"/>
      <c r="D44" s="795" t="s">
        <v>249</v>
      </c>
      <c r="E44" s="796"/>
      <c r="F44" s="796"/>
      <c r="G44" s="796"/>
      <c r="H44" s="796"/>
      <c r="I44" s="1071"/>
      <c r="K44" s="1072" t="s">
        <v>141</v>
      </c>
      <c r="L44" s="795" t="s">
        <v>249</v>
      </c>
      <c r="M44" s="796"/>
      <c r="N44" s="796"/>
      <c r="O44" s="796"/>
      <c r="P44" s="796"/>
      <c r="Q44" s="1071"/>
    </row>
    <row r="45" spans="2:17" ht="15.75" thickBot="1" x14ac:dyDescent="0.3">
      <c r="B45" s="1072"/>
      <c r="C45" s="403"/>
      <c r="D45" s="829" t="s">
        <v>251</v>
      </c>
      <c r="E45" s="830"/>
      <c r="F45" s="830"/>
      <c r="G45" s="830"/>
      <c r="H45" s="830"/>
      <c r="I45" s="889"/>
      <c r="K45" s="1072"/>
      <c r="L45" s="829" t="s">
        <v>251</v>
      </c>
      <c r="M45" s="830"/>
      <c r="N45" s="830"/>
      <c r="O45" s="830"/>
      <c r="P45" s="830"/>
      <c r="Q45" s="889"/>
    </row>
    <row r="46" spans="2:17" ht="15.75" thickBot="1" x14ac:dyDescent="0.3">
      <c r="B46" s="1072"/>
      <c r="C46" s="402"/>
      <c r="D46" s="19" t="s">
        <v>212</v>
      </c>
      <c r="E46" s="308" t="s">
        <v>17</v>
      </c>
      <c r="F46" s="227" t="s">
        <v>18</v>
      </c>
      <c r="G46" s="169" t="s">
        <v>19</v>
      </c>
      <c r="H46" s="170" t="s">
        <v>20</v>
      </c>
      <c r="I46" s="171" t="s">
        <v>21</v>
      </c>
      <c r="K46" s="1072"/>
      <c r="L46" s="19" t="s">
        <v>212</v>
      </c>
      <c r="M46" s="299" t="s">
        <v>17</v>
      </c>
      <c r="N46" s="227" t="s">
        <v>18</v>
      </c>
      <c r="O46" s="44" t="s">
        <v>19</v>
      </c>
      <c r="P46" s="45" t="s">
        <v>20</v>
      </c>
      <c r="Q46" s="46" t="s">
        <v>21</v>
      </c>
    </row>
    <row r="47" spans="2:17" ht="23.25" thickBot="1" x14ac:dyDescent="0.3">
      <c r="B47" s="1072"/>
      <c r="C47" s="403"/>
      <c r="D47" s="107" t="s">
        <v>11</v>
      </c>
      <c r="E47" s="425" t="str">
        <f>IF('Table 2 -B -Outcome Analysis '!G73=1,'Table 2 -B -Outcome Analysis '!$C$73,"")</f>
        <v/>
      </c>
      <c r="F47" s="425" t="str">
        <f>IF('Table 2 -B -Outcome Analysis '!H73=2,'Table 2 -B -Outcome Analysis '!$C$73,"")</f>
        <v/>
      </c>
      <c r="G47" s="425" t="str">
        <f>IF('Table 2 -B -Outcome Analysis '!I73=3,'Table 2 -B -Outcome Analysis '!$C$73,"")</f>
        <v/>
      </c>
      <c r="H47" s="425" t="str">
        <f>IF('Table 2 -B -Outcome Analysis '!J73=4,'Table 2 -B -Outcome Analysis '!$C$73,"")</f>
        <v/>
      </c>
      <c r="I47" s="425" t="str">
        <f>IF('Table 2 -B -Outcome Analysis '!K73=5,'Table 2 -B -Outcome Analysis '!$C$73,"")</f>
        <v/>
      </c>
      <c r="K47" s="1072"/>
      <c r="L47" s="99" t="s">
        <v>38</v>
      </c>
      <c r="M47" s="382">
        <f>'Table 2 -B -Outcome Analysis '!O84</f>
        <v>0</v>
      </c>
      <c r="N47" s="382">
        <f>'Table 2 -B -Outcome Analysis '!S84</f>
        <v>0</v>
      </c>
      <c r="O47" s="382">
        <f>'Table 2 -B -Outcome Analysis '!T84</f>
        <v>0</v>
      </c>
      <c r="P47" s="382">
        <f>'Table 2 -B -Outcome Analysis '!U84</f>
        <v>0</v>
      </c>
      <c r="Q47" s="382">
        <f>'Table 2 -B -Outcome Analysis '!V84</f>
        <v>0</v>
      </c>
    </row>
    <row r="48" spans="2:17" ht="15.75" thickBot="1" x14ac:dyDescent="0.3">
      <c r="B48" s="1073"/>
      <c r="C48" s="403"/>
      <c r="D48" s="107" t="s">
        <v>12</v>
      </c>
      <c r="E48" s="425" t="str">
        <f>IF('Table 2 -B -Outcome Analysis '!G74=1,'Table 2 -B -Outcome Analysis '!$C$74,"")</f>
        <v/>
      </c>
      <c r="F48" s="425" t="str">
        <f>IF('Table 2 -B -Outcome Analysis '!H74=2,'Table 2 -B -Outcome Analysis '!$C$74,"")</f>
        <v/>
      </c>
      <c r="G48" s="425" t="str">
        <f>IF('Table 2 -B -Outcome Analysis '!I74=3,'Table 2 -B -Outcome Analysis '!$C$74,"")</f>
        <v/>
      </c>
      <c r="H48" s="425" t="str">
        <f>IF('Table 2 -B -Outcome Analysis '!J74=4,'Table 2 -B -Outcome Analysis '!$C$74,"")</f>
        <v/>
      </c>
      <c r="I48" s="425" t="str">
        <f>IF('Table 2 -B -Outcome Analysis '!K74=5,'Table 2 -B -Outcome Analysis '!$C$74,"")</f>
        <v/>
      </c>
      <c r="K48" s="1073"/>
      <c r="L48" s="108"/>
      <c r="M48" s="109"/>
      <c r="N48" s="109"/>
      <c r="O48" s="109"/>
      <c r="P48" s="109"/>
      <c r="Q48" s="109"/>
    </row>
    <row r="49" spans="1:28" ht="15.75" thickBot="1" x14ac:dyDescent="0.3">
      <c r="B49" s="21"/>
      <c r="C49" s="21"/>
      <c r="D49" s="110"/>
      <c r="E49" s="228"/>
      <c r="F49" s="228"/>
      <c r="G49" s="228"/>
      <c r="H49" s="228"/>
      <c r="I49" s="228"/>
      <c r="K49" s="21"/>
      <c r="L49" s="110"/>
      <c r="M49" s="110"/>
      <c r="N49" s="110"/>
      <c r="O49" s="110"/>
      <c r="P49" s="110"/>
      <c r="Q49" s="110"/>
    </row>
    <row r="50" spans="1:28" ht="75.95" customHeight="1" thickTop="1" thickBot="1" x14ac:dyDescent="0.3">
      <c r="B50" s="1066" t="s">
        <v>252</v>
      </c>
      <c r="C50" s="1067"/>
      <c r="D50" s="1068"/>
      <c r="E50" s="1017" t="s">
        <v>255</v>
      </c>
      <c r="F50" s="1018"/>
      <c r="G50" s="1018"/>
      <c r="H50" s="1018"/>
      <c r="I50" s="1019"/>
      <c r="K50" s="1066" t="s">
        <v>252</v>
      </c>
      <c r="L50" s="1068"/>
      <c r="M50" s="1069" t="s">
        <v>277</v>
      </c>
      <c r="N50" s="1069"/>
      <c r="O50" s="1069"/>
      <c r="P50" s="1069"/>
      <c r="Q50" s="1070"/>
    </row>
    <row r="51" spans="1:28" ht="56.1" customHeight="1" thickTop="1" thickBot="1" x14ac:dyDescent="0.3">
      <c r="B51" s="1014" t="s">
        <v>126</v>
      </c>
      <c r="C51" s="1015"/>
      <c r="D51" s="1016"/>
      <c r="E51" s="1017" t="s">
        <v>255</v>
      </c>
      <c r="F51" s="1018"/>
      <c r="G51" s="1018"/>
      <c r="H51" s="1018"/>
      <c r="I51" s="1019"/>
      <c r="K51" s="1014" t="s">
        <v>126</v>
      </c>
      <c r="L51" s="1016"/>
      <c r="M51" s="1020" t="s">
        <v>277</v>
      </c>
      <c r="N51" s="1020"/>
      <c r="O51" s="1020"/>
      <c r="P51" s="1020"/>
      <c r="Q51" s="1021"/>
    </row>
    <row r="52" spans="1:28" ht="56.1" customHeight="1" thickTop="1" thickBot="1" x14ac:dyDescent="0.3">
      <c r="B52" s="1014" t="s">
        <v>127</v>
      </c>
      <c r="C52" s="1015"/>
      <c r="D52" s="1016"/>
      <c r="E52" s="1017" t="s">
        <v>255</v>
      </c>
      <c r="F52" s="1018"/>
      <c r="G52" s="1018"/>
      <c r="H52" s="1018"/>
      <c r="I52" s="1019"/>
      <c r="K52" s="1014" t="s">
        <v>127</v>
      </c>
      <c r="L52" s="1016"/>
      <c r="M52" s="1020" t="s">
        <v>277</v>
      </c>
      <c r="N52" s="1020"/>
      <c r="O52" s="1020"/>
      <c r="P52" s="1020"/>
      <c r="Q52" s="1021"/>
    </row>
    <row r="53" spans="1:28" ht="56.1" customHeight="1" thickTop="1" thickBot="1" x14ac:dyDescent="0.3">
      <c r="B53" s="1014" t="s">
        <v>253</v>
      </c>
      <c r="C53" s="1015"/>
      <c r="D53" s="1016"/>
      <c r="E53" s="1017" t="s">
        <v>255</v>
      </c>
      <c r="F53" s="1018"/>
      <c r="G53" s="1018"/>
      <c r="H53" s="1018"/>
      <c r="I53" s="1019"/>
      <c r="K53" s="1014" t="s">
        <v>253</v>
      </c>
      <c r="L53" s="1016"/>
      <c r="M53" s="1020" t="s">
        <v>277</v>
      </c>
      <c r="N53" s="1020"/>
      <c r="O53" s="1020"/>
      <c r="P53" s="1020"/>
      <c r="Q53" s="1021"/>
    </row>
    <row r="54" spans="1:28" ht="56.1" customHeight="1" thickTop="1" thickBot="1" x14ac:dyDescent="0.3">
      <c r="B54" s="1014" t="s">
        <v>129</v>
      </c>
      <c r="C54" s="1015"/>
      <c r="D54" s="1016"/>
      <c r="E54" s="1017" t="s">
        <v>255</v>
      </c>
      <c r="F54" s="1018"/>
      <c r="G54" s="1018"/>
      <c r="H54" s="1018"/>
      <c r="I54" s="1019"/>
      <c r="K54" s="1062" t="s">
        <v>129</v>
      </c>
      <c r="L54" s="1063"/>
      <c r="M54" s="1064" t="s">
        <v>277</v>
      </c>
      <c r="N54" s="1064"/>
      <c r="O54" s="1064"/>
      <c r="P54" s="1064"/>
      <c r="Q54" s="1065"/>
    </row>
    <row r="55" spans="1:28" ht="29.25" customHeight="1" thickBot="1" x14ac:dyDescent="0.3">
      <c r="B55" s="1057" t="s">
        <v>254</v>
      </c>
      <c r="C55" s="1061"/>
      <c r="D55" s="1058"/>
      <c r="E55" s="377" t="str">
        <f>IF('Table 3 - Synthesis &amp; Classif'!$AM$15=1,'Table 3 - Synthesis &amp; Classif'!$AM$15,"")</f>
        <v/>
      </c>
      <c r="F55" s="379" t="str">
        <f>IF('Table 3 - Synthesis &amp; Classif'!$AM$15=2,'Table 3 - Synthesis &amp; Classif'!$AM$15,"")</f>
        <v/>
      </c>
      <c r="G55" s="379" t="str">
        <f>IF('Table 3 - Synthesis &amp; Classif'!$AM$15=3,'Table 3 - Synthesis &amp; Classif'!$AM$15,"")</f>
        <v/>
      </c>
      <c r="H55" s="379" t="str">
        <f>IF('Table 3 - Synthesis &amp; Classif'!$AM$15=4,'Table 3 - Synthesis &amp; Classif'!$AM$15,"")</f>
        <v/>
      </c>
      <c r="I55" s="380" t="str">
        <f>IF('Table 3 - Synthesis &amp; Classif'!$AM$15=5,'Table 3 - Synthesis &amp; Classif'!$AM$15,"")</f>
        <v/>
      </c>
      <c r="J55" t="str">
        <f>IF(SUM(E56:I56)=1,"OK","Erreur")</f>
        <v>OK</v>
      </c>
      <c r="K55" s="1057" t="s">
        <v>256</v>
      </c>
      <c r="L55" s="1058"/>
      <c r="M55" s="379" t="str">
        <f>IF('Table 3 - Synthesis &amp; Classif'!$AM$40=1,'Table 3 - Synthesis &amp; Classif'!$AM$40,"")</f>
        <v/>
      </c>
      <c r="N55" s="379" t="str">
        <f>IF('Table 3 - Synthesis &amp; Classif'!$AM$40=2,'Table 3 - Synthesis &amp; Classif'!$AM$40,"")</f>
        <v/>
      </c>
      <c r="O55" s="379" t="str">
        <f>IF('Table 3 - Synthesis &amp; Classif'!$AM$40=3,'Table 3 - Synthesis &amp; Classif'!$AM$40,"")</f>
        <v/>
      </c>
      <c r="P55" s="379" t="str">
        <f>IF('Table 3 - Synthesis &amp; Classif'!$AM$40=4,'Table 3 - Synthesis &amp; Classif'!$AM$40,"")</f>
        <v/>
      </c>
      <c r="Q55" s="380" t="str">
        <f>IF('Table 3 - Synthesis &amp; Classif'!$AM$40=5,'Table 3 - Synthesis &amp; Classif'!$AM$40,"")</f>
        <v/>
      </c>
    </row>
    <row r="56" spans="1:28" ht="29.25" customHeight="1" thickBot="1" x14ac:dyDescent="0.3">
      <c r="B56" s="1054" t="s">
        <v>257</v>
      </c>
      <c r="C56" s="1055"/>
      <c r="D56" s="1056"/>
      <c r="E56" s="344">
        <f>1-SUM(F56:I56)</f>
        <v>1</v>
      </c>
      <c r="F56" s="339"/>
      <c r="G56" s="339"/>
      <c r="H56" s="339"/>
      <c r="I56" s="340"/>
      <c r="K56" s="1059" t="s">
        <v>257</v>
      </c>
      <c r="L56" s="1060"/>
      <c r="M56" s="341">
        <f>1-SUM(N56:Q56)</f>
        <v>1</v>
      </c>
      <c r="N56" s="342"/>
      <c r="O56" s="342"/>
      <c r="P56" s="342"/>
      <c r="Q56" s="343"/>
      <c r="R56" t="str">
        <f>IF(SUM(M56:Q56)=1,"OK","Erreur")</f>
        <v>OK</v>
      </c>
    </row>
    <row r="57" spans="1:28" ht="17.25" customHeight="1" x14ac:dyDescent="0.25">
      <c r="D57" s="111"/>
    </row>
    <row r="58" spans="1:28" ht="15.75" thickBot="1" x14ac:dyDescent="0.3"/>
    <row r="59" spans="1:28" ht="26.25" x14ac:dyDescent="0.4">
      <c r="A59" s="539" t="s">
        <v>258</v>
      </c>
      <c r="B59" s="540"/>
      <c r="C59" s="540"/>
      <c r="D59" s="540"/>
      <c r="E59" s="540"/>
      <c r="F59" s="540"/>
      <c r="G59" s="540"/>
      <c r="H59" s="540"/>
      <c r="I59" s="540"/>
      <c r="J59" s="540"/>
      <c r="K59" s="540"/>
      <c r="L59" s="540"/>
      <c r="M59" s="540"/>
      <c r="N59" s="540"/>
      <c r="O59" s="65"/>
      <c r="P59" s="65"/>
      <c r="Q59" s="65"/>
      <c r="R59" s="65"/>
      <c r="S59" s="65"/>
      <c r="T59" s="65"/>
      <c r="U59" s="65"/>
      <c r="V59" s="65"/>
      <c r="W59" s="65"/>
      <c r="X59" s="65"/>
      <c r="Y59" s="65"/>
      <c r="Z59" s="65"/>
      <c r="AA59" s="65"/>
      <c r="AB59" s="65"/>
    </row>
    <row r="60" spans="1:28" ht="15.75" x14ac:dyDescent="0.25">
      <c r="A60" s="58"/>
      <c r="B60" s="112"/>
      <c r="C60" s="112"/>
      <c r="D60" s="112"/>
      <c r="E60" s="223"/>
      <c r="F60" s="223"/>
      <c r="G60" s="223"/>
      <c r="H60" s="223"/>
      <c r="I60" s="223"/>
      <c r="J60" s="113"/>
      <c r="K60" s="114"/>
      <c r="L60" s="114"/>
      <c r="M60" s="114"/>
      <c r="N60" s="114"/>
      <c r="O60" s="65"/>
      <c r="P60" s="65"/>
      <c r="Q60" s="65"/>
      <c r="R60" s="65"/>
      <c r="S60" s="65"/>
      <c r="T60" s="65"/>
      <c r="U60" s="65"/>
      <c r="V60" s="65"/>
      <c r="W60" s="65"/>
      <c r="X60" s="65"/>
      <c r="Y60" s="65"/>
      <c r="Z60" s="65"/>
      <c r="AA60" s="65"/>
      <c r="AB60" s="65"/>
    </row>
    <row r="61" spans="1:28" ht="15.75" x14ac:dyDescent="0.25">
      <c r="A61" s="479" t="s">
        <v>66</v>
      </c>
      <c r="B61" s="116"/>
      <c r="C61" s="116"/>
      <c r="D61" s="208">
        <f>'Table 1-B  Context Analysis'!$C$5</f>
        <v>0</v>
      </c>
      <c r="E61" s="128"/>
      <c r="F61" s="128"/>
      <c r="G61" s="128"/>
      <c r="H61" s="128"/>
      <c r="I61" s="128"/>
      <c r="J61" s="114"/>
      <c r="K61" s="114"/>
      <c r="L61" s="114"/>
      <c r="M61" s="114"/>
      <c r="N61" s="114"/>
      <c r="O61" s="65"/>
      <c r="P61" s="65"/>
      <c r="Q61" s="65"/>
      <c r="R61" s="65"/>
      <c r="S61" s="65"/>
      <c r="T61" s="65"/>
      <c r="U61" s="65"/>
      <c r="V61" s="65"/>
      <c r="W61" s="65"/>
      <c r="X61" s="65"/>
      <c r="Y61" s="65"/>
      <c r="Z61" s="65"/>
      <c r="AA61" s="65"/>
      <c r="AB61" s="65"/>
    </row>
    <row r="62" spans="1:28" ht="15.75" x14ac:dyDescent="0.25">
      <c r="A62" s="479" t="s">
        <v>117</v>
      </c>
      <c r="B62" s="116"/>
      <c r="C62" s="116"/>
      <c r="D62" s="209" t="str">
        <f>'Table 1-B  Context Analysis'!$C$9</f>
        <v/>
      </c>
      <c r="E62" s="128"/>
      <c r="F62" s="128"/>
      <c r="G62" s="128"/>
      <c r="H62" s="128"/>
      <c r="I62" s="128"/>
      <c r="J62" s="114"/>
      <c r="K62" s="114"/>
      <c r="L62" s="114"/>
      <c r="M62" s="114"/>
      <c r="N62" s="114"/>
      <c r="O62" s="65"/>
      <c r="P62" s="65"/>
      <c r="Q62" s="65"/>
      <c r="R62" s="65"/>
      <c r="S62" s="65"/>
      <c r="T62" s="65"/>
      <c r="U62" s="65"/>
      <c r="V62" s="65"/>
      <c r="W62" s="65"/>
      <c r="X62" s="65"/>
      <c r="Y62" s="65"/>
      <c r="Z62" s="65"/>
      <c r="AA62" s="65"/>
      <c r="AB62" s="65"/>
    </row>
    <row r="63" spans="1:28" x14ac:dyDescent="0.25">
      <c r="A63" s="65"/>
      <c r="B63" s="65"/>
      <c r="C63" s="65"/>
      <c r="D63" s="65"/>
      <c r="E63" s="211"/>
      <c r="F63" s="211"/>
      <c r="G63" s="211"/>
      <c r="H63" s="211"/>
      <c r="I63" s="211"/>
      <c r="J63" s="65"/>
      <c r="K63" s="65"/>
      <c r="L63" s="65"/>
      <c r="M63" s="65"/>
      <c r="N63" s="65"/>
      <c r="O63" s="65"/>
      <c r="P63" s="65"/>
      <c r="Q63" s="65"/>
      <c r="R63" s="65"/>
      <c r="S63" s="65"/>
      <c r="T63" s="65"/>
      <c r="U63" s="65"/>
      <c r="V63" s="65"/>
      <c r="W63" s="65"/>
      <c r="X63" s="65"/>
      <c r="Y63" s="65"/>
      <c r="Z63" s="65"/>
      <c r="AA63" s="65"/>
      <c r="AB63" s="65"/>
    </row>
    <row r="64" spans="1:28" x14ac:dyDescent="0.25">
      <c r="A64" s="65"/>
      <c r="B64" s="65"/>
      <c r="C64" s="65"/>
      <c r="D64" s="65"/>
      <c r="E64" s="211"/>
      <c r="F64" s="211"/>
      <c r="G64" s="211"/>
      <c r="H64" s="211"/>
      <c r="I64" s="211"/>
      <c r="J64" s="65"/>
      <c r="K64" s="65"/>
      <c r="L64" s="65"/>
      <c r="M64" s="65"/>
      <c r="N64" s="65"/>
      <c r="O64" s="65"/>
      <c r="P64" s="65"/>
      <c r="Q64" s="65"/>
      <c r="R64" s="65"/>
      <c r="S64" s="65"/>
      <c r="T64" s="65"/>
      <c r="U64" s="65"/>
      <c r="V64" s="65"/>
      <c r="W64" s="65"/>
      <c r="X64" s="65"/>
      <c r="Y64" s="65"/>
      <c r="Z64" s="65"/>
      <c r="AA64" s="65"/>
      <c r="AB64" s="65"/>
    </row>
    <row r="65" spans="1:28" ht="16.5" customHeight="1" thickBot="1" x14ac:dyDescent="0.3">
      <c r="A65" s="1036" t="s">
        <v>259</v>
      </c>
      <c r="B65" s="1036" t="s">
        <v>260</v>
      </c>
      <c r="C65" s="1053" t="s">
        <v>61</v>
      </c>
      <c r="D65" s="1037" t="s">
        <v>76</v>
      </c>
      <c r="E65" s="1038" t="s">
        <v>264</v>
      </c>
      <c r="F65" s="1039"/>
      <c r="G65" s="1039"/>
      <c r="H65" s="1039"/>
      <c r="I65" s="1039"/>
      <c r="J65" s="1039"/>
      <c r="K65" s="1039"/>
      <c r="L65" s="1039"/>
      <c r="M65" s="1039"/>
      <c r="N65" s="1039"/>
      <c r="O65" s="1039"/>
      <c r="P65" s="1040"/>
      <c r="Q65" s="1028" t="s">
        <v>31</v>
      </c>
      <c r="R65" s="1029"/>
      <c r="S65" s="1029"/>
      <c r="T65" s="1029"/>
      <c r="U65" s="1029"/>
      <c r="V65" s="1029"/>
      <c r="W65" s="1029"/>
      <c r="X65" s="1029"/>
      <c r="Y65" s="1029"/>
      <c r="Z65" s="1029"/>
      <c r="AA65" s="1029"/>
      <c r="AB65" s="1029"/>
    </row>
    <row r="66" spans="1:28" ht="25.5" customHeight="1" x14ac:dyDescent="0.25">
      <c r="A66" s="1036"/>
      <c r="B66" s="1036"/>
      <c r="C66" s="1053"/>
      <c r="D66" s="1037"/>
      <c r="E66" s="1044" t="s">
        <v>261</v>
      </c>
      <c r="F66" s="1047" t="s">
        <v>262</v>
      </c>
      <c r="G66" s="1048"/>
      <c r="H66" s="1048"/>
      <c r="I66" s="1048"/>
      <c r="J66" s="1049"/>
      <c r="K66" s="1050" t="s">
        <v>265</v>
      </c>
      <c r="L66" s="1022" t="s">
        <v>266</v>
      </c>
      <c r="M66" s="1022" t="s">
        <v>267</v>
      </c>
      <c r="N66" s="1022" t="s">
        <v>268</v>
      </c>
      <c r="O66" s="1022" t="s">
        <v>269</v>
      </c>
      <c r="P66" s="1025" t="s">
        <v>270</v>
      </c>
      <c r="Q66" s="478" t="s">
        <v>261</v>
      </c>
      <c r="R66" s="1030" t="s">
        <v>262</v>
      </c>
      <c r="S66" s="1031"/>
      <c r="T66" s="1031"/>
      <c r="U66" s="1031"/>
      <c r="V66" s="1032"/>
      <c r="W66" s="1050" t="s">
        <v>265</v>
      </c>
      <c r="X66" s="1022" t="s">
        <v>266</v>
      </c>
      <c r="Y66" s="1022" t="s">
        <v>267</v>
      </c>
      <c r="Z66" s="1022" t="s">
        <v>268</v>
      </c>
      <c r="AA66" s="1022" t="s">
        <v>269</v>
      </c>
      <c r="AB66" s="1025" t="s">
        <v>270</v>
      </c>
    </row>
    <row r="67" spans="1:28" x14ac:dyDescent="0.25">
      <c r="A67" s="1036"/>
      <c r="B67" s="1036"/>
      <c r="C67" s="1053"/>
      <c r="D67" s="1037"/>
      <c r="E67" s="1045"/>
      <c r="F67" s="1041" t="s">
        <v>263</v>
      </c>
      <c r="G67" s="1042"/>
      <c r="H67" s="1042"/>
      <c r="I67" s="1042"/>
      <c r="J67" s="1043"/>
      <c r="K67" s="1051"/>
      <c r="L67" s="1023"/>
      <c r="M67" s="1023"/>
      <c r="N67" s="1023"/>
      <c r="O67" s="1023"/>
      <c r="P67" s="1026"/>
      <c r="Q67" s="73" t="s">
        <v>81</v>
      </c>
      <c r="R67" s="1033" t="s">
        <v>271</v>
      </c>
      <c r="S67" s="1034"/>
      <c r="T67" s="1034"/>
      <c r="U67" s="1034"/>
      <c r="V67" s="1035"/>
      <c r="W67" s="1051"/>
      <c r="X67" s="1023"/>
      <c r="Y67" s="1023"/>
      <c r="Z67" s="1023"/>
      <c r="AA67" s="1023"/>
      <c r="AB67" s="1026"/>
    </row>
    <row r="68" spans="1:28" ht="15.75" thickBot="1" x14ac:dyDescent="0.3">
      <c r="A68" s="1036"/>
      <c r="B68" s="1036"/>
      <c r="C68" s="1053"/>
      <c r="D68" s="1037"/>
      <c r="E68" s="1046"/>
      <c r="F68" s="323" t="s">
        <v>48</v>
      </c>
      <c r="G68" s="324" t="s">
        <v>49</v>
      </c>
      <c r="H68" s="272" t="s">
        <v>50</v>
      </c>
      <c r="I68" s="273" t="s">
        <v>51</v>
      </c>
      <c r="J68" s="274" t="s">
        <v>52</v>
      </c>
      <c r="K68" s="1052"/>
      <c r="L68" s="1024"/>
      <c r="M68" s="1024"/>
      <c r="N68" s="1024"/>
      <c r="O68" s="1024"/>
      <c r="P68" s="1027"/>
      <c r="Q68" s="117"/>
      <c r="R68" s="323" t="s">
        <v>48</v>
      </c>
      <c r="S68" s="324" t="s">
        <v>49</v>
      </c>
      <c r="T68" s="272" t="s">
        <v>50</v>
      </c>
      <c r="U68" s="273" t="s">
        <v>51</v>
      </c>
      <c r="V68" s="274" t="s">
        <v>52</v>
      </c>
      <c r="W68" s="1052"/>
      <c r="X68" s="1024"/>
      <c r="Y68" s="1024"/>
      <c r="Z68" s="1024"/>
      <c r="AA68" s="1024"/>
      <c r="AB68" s="1027"/>
    </row>
    <row r="69" spans="1:28" ht="15.75" thickBot="1" x14ac:dyDescent="0.3">
      <c r="A69" s="296">
        <f>D4</f>
        <v>0</v>
      </c>
      <c r="B69" s="297">
        <f>D5</f>
        <v>0</v>
      </c>
      <c r="C69" s="297"/>
      <c r="D69" s="336">
        <f>'Table 1-B  Context Analysis'!$F$6</f>
        <v>0</v>
      </c>
      <c r="E69" s="430">
        <f>'Table 3 - Synthesis &amp; Classif'!AM15</f>
        <v>0</v>
      </c>
      <c r="F69" s="370">
        <f>E56</f>
        <v>1</v>
      </c>
      <c r="G69" s="371">
        <f>F56</f>
        <v>0</v>
      </c>
      <c r="H69" s="372">
        <f>G56</f>
        <v>0</v>
      </c>
      <c r="I69" s="373">
        <f>H56</f>
        <v>0</v>
      </c>
      <c r="J69" s="374">
        <f>I56</f>
        <v>0</v>
      </c>
      <c r="K69" s="33">
        <f>D69*F69</f>
        <v>0</v>
      </c>
      <c r="L69" s="34">
        <f>D69*G69</f>
        <v>0</v>
      </c>
      <c r="M69" s="34">
        <f>D69*H69</f>
        <v>0</v>
      </c>
      <c r="N69" s="34">
        <f t="shared" ref="N69" si="0">D69*I69</f>
        <v>0</v>
      </c>
      <c r="O69" s="34">
        <f t="shared" ref="O69" si="1">D69*J69</f>
        <v>0</v>
      </c>
      <c r="P69" s="37">
        <f t="shared" ref="P69" si="2">SUM(M69:O69)</f>
        <v>0</v>
      </c>
      <c r="Q69" s="125">
        <f>'Table 3 - Synthesis &amp; Classif'!AM40</f>
        <v>0</v>
      </c>
      <c r="R69" s="370">
        <f>M56</f>
        <v>1</v>
      </c>
      <c r="S69" s="371">
        <f>N56</f>
        <v>0</v>
      </c>
      <c r="T69" s="372">
        <f>O56</f>
        <v>0</v>
      </c>
      <c r="U69" s="373">
        <f>P56</f>
        <v>0</v>
      </c>
      <c r="V69" s="374">
        <f>Q56</f>
        <v>0</v>
      </c>
      <c r="W69" s="33">
        <f t="shared" ref="W69" si="3">D69*R69</f>
        <v>0</v>
      </c>
      <c r="X69" s="33">
        <f t="shared" ref="X69" si="4">D69*S69</f>
        <v>0</v>
      </c>
      <c r="Y69" s="33">
        <f t="shared" ref="Y69" si="5">D69*T69</f>
        <v>0</v>
      </c>
      <c r="Z69" s="33">
        <f t="shared" ref="Z69" si="6">D69*U69</f>
        <v>0</v>
      </c>
      <c r="AA69" s="33">
        <f t="shared" ref="AA69" si="7">D69*V69</f>
        <v>0</v>
      </c>
      <c r="AB69" s="38">
        <f t="shared" ref="AB69" si="8">SUM(Y69:AA69)</f>
        <v>0</v>
      </c>
    </row>
    <row r="70" spans="1:28" ht="15.75" thickBot="1" x14ac:dyDescent="0.3">
      <c r="A70" s="31" t="s">
        <v>32</v>
      </c>
      <c r="B70" s="32"/>
      <c r="C70" s="408"/>
      <c r="D70" s="337">
        <f>SUM(D69:D69)</f>
        <v>0</v>
      </c>
      <c r="E70" s="229"/>
      <c r="F70" s="325"/>
      <c r="G70" s="325"/>
      <c r="H70" s="325"/>
      <c r="I70" s="325"/>
      <c r="J70" s="322"/>
      <c r="K70" s="35">
        <f t="shared" ref="K70:P70" si="9">SUM(K69:K69)</f>
        <v>0</v>
      </c>
      <c r="L70" s="35">
        <f t="shared" si="9"/>
        <v>0</v>
      </c>
      <c r="M70" s="35">
        <f t="shared" si="9"/>
        <v>0</v>
      </c>
      <c r="N70" s="35">
        <f t="shared" si="9"/>
        <v>0</v>
      </c>
      <c r="O70" s="35">
        <f t="shared" si="9"/>
        <v>0</v>
      </c>
      <c r="P70" s="36">
        <f t="shared" si="9"/>
        <v>0</v>
      </c>
      <c r="Q70" s="32"/>
      <c r="R70" s="320"/>
      <c r="S70" s="321"/>
      <c r="T70" s="320"/>
      <c r="U70" s="320"/>
      <c r="V70" s="322"/>
      <c r="W70" s="35">
        <f t="shared" ref="W70:AB70" si="10">SUM(W69:W69)</f>
        <v>0</v>
      </c>
      <c r="X70" s="35">
        <f t="shared" si="10"/>
        <v>0</v>
      </c>
      <c r="Y70" s="35">
        <f t="shared" si="10"/>
        <v>0</v>
      </c>
      <c r="Z70" s="35">
        <f t="shared" si="10"/>
        <v>0</v>
      </c>
      <c r="AA70" s="35">
        <f t="shared" si="10"/>
        <v>0</v>
      </c>
      <c r="AB70" s="39">
        <f t="shared" si="10"/>
        <v>0</v>
      </c>
    </row>
  </sheetData>
  <sheetProtection formatCells="0" formatColumns="0" formatRows="0" insertRows="0"/>
  <protectedRanges>
    <protectedRange sqref="F28:I28 N28:Q28 E50:I54 M50:Q54 F56:I56 N56:Q56" name="Range1"/>
  </protectedRanges>
  <mergeCells count="86">
    <mergeCell ref="A1:N1"/>
    <mergeCell ref="D6:E6"/>
    <mergeCell ref="X66:X68"/>
    <mergeCell ref="W66:W68"/>
    <mergeCell ref="E15:F15"/>
    <mergeCell ref="H15:I15"/>
    <mergeCell ref="B10:Q10"/>
    <mergeCell ref="D11:I11"/>
    <mergeCell ref="L11:Q11"/>
    <mergeCell ref="B12:B28"/>
    <mergeCell ref="D12:I12"/>
    <mergeCell ref="K12:K28"/>
    <mergeCell ref="L12:Q12"/>
    <mergeCell ref="D13:I13"/>
    <mergeCell ref="L13:Q13"/>
    <mergeCell ref="M15:N15"/>
    <mergeCell ref="O18:Q18"/>
    <mergeCell ref="D25:I25"/>
    <mergeCell ref="L25:Q25"/>
    <mergeCell ref="G18:I18"/>
    <mergeCell ref="B35:B42"/>
    <mergeCell ref="D35:I35"/>
    <mergeCell ref="K35:K42"/>
    <mergeCell ref="D31:I31"/>
    <mergeCell ref="B30:B33"/>
    <mergeCell ref="K30:K33"/>
    <mergeCell ref="D36:I36"/>
    <mergeCell ref="D41:I41"/>
    <mergeCell ref="L41:Q41"/>
    <mergeCell ref="D30:I30"/>
    <mergeCell ref="L31:Q31"/>
    <mergeCell ref="L30:Q30"/>
    <mergeCell ref="B50:D50"/>
    <mergeCell ref="E50:I50"/>
    <mergeCell ref="K50:L50"/>
    <mergeCell ref="M50:Q50"/>
    <mergeCell ref="L35:Q35"/>
    <mergeCell ref="L36:Q36"/>
    <mergeCell ref="B44:B48"/>
    <mergeCell ref="D44:I44"/>
    <mergeCell ref="K44:K48"/>
    <mergeCell ref="L44:Q44"/>
    <mergeCell ref="D45:I45"/>
    <mergeCell ref="L45:Q45"/>
    <mergeCell ref="M54:Q54"/>
    <mergeCell ref="B53:D53"/>
    <mergeCell ref="E53:I53"/>
    <mergeCell ref="K53:L53"/>
    <mergeCell ref="M53:Q53"/>
    <mergeCell ref="B56:D56"/>
    <mergeCell ref="K55:L55"/>
    <mergeCell ref="K56:L56"/>
    <mergeCell ref="B55:D55"/>
    <mergeCell ref="B54:D54"/>
    <mergeCell ref="E54:I54"/>
    <mergeCell ref="K54:L54"/>
    <mergeCell ref="A59:N59"/>
    <mergeCell ref="A65:A68"/>
    <mergeCell ref="B65:B68"/>
    <mergeCell ref="D65:D68"/>
    <mergeCell ref="E65:P65"/>
    <mergeCell ref="F67:J67"/>
    <mergeCell ref="E66:E68"/>
    <mergeCell ref="F66:J66"/>
    <mergeCell ref="K66:K68"/>
    <mergeCell ref="L66:L68"/>
    <mergeCell ref="M66:M68"/>
    <mergeCell ref="N66:N68"/>
    <mergeCell ref="O66:O68"/>
    <mergeCell ref="P66:P68"/>
    <mergeCell ref="C65:C68"/>
    <mergeCell ref="AA66:AA68"/>
    <mergeCell ref="AB66:AB68"/>
    <mergeCell ref="Q65:AB65"/>
    <mergeCell ref="R66:V66"/>
    <mergeCell ref="R67:V67"/>
    <mergeCell ref="Y66:Y68"/>
    <mergeCell ref="Z66:Z68"/>
    <mergeCell ref="B51:D51"/>
    <mergeCell ref="E51:I51"/>
    <mergeCell ref="K51:L51"/>
    <mergeCell ref="M51:Q51"/>
    <mergeCell ref="M52:Q52"/>
    <mergeCell ref="B52:D52"/>
    <mergeCell ref="E52:I52"/>
    <mergeCell ref="K52:L52"/>
  </mergeCells>
  <conditionalFormatting sqref="F28:I28">
    <cfRule type="cellIs" dxfId="186" priority="367" operator="equal">
      <formula>5</formula>
    </cfRule>
    <cfRule type="cellIs" dxfId="185" priority="368" operator="equal">
      <formula>4</formula>
    </cfRule>
    <cfRule type="cellIs" dxfId="184" priority="369" operator="equal">
      <formula>2</formula>
    </cfRule>
    <cfRule type="cellIs" dxfId="183" priority="370" operator="equal">
      <formula>1</formula>
    </cfRule>
    <cfRule type="cellIs" dxfId="182" priority="371" operator="equal">
      <formula>3</formula>
    </cfRule>
    <cfRule type="cellIs" dxfId="181" priority="372" operator="equal">
      <formula>2</formula>
    </cfRule>
    <cfRule type="cellIs" dxfId="180" priority="373" operator="equal">
      <formula>1</formula>
    </cfRule>
  </conditionalFormatting>
  <conditionalFormatting sqref="F28:I28">
    <cfRule type="cellIs" dxfId="179" priority="366" operator="equal">
      <formula>1</formula>
    </cfRule>
  </conditionalFormatting>
  <conditionalFormatting sqref="E39:I40">
    <cfRule type="cellIs" dxfId="178" priority="359" operator="equal">
      <formula>5</formula>
    </cfRule>
    <cfRule type="cellIs" dxfId="177" priority="360" operator="equal">
      <formula>4</formula>
    </cfRule>
    <cfRule type="cellIs" dxfId="176" priority="361" operator="equal">
      <formula>2</formula>
    </cfRule>
    <cfRule type="cellIs" dxfId="175" priority="362" operator="equal">
      <formula>1</formula>
    </cfRule>
    <cfRule type="cellIs" dxfId="174" priority="363" operator="equal">
      <formula>3</formula>
    </cfRule>
    <cfRule type="cellIs" dxfId="173" priority="364" operator="equal">
      <formula>2</formula>
    </cfRule>
    <cfRule type="cellIs" dxfId="172" priority="365" operator="equal">
      <formula>1</formula>
    </cfRule>
  </conditionalFormatting>
  <conditionalFormatting sqref="H21:H24">
    <cfRule type="expression" dxfId="171" priority="391">
      <formula>AND(SUM(#REF!)&gt;=0.2,SUM(#REF!)&lt;0.2)</formula>
    </cfRule>
  </conditionalFormatting>
  <conditionalFormatting sqref="G21:H24">
    <cfRule type="expression" dxfId="170" priority="392">
      <formula>AND(SUM(#REF!)&gt;=0.2,SUM(#REF!)&lt;0.2)</formula>
    </cfRule>
  </conditionalFormatting>
  <conditionalFormatting sqref="E21:H24">
    <cfRule type="expression" dxfId="169" priority="393">
      <formula>SUM(#REF!)&gt;0.8</formula>
    </cfRule>
  </conditionalFormatting>
  <conditionalFormatting sqref="E21:H24">
    <cfRule type="expression" dxfId="168" priority="394">
      <formula>SUM(#REF!)&gt;1</formula>
    </cfRule>
  </conditionalFormatting>
  <conditionalFormatting sqref="F28:I28">
    <cfRule type="expression" dxfId="167" priority="395">
      <formula>SUM(#REF!)&gt;1</formula>
    </cfRule>
    <cfRule type="cellIs" dxfId="166" priority="396" operator="equal">
      <formula>5</formula>
    </cfRule>
    <cfRule type="cellIs" dxfId="165" priority="397" operator="equal">
      <formula>4</formula>
    </cfRule>
    <cfRule type="cellIs" dxfId="164" priority="398" operator="equal">
      <formula>2</formula>
    </cfRule>
    <cfRule type="cellIs" dxfId="163" priority="399" operator="equal">
      <formula>1</formula>
    </cfRule>
    <cfRule type="cellIs" dxfId="162" priority="400" operator="equal">
      <formula>3</formula>
    </cfRule>
    <cfRule type="cellIs" dxfId="161" priority="401" operator="equal">
      <formula>2</formula>
    </cfRule>
    <cfRule type="cellIs" dxfId="160" priority="402" operator="equal">
      <formula>1</formula>
    </cfRule>
  </conditionalFormatting>
  <conditionalFormatting sqref="I28 I33">
    <cfRule type="expression" dxfId="159" priority="403">
      <formula>#REF!&gt;=0.2</formula>
    </cfRule>
  </conditionalFormatting>
  <conditionalFormatting sqref="H28 H33">
    <cfRule type="expression" dxfId="158" priority="404">
      <formula>AND(SUM(#REF!)&gt;=0.2,#REF!&lt;0.2)</formula>
    </cfRule>
  </conditionalFormatting>
  <conditionalFormatting sqref="G28">
    <cfRule type="expression" dxfId="157" priority="405">
      <formula>AND(SUM(#REF!)&gt;=0.2,SUM(#REF!)&lt;0.2)</formula>
    </cfRule>
  </conditionalFormatting>
  <conditionalFormatting sqref="F28">
    <cfRule type="expression" dxfId="156" priority="406">
      <formula>AND(SUM(#REF!)&gt;=0.2,SUM(#REF!)&lt;0.2)</formula>
    </cfRule>
  </conditionalFormatting>
  <conditionalFormatting sqref="F33:H33">
    <cfRule type="expression" dxfId="155" priority="407">
      <formula>#REF!&gt;0.8</formula>
    </cfRule>
  </conditionalFormatting>
  <conditionalFormatting sqref="F33:I33">
    <cfRule type="expression" dxfId="154" priority="408">
      <formula>SUM(#REF!)&gt;1</formula>
    </cfRule>
  </conditionalFormatting>
  <conditionalFormatting sqref="F33">
    <cfRule type="expression" dxfId="153" priority="409">
      <formula>AND(SUM(#REF!)&gt;=0.2,SUM(#REF!)&lt;0.2)</formula>
    </cfRule>
  </conditionalFormatting>
  <conditionalFormatting sqref="G33">
    <cfRule type="expression" dxfId="152" priority="410">
      <formula>AND(SUM(#REF!)&gt;=0.2,SUM(#REF!)&lt;0.2)</formula>
    </cfRule>
  </conditionalFormatting>
  <conditionalFormatting sqref="E40:I40">
    <cfRule type="expression" dxfId="151" priority="411">
      <formula>#REF!&gt;=0.4</formula>
    </cfRule>
    <cfRule type="expression" dxfId="150" priority="412">
      <formula>AND(#REF!&gt;=0.2,#REF!&lt;0.4)</formula>
    </cfRule>
    <cfRule type="expression" dxfId="149" priority="413">
      <formula>AND(#REF!&gt;=0.1,#REF!&lt;0.2)</formula>
    </cfRule>
    <cfRule type="expression" dxfId="148" priority="414">
      <formula>AND(#REF!&lt;&gt;"",#REF!&lt;0.1)</formula>
    </cfRule>
  </conditionalFormatting>
  <conditionalFormatting sqref="M40">
    <cfRule type="cellIs" dxfId="147" priority="270" operator="equal">
      <formula>5</formula>
    </cfRule>
    <cfRule type="cellIs" dxfId="146" priority="271" operator="equal">
      <formula>4</formula>
    </cfRule>
    <cfRule type="cellIs" dxfId="145" priority="272" operator="equal">
      <formula>2</formula>
    </cfRule>
    <cfRule type="cellIs" dxfId="144" priority="273" operator="equal">
      <formula>1</formula>
    </cfRule>
    <cfRule type="cellIs" dxfId="143" priority="274" operator="equal">
      <formula>3</formula>
    </cfRule>
    <cfRule type="cellIs" dxfId="142" priority="275" operator="equal">
      <formula>2</formula>
    </cfRule>
    <cfRule type="cellIs" dxfId="141" priority="276" operator="equal">
      <formula>1</formula>
    </cfRule>
  </conditionalFormatting>
  <conditionalFormatting sqref="Q17">
    <cfRule type="expression" dxfId="140" priority="267">
      <formula>$H$25&gt;=0.2</formula>
    </cfRule>
  </conditionalFormatting>
  <conditionalFormatting sqref="P17">
    <cfRule type="expression" dxfId="139" priority="266">
      <formula>AND($H$25+$G$25&gt;=0.2,$H$25&lt;0.2)</formula>
    </cfRule>
  </conditionalFormatting>
  <conditionalFormatting sqref="O17">
    <cfRule type="expression" dxfId="138" priority="265">
      <formula>AND($H$25+$G$25+$F$25&gt;=0.2,$H$25+$G$25&lt;0.2)</formula>
    </cfRule>
  </conditionalFormatting>
  <conditionalFormatting sqref="N17">
    <cfRule type="expression" dxfId="137" priority="264">
      <formula>AND($H$25+$G$25+$F$25+$E$25&gt;=0.2,$H$25+$G$25+$F$25&lt;0.2)</formula>
    </cfRule>
  </conditionalFormatting>
  <conditionalFormatting sqref="O15">
    <cfRule type="expression" dxfId="136" priority="257">
      <formula>SUM($D$23:$H$23)&gt;1</formula>
    </cfRule>
  </conditionalFormatting>
  <conditionalFormatting sqref="N16:Q16 P15:Q15">
    <cfRule type="expression" dxfId="135" priority="252">
      <formula>SUM($D$24:$H$24)&gt;1</formula>
    </cfRule>
  </conditionalFormatting>
  <conditionalFormatting sqref="N17:Q17">
    <cfRule type="expression" dxfId="134" priority="251">
      <formula>SUM($D$25:$H$25)&gt;1</formula>
    </cfRule>
  </conditionalFormatting>
  <conditionalFormatting sqref="O21:P24">
    <cfRule type="expression" dxfId="133" priority="302">
      <formula>AND(SUM(#REF!)&gt;=0.2,SUM(#REF!)&lt;0.2)</formula>
    </cfRule>
  </conditionalFormatting>
  <conditionalFormatting sqref="N21:P24">
    <cfRule type="expression" dxfId="132" priority="303">
      <formula>AND(SUM(#REF!)&gt;=0.2,SUM(#REF!)&lt;0.2)</formula>
    </cfRule>
  </conditionalFormatting>
  <conditionalFormatting sqref="M21:P24">
    <cfRule type="expression" dxfId="131" priority="304">
      <formula>SUM(#REF!)&gt;0.8</formula>
    </cfRule>
  </conditionalFormatting>
  <conditionalFormatting sqref="M21:P24">
    <cfRule type="expression" dxfId="130" priority="305">
      <formula>SUM(#REF!)&gt;1</formula>
    </cfRule>
  </conditionalFormatting>
  <conditionalFormatting sqref="Q33">
    <cfRule type="expression" dxfId="129" priority="314">
      <formula>#REF!&gt;=0.2</formula>
    </cfRule>
  </conditionalFormatting>
  <conditionalFormatting sqref="Q33">
    <cfRule type="expression" dxfId="128" priority="319">
      <formula>SUM(#REF!)&gt;1</formula>
    </cfRule>
  </conditionalFormatting>
  <conditionalFormatting sqref="M40:Q40">
    <cfRule type="expression" dxfId="127" priority="322">
      <formula>#REF!&gt;=0.4</formula>
    </cfRule>
    <cfRule type="expression" dxfId="126" priority="323">
      <formula>AND(#REF!&gt;=0.2,#REF!&lt;0.4)</formula>
    </cfRule>
    <cfRule type="expression" dxfId="125" priority="324">
      <formula>AND(#REF!&gt;=0.1,#REF!&lt;0.2)</formula>
    </cfRule>
    <cfRule type="expression" dxfId="124" priority="325">
      <formula>AND(#REF!&lt;&gt;"",#REF!&lt;0.1)</formula>
    </cfRule>
  </conditionalFormatting>
  <conditionalFormatting sqref="M48:Q48">
    <cfRule type="expression" dxfId="123" priority="334">
      <formula>#REF!&gt;=4</formula>
    </cfRule>
    <cfRule type="expression" dxfId="122" priority="335">
      <formula>AND(#REF!&gt;=2,#REF!&lt;4)</formula>
    </cfRule>
    <cfRule type="expression" dxfId="121" priority="336">
      <formula>AND(#REF!&gt;=1,#REF!&lt;2)</formula>
    </cfRule>
    <cfRule type="expression" dxfId="120" priority="337">
      <formula>AND(#REF!&lt;&gt;"",#REF!&lt;1)</formula>
    </cfRule>
  </conditionalFormatting>
  <conditionalFormatting sqref="E38:I40">
    <cfRule type="cellIs" dxfId="119" priority="242" operator="equal">
      <formula>0</formula>
    </cfRule>
  </conditionalFormatting>
  <conditionalFormatting sqref="F28:I28">
    <cfRule type="expression" dxfId="118" priority="184">
      <formula>#REF!&gt;0.8</formula>
    </cfRule>
  </conditionalFormatting>
  <conditionalFormatting sqref="E33">
    <cfRule type="cellIs" dxfId="117" priority="173" operator="equal">
      <formula>1</formula>
    </cfRule>
  </conditionalFormatting>
  <conditionalFormatting sqref="E42:I42">
    <cfRule type="cellIs" dxfId="116" priority="154" operator="equal">
      <formula>5</formula>
    </cfRule>
    <cfRule type="cellIs" dxfId="115" priority="155" operator="equal">
      <formula>4</formula>
    </cfRule>
    <cfRule type="cellIs" dxfId="114" priority="156" operator="equal">
      <formula>2</formula>
    </cfRule>
    <cfRule type="cellIs" dxfId="113" priority="157" operator="equal">
      <formula>1</formula>
    </cfRule>
    <cfRule type="cellIs" dxfId="112" priority="158" operator="equal">
      <formula>3</formula>
    </cfRule>
    <cfRule type="cellIs" dxfId="111" priority="159" operator="equal">
      <formula>2</formula>
    </cfRule>
    <cfRule type="cellIs" dxfId="110" priority="160" operator="equal">
      <formula>1</formula>
    </cfRule>
  </conditionalFormatting>
  <conditionalFormatting sqref="E42:I42">
    <cfRule type="expression" dxfId="109" priority="161">
      <formula>#REF!&gt;=0.4</formula>
    </cfRule>
    <cfRule type="expression" dxfId="108" priority="162">
      <formula>AND(#REF!&gt;=0.2,#REF!&lt;0.4)</formula>
    </cfRule>
    <cfRule type="expression" dxfId="107" priority="163">
      <formula>AND(#REF!&gt;=0.1,#REF!&lt;0.2)</formula>
    </cfRule>
    <cfRule type="expression" dxfId="106" priority="164">
      <formula>AND(#REF!&lt;&gt;"",#REF!&lt;0.1)</formula>
    </cfRule>
  </conditionalFormatting>
  <conditionalFormatting sqref="E42:I42">
    <cfRule type="cellIs" dxfId="105" priority="153" operator="equal">
      <formula>0</formula>
    </cfRule>
  </conditionalFormatting>
  <conditionalFormatting sqref="E47:I47">
    <cfRule type="cellIs" dxfId="104" priority="140" operator="equal">
      <formula>0</formula>
    </cfRule>
  </conditionalFormatting>
  <conditionalFormatting sqref="E48:I48">
    <cfRule type="cellIs" dxfId="103" priority="139" operator="equal">
      <formula>0</formula>
    </cfRule>
  </conditionalFormatting>
  <conditionalFormatting sqref="E46:I46">
    <cfRule type="containsText" dxfId="102" priority="138" operator="containsText" text="N/A">
      <formula>NOT(ISERROR(SEARCH("N/A",E46)))</formula>
    </cfRule>
  </conditionalFormatting>
  <conditionalFormatting sqref="E37:I37">
    <cfRule type="containsText" dxfId="101" priority="137" operator="containsText" text="N/A">
      <formula>NOT(ISERROR(SEARCH("N/A",E37)))</formula>
    </cfRule>
  </conditionalFormatting>
  <conditionalFormatting sqref="E32:I32">
    <cfRule type="containsText" dxfId="100" priority="136" operator="containsText" text="N/A">
      <formula>NOT(ISERROR(SEARCH("N/A",E32)))</formula>
    </cfRule>
  </conditionalFormatting>
  <conditionalFormatting sqref="E26:I26">
    <cfRule type="containsText" dxfId="99" priority="134" operator="containsText" text="N/A">
      <formula>NOT(ISERROR(SEARCH("N/A",E26)))</formula>
    </cfRule>
  </conditionalFormatting>
  <conditionalFormatting sqref="E14:I14">
    <cfRule type="containsText" dxfId="98" priority="133" operator="containsText" text="N/A">
      <formula>NOT(ISERROR(SEARCH("N/A",E14)))</formula>
    </cfRule>
  </conditionalFormatting>
  <conditionalFormatting sqref="M14:Q14">
    <cfRule type="containsText" dxfId="97" priority="132" operator="containsText" text="N/A">
      <formula>NOT(ISERROR(SEARCH("N/A",M14)))</formula>
    </cfRule>
  </conditionalFormatting>
  <conditionalFormatting sqref="M26:Q26">
    <cfRule type="containsText" dxfId="96" priority="131" operator="containsText" text="N/A">
      <formula>NOT(ISERROR(SEARCH("N/A",M26)))</formula>
    </cfRule>
  </conditionalFormatting>
  <conditionalFormatting sqref="F68:J68">
    <cfRule type="containsText" dxfId="95" priority="130" operator="containsText" text="N/A">
      <formula>NOT(ISERROR(SEARCH("N/A",F68)))</formula>
    </cfRule>
  </conditionalFormatting>
  <conditionalFormatting sqref="R68:V68">
    <cfRule type="containsText" dxfId="94" priority="129" operator="containsText" text="N/A">
      <formula>NOT(ISERROR(SEARCH("N/A",R68)))</formula>
    </cfRule>
  </conditionalFormatting>
  <conditionalFormatting sqref="V69">
    <cfRule type="containsText" dxfId="93" priority="128" operator="containsText" text="N/A">
      <formula>NOT(ISERROR(SEARCH("N/A",V69)))</formula>
    </cfRule>
  </conditionalFormatting>
  <conditionalFormatting sqref="J69">
    <cfRule type="containsText" dxfId="92" priority="127" operator="containsText" text="N/A">
      <formula>NOT(ISERROR(SEARCH("N/A",J69)))</formula>
    </cfRule>
  </conditionalFormatting>
  <conditionalFormatting sqref="J55:J56">
    <cfRule type="containsText" dxfId="91" priority="123" operator="containsText" text="OK">
      <formula>NOT(ISERROR(SEARCH("OK",J55)))</formula>
    </cfRule>
    <cfRule type="containsText" dxfId="90" priority="126" operator="containsText" text="Erreur">
      <formula>NOT(ISERROR(SEARCH("Erreur",J55)))</formula>
    </cfRule>
  </conditionalFormatting>
  <conditionalFormatting sqref="R55:R56">
    <cfRule type="containsText" dxfId="89" priority="121" operator="containsText" text="OK">
      <formula>NOT(ISERROR(SEARCH("OK",R55)))</formula>
    </cfRule>
    <cfRule type="containsText" dxfId="88" priority="122" operator="containsText" text="Erreur">
      <formula>NOT(ISERROR(SEARCH("Erreur",R55)))</formula>
    </cfRule>
  </conditionalFormatting>
  <conditionalFormatting sqref="M47">
    <cfRule type="cellIs" dxfId="87" priority="109" operator="equal">
      <formula>0</formula>
    </cfRule>
    <cfRule type="cellIs" dxfId="86" priority="111" operator="equal">
      <formula>5</formula>
    </cfRule>
    <cfRule type="cellIs" dxfId="85" priority="112" operator="equal">
      <formula>4</formula>
    </cfRule>
    <cfRule type="cellIs" dxfId="84" priority="113" operator="equal">
      <formula>2</formula>
    </cfRule>
    <cfRule type="cellIs" dxfId="83" priority="114" operator="equal">
      <formula>3</formula>
    </cfRule>
  </conditionalFormatting>
  <conditionalFormatting sqref="M47">
    <cfRule type="cellIs" dxfId="82" priority="110" operator="equal">
      <formula>1</formula>
    </cfRule>
  </conditionalFormatting>
  <conditionalFormatting sqref="N47:Q47">
    <cfRule type="cellIs" dxfId="81" priority="103" operator="equal">
      <formula>0</formula>
    </cfRule>
    <cfRule type="cellIs" dxfId="80" priority="105" operator="equal">
      <formula>5</formula>
    </cfRule>
    <cfRule type="cellIs" dxfId="79" priority="106" operator="equal">
      <formula>4</formula>
    </cfRule>
    <cfRule type="cellIs" dxfId="78" priority="107" operator="equal">
      <formula>2</formula>
    </cfRule>
    <cfRule type="cellIs" dxfId="77" priority="108" operator="equal">
      <formula>3</formula>
    </cfRule>
  </conditionalFormatting>
  <conditionalFormatting sqref="N47:Q47">
    <cfRule type="cellIs" dxfId="76" priority="104" operator="equal">
      <formula>1</formula>
    </cfRule>
  </conditionalFormatting>
  <conditionalFormatting sqref="M42:Q42">
    <cfRule type="cellIs" dxfId="75" priority="97" operator="equal">
      <formula>0</formula>
    </cfRule>
    <cfRule type="cellIs" dxfId="74" priority="99" operator="equal">
      <formula>5</formula>
    </cfRule>
    <cfRule type="cellIs" dxfId="73" priority="100" operator="equal">
      <formula>4</formula>
    </cfRule>
    <cfRule type="cellIs" dxfId="72" priority="101" operator="equal">
      <formula>2</formula>
    </cfRule>
    <cfRule type="cellIs" dxfId="71" priority="102" operator="equal">
      <formula>3</formula>
    </cfRule>
  </conditionalFormatting>
  <conditionalFormatting sqref="M42:Q42">
    <cfRule type="cellIs" dxfId="70" priority="98" operator="equal">
      <formula>1</formula>
    </cfRule>
  </conditionalFormatting>
  <conditionalFormatting sqref="M39:Q39">
    <cfRule type="cellIs" dxfId="69" priority="90" operator="equal">
      <formula>5</formula>
    </cfRule>
    <cfRule type="cellIs" dxfId="68" priority="91" operator="equal">
      <formula>4</formula>
    </cfRule>
    <cfRule type="cellIs" dxfId="67" priority="92" operator="equal">
      <formula>2</formula>
    </cfRule>
    <cfRule type="cellIs" dxfId="66" priority="93" operator="equal">
      <formula>1</formula>
    </cfRule>
    <cfRule type="cellIs" dxfId="65" priority="94" operator="equal">
      <formula>3</formula>
    </cfRule>
    <cfRule type="cellIs" dxfId="64" priority="95" operator="equal">
      <formula>2</formula>
    </cfRule>
    <cfRule type="cellIs" dxfId="63" priority="96" operator="equal">
      <formula>1</formula>
    </cfRule>
  </conditionalFormatting>
  <conditionalFormatting sqref="M39:Q39">
    <cfRule type="cellIs" dxfId="62" priority="89" operator="equal">
      <formula>0</formula>
    </cfRule>
  </conditionalFormatting>
  <conditionalFormatting sqref="N28:Q28">
    <cfRule type="cellIs" dxfId="61" priority="52" operator="equal">
      <formula>5</formula>
    </cfRule>
    <cfRule type="cellIs" dxfId="60" priority="53" operator="equal">
      <formula>4</formula>
    </cfRule>
    <cfRule type="cellIs" dxfId="59" priority="54" operator="equal">
      <formula>2</formula>
    </cfRule>
    <cfRule type="cellIs" dxfId="58" priority="55" operator="equal">
      <formula>1</formula>
    </cfRule>
    <cfRule type="cellIs" dxfId="57" priority="56" operator="equal">
      <formula>3</formula>
    </cfRule>
    <cfRule type="cellIs" dxfId="56" priority="57" operator="equal">
      <formula>2</formula>
    </cfRule>
    <cfRule type="cellIs" dxfId="55" priority="58" operator="equal">
      <formula>1</formula>
    </cfRule>
  </conditionalFormatting>
  <conditionalFormatting sqref="N28:Q28">
    <cfRule type="cellIs" dxfId="54" priority="51" operator="equal">
      <formula>1</formula>
    </cfRule>
  </conditionalFormatting>
  <conditionalFormatting sqref="N28:Q28">
    <cfRule type="expression" dxfId="53" priority="59">
      <formula>SUM(#REF!)&gt;1</formula>
    </cfRule>
    <cfRule type="cellIs" dxfId="52" priority="60" operator="equal">
      <formula>5</formula>
    </cfRule>
    <cfRule type="cellIs" dxfId="51" priority="61" operator="equal">
      <formula>4</formula>
    </cfRule>
    <cfRule type="cellIs" dxfId="50" priority="62" operator="equal">
      <formula>2</formula>
    </cfRule>
    <cfRule type="cellIs" dxfId="49" priority="63" operator="equal">
      <formula>1</formula>
    </cfRule>
    <cfRule type="cellIs" dxfId="48" priority="64" operator="equal">
      <formula>3</formula>
    </cfRule>
    <cfRule type="cellIs" dxfId="47" priority="65" operator="equal">
      <formula>2</formula>
    </cfRule>
    <cfRule type="cellIs" dxfId="46" priority="66" operator="equal">
      <formula>1</formula>
    </cfRule>
  </conditionalFormatting>
  <conditionalFormatting sqref="Q28">
    <cfRule type="expression" dxfId="45" priority="67">
      <formula>#REF!&gt;=0.2</formula>
    </cfRule>
  </conditionalFormatting>
  <conditionalFormatting sqref="P28">
    <cfRule type="expression" dxfId="44" priority="68">
      <formula>AND(SUM(#REF!)&gt;=0.2,#REF!&lt;0.2)</formula>
    </cfRule>
  </conditionalFormatting>
  <conditionalFormatting sqref="O28">
    <cfRule type="expression" dxfId="43" priority="69">
      <formula>AND(SUM(#REF!)&gt;=0.2,SUM(#REF!)&lt;0.2)</formula>
    </cfRule>
  </conditionalFormatting>
  <conditionalFormatting sqref="N28">
    <cfRule type="expression" dxfId="42" priority="70">
      <formula>AND(SUM(#REF!)&gt;=0.2,SUM(#REF!)&lt;0.2)</formula>
    </cfRule>
  </conditionalFormatting>
  <conditionalFormatting sqref="N28:Q28">
    <cfRule type="expression" dxfId="41" priority="50">
      <formula>#REF!&gt;0.8</formula>
    </cfRule>
  </conditionalFormatting>
  <conditionalFormatting sqref="R28">
    <cfRule type="containsText" dxfId="40" priority="36" operator="containsText" text="OK">
      <formula>NOT(ISERROR(SEARCH("OK",R28)))</formula>
    </cfRule>
    <cfRule type="containsText" dxfId="39" priority="37" operator="containsText" text="Erreur">
      <formula>NOT(ISERROR(SEARCH("Erreur",R28)))</formula>
    </cfRule>
  </conditionalFormatting>
  <conditionalFormatting sqref="M55:Q55">
    <cfRule type="cellIs" dxfId="38" priority="30" operator="equal">
      <formula>0</formula>
    </cfRule>
    <cfRule type="cellIs" dxfId="37" priority="32" operator="equal">
      <formula>5</formula>
    </cfRule>
    <cfRule type="cellIs" dxfId="36" priority="33" operator="equal">
      <formula>4</formula>
    </cfRule>
    <cfRule type="cellIs" dxfId="35" priority="34" operator="equal">
      <formula>2</formula>
    </cfRule>
    <cfRule type="cellIs" dxfId="34" priority="35" operator="equal">
      <formula>3</formula>
    </cfRule>
  </conditionalFormatting>
  <conditionalFormatting sqref="M55:Q55">
    <cfRule type="cellIs" dxfId="33" priority="31" operator="equal">
      <formula>1</formula>
    </cfRule>
  </conditionalFormatting>
  <conditionalFormatting sqref="E55:I55">
    <cfRule type="cellIs" dxfId="32" priority="24" operator="equal">
      <formula>0</formula>
    </cfRule>
    <cfRule type="cellIs" dxfId="31" priority="26" operator="equal">
      <formula>5</formula>
    </cfRule>
    <cfRule type="cellIs" dxfId="30" priority="27" operator="equal">
      <formula>4</formula>
    </cfRule>
    <cfRule type="cellIs" dxfId="29" priority="28" operator="equal">
      <formula>2</formula>
    </cfRule>
    <cfRule type="cellIs" dxfId="28" priority="29" operator="equal">
      <formula>3</formula>
    </cfRule>
  </conditionalFormatting>
  <conditionalFormatting sqref="E55:I55">
    <cfRule type="cellIs" dxfId="27" priority="25" operator="equal">
      <formula>1</formula>
    </cfRule>
  </conditionalFormatting>
  <conditionalFormatting sqref="G23:H24">
    <cfRule type="containsText" dxfId="26" priority="23" operator="containsText" text="N/A">
      <formula>NOT(ISERROR(SEARCH("N/A",G23)))</formula>
    </cfRule>
  </conditionalFormatting>
  <conditionalFormatting sqref="N18:N19">
    <cfRule type="expression" dxfId="25" priority="962">
      <formula>AND(#REF!+#REF!&gt;=0.2,#REF!&lt;0.2)</formula>
    </cfRule>
  </conditionalFormatting>
  <conditionalFormatting sqref="O18:Q19">
    <cfRule type="expression" dxfId="24" priority="963">
      <formula>#REF!&gt;=0.2</formula>
    </cfRule>
  </conditionalFormatting>
  <conditionalFormatting sqref="N18:Q19">
    <cfRule type="expression" dxfId="23" priority="964">
      <formula>SUM($D$26:$D$26)&gt;1</formula>
    </cfRule>
  </conditionalFormatting>
  <conditionalFormatting sqref="O15">
    <cfRule type="expression" dxfId="22" priority="971">
      <formula>AND($G$23+$H$23&gt;=0.2,$H$23&lt;0.2)</formula>
    </cfRule>
  </conditionalFormatting>
  <conditionalFormatting sqref="Q15:Q16">
    <cfRule type="expression" dxfId="21" priority="973">
      <formula>#REF!&gt;=0.2</formula>
    </cfRule>
  </conditionalFormatting>
  <conditionalFormatting sqref="P15:P16">
    <cfRule type="expression" dxfId="20" priority="974">
      <formula>AND(SUM($H$24:$H$24)&gt;=0.2,#REF!&lt;0.2)</formula>
    </cfRule>
  </conditionalFormatting>
  <conditionalFormatting sqref="O16">
    <cfRule type="expression" dxfId="19" priority="975">
      <formula>AND(SUM($G$24:$H$24)&gt;=0.2,SUM($H$24:$H$24)&lt;0.2)</formula>
    </cfRule>
  </conditionalFormatting>
  <conditionalFormatting sqref="N16">
    <cfRule type="expression" dxfId="18" priority="976">
      <formula>AND(SUM($E$24:$H$24)&gt;=0.2,SUM($G$24:$H$24)&lt;0.2)</formula>
    </cfRule>
  </conditionalFormatting>
  <conditionalFormatting sqref="E27:I27">
    <cfRule type="cellIs" dxfId="17" priority="14" operator="equal">
      <formula>0</formula>
    </cfRule>
    <cfRule type="cellIs" dxfId="16" priority="16" operator="equal">
      <formula>5</formula>
    </cfRule>
    <cfRule type="cellIs" dxfId="15" priority="17" operator="equal">
      <formula>4</formula>
    </cfRule>
    <cfRule type="cellIs" dxfId="14" priority="18" operator="equal">
      <formula>2</formula>
    </cfRule>
    <cfRule type="cellIs" dxfId="13" priority="19" operator="equal">
      <formula>3</formula>
    </cfRule>
  </conditionalFormatting>
  <conditionalFormatting sqref="E27:I27">
    <cfRule type="cellIs" dxfId="12" priority="15" operator="equal">
      <formula>1</formula>
    </cfRule>
  </conditionalFormatting>
  <conditionalFormatting sqref="M27:Q27">
    <cfRule type="cellIs" dxfId="11" priority="7" operator="equal">
      <formula>0</formula>
    </cfRule>
    <cfRule type="cellIs" dxfId="10" priority="9" operator="equal">
      <formula>5</formula>
    </cfRule>
    <cfRule type="cellIs" dxfId="9" priority="10" operator="equal">
      <formula>4</formula>
    </cfRule>
    <cfRule type="cellIs" dxfId="8" priority="11" operator="equal">
      <formula>2</formula>
    </cfRule>
    <cfRule type="cellIs" dxfId="7" priority="12" operator="equal">
      <formula>3</formula>
    </cfRule>
  </conditionalFormatting>
  <conditionalFormatting sqref="M27:Q27">
    <cfRule type="cellIs" dxfId="6" priority="8" operator="equal">
      <formula>1</formula>
    </cfRule>
  </conditionalFormatting>
  <conditionalFormatting sqref="M33:P33">
    <cfRule type="cellIs" dxfId="5" priority="1" operator="equal">
      <formula>0</formula>
    </cfRule>
    <cfRule type="cellIs" dxfId="4" priority="3" operator="equal">
      <formula>5</formula>
    </cfRule>
    <cfRule type="cellIs" dxfId="3" priority="4" operator="equal">
      <formula>4</formula>
    </cfRule>
    <cfRule type="cellIs" dxfId="2" priority="5" operator="equal">
      <formula>2</formula>
    </cfRule>
    <cfRule type="cellIs" dxfId="1" priority="6" operator="equal">
      <formula>3</formula>
    </cfRule>
  </conditionalFormatting>
  <conditionalFormatting sqref="M33:P33">
    <cfRule type="cellIs" dxfId="0" priority="2" operator="equal">
      <formula>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9E21B46B6510944ACCC1A9E9D09B45B" ma:contentTypeVersion="11" ma:contentTypeDescription="Create a new document." ma:contentTypeScope="" ma:versionID="ac60f745ae4ec29869ac3257edf2075d">
  <xsd:schema xmlns:xsd="http://www.w3.org/2001/XMLSchema" xmlns:xs="http://www.w3.org/2001/XMLSchema" xmlns:p="http://schemas.microsoft.com/office/2006/metadata/properties" xmlns:ns3="0aae8104-2775-47bf-a616-40d8eadd5188" xmlns:ns4="8dd5283b-55c2-4f3c-990c-ab18dea8320e" targetNamespace="http://schemas.microsoft.com/office/2006/metadata/properties" ma:root="true" ma:fieldsID="b3a4931681b7990de5f6f99ed9ef07ff" ns3:_="" ns4:_="">
    <xsd:import namespace="0aae8104-2775-47bf-a616-40d8eadd5188"/>
    <xsd:import namespace="8dd5283b-55c2-4f3c-990c-ab18dea8320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ae8104-2775-47bf-a616-40d8eadd51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dd5283b-55c2-4f3c-990c-ab18dea8320e"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C45A26E-C220-47C8-AC4C-E2756A9AB9B6}">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0aae8104-2775-47bf-a616-40d8eadd5188"/>
    <ds:schemaRef ds:uri="http://schemas.microsoft.com/office/infopath/2007/PartnerControls"/>
    <ds:schemaRef ds:uri="8dd5283b-55c2-4f3c-990c-ab18dea8320e"/>
    <ds:schemaRef ds:uri="http://www.w3.org/XML/1998/namespace"/>
  </ds:schemaRefs>
</ds:datastoreItem>
</file>

<file path=customXml/itemProps2.xml><?xml version="1.0" encoding="utf-8"?>
<ds:datastoreItem xmlns:ds="http://schemas.openxmlformats.org/officeDocument/2006/customXml" ds:itemID="{A3F7FC73-C2B1-419C-AB1E-3399DED82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ae8104-2775-47bf-a616-40d8eadd5188"/>
    <ds:schemaRef ds:uri="8dd5283b-55c2-4f3c-990c-ab18dea832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BF1EB05-F2CF-4023-A1C1-4C3AAEA2E3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Table 1-A Sources of evidences</vt:lpstr>
      <vt:lpstr>Table 1-B  Context Analysis</vt:lpstr>
      <vt:lpstr>Table 1-C  Cont Factors</vt:lpstr>
      <vt:lpstr>Table 1-D-Outcomes</vt:lpstr>
      <vt:lpstr>Table 2-A- FC Analysis</vt:lpstr>
      <vt:lpstr>Table 2 -B -Outcome Analysis </vt:lpstr>
      <vt:lpstr>Table 3 - Synthesis &amp; Classif</vt:lpstr>
      <vt:lpstr>Tableau 4 - Estimation Pop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ISSOUFOU BAOUA;Atsuvi GAMLI</dc:creator>
  <cp:keywords>ch</cp:keywords>
  <cp:lastModifiedBy>OLANDER William</cp:lastModifiedBy>
  <dcterms:created xsi:type="dcterms:W3CDTF">2018-01-25T14:45:53Z</dcterms:created>
  <dcterms:modified xsi:type="dcterms:W3CDTF">2020-02-14T16:01:35Z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0x010100D9E21B46B6510944ACCC1A9E9D09B45B</vt:lpwstr>
  </property>
</Properties>
</file>