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william.olander\Documents\GitHub\CHautomationtraining\"/>
    </mc:Choice>
  </mc:AlternateContent>
  <xr:revisionPtr revIDLastSave="0" documentId="13_ncr:1_{ACA866BE-8D49-4294-BDBA-BDF308ACB25B}" xr6:coauthVersionLast="44" xr6:coauthVersionMax="44" xr10:uidLastSave="{00000000-0000-0000-0000-000000000000}"/>
  <bookViews>
    <workbookView xWindow="-25320" yWindow="-120" windowWidth="25440" windowHeight="15390" tabRatio="930" activeTab="3" xr2:uid="{00000000-000D-0000-FFFF-FFFF00000000}"/>
  </bookViews>
  <sheets>
    <sheet name="Table 1-A Sources of evidences" sheetId="11" r:id="rId1"/>
    <sheet name="Table 1-B  Context Analysis" sheetId="4" r:id="rId2"/>
    <sheet name="Table 1-C  Cont Factors" sheetId="1" r:id="rId3"/>
    <sheet name="Table 1-D-Outcomes" sheetId="13" r:id="rId4"/>
    <sheet name="Table 2-A- FC Analysis" sheetId="5" r:id="rId5"/>
    <sheet name="Table 2 -B -Outcome Analysis " sheetId="6" r:id="rId6"/>
    <sheet name="Table 3 - Synthesis &amp; Classif" sheetId="14" r:id="rId7"/>
    <sheet name="Tableau 4 - Estimation Pop" sheetId="12"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5" i="6" l="1"/>
  <c r="C56" i="6"/>
  <c r="C54" i="6"/>
  <c r="N56" i="6"/>
  <c r="J39" i="6"/>
  <c r="I39" i="6"/>
  <c r="H39" i="6"/>
  <c r="G39" i="6"/>
  <c r="Q22" i="6"/>
  <c r="P22" i="6"/>
  <c r="O22" i="6"/>
  <c r="N22" i="6"/>
  <c r="Q21" i="6"/>
  <c r="P21" i="6"/>
  <c r="O21" i="6"/>
  <c r="N21" i="6"/>
  <c r="Q20" i="6"/>
  <c r="P20" i="6"/>
  <c r="O20" i="6"/>
  <c r="N20" i="6"/>
  <c r="Q19" i="6"/>
  <c r="P19" i="6"/>
  <c r="O19" i="6"/>
  <c r="N19" i="6"/>
  <c r="F22" i="6"/>
  <c r="E22" i="6"/>
  <c r="D22" i="6"/>
  <c r="C22" i="6"/>
  <c r="F21" i="6"/>
  <c r="E21" i="6"/>
  <c r="D21" i="6"/>
  <c r="C21" i="6"/>
  <c r="F20" i="6"/>
  <c r="E20" i="6"/>
  <c r="D20" i="6"/>
  <c r="C20" i="6"/>
  <c r="F19" i="6"/>
  <c r="E19" i="6"/>
  <c r="D19" i="6"/>
  <c r="C19" i="6"/>
  <c r="I17" i="6"/>
  <c r="H17" i="6"/>
  <c r="G17" i="6"/>
  <c r="K16" i="6"/>
  <c r="J16" i="6"/>
  <c r="I16" i="6"/>
  <c r="H16" i="6"/>
  <c r="G16" i="6"/>
  <c r="K15" i="6"/>
  <c r="J15" i="6"/>
  <c r="I15" i="6"/>
  <c r="H15" i="6"/>
  <c r="G15" i="6"/>
  <c r="J14" i="6"/>
  <c r="I14" i="6"/>
  <c r="G14" i="6"/>
  <c r="C9" i="4"/>
  <c r="E27" i="12" l="1"/>
  <c r="F27" i="12"/>
  <c r="G27" i="12"/>
  <c r="H27" i="12"/>
  <c r="I27" i="12"/>
  <c r="AL43" i="14" l="1"/>
  <c r="AK43" i="14"/>
  <c r="AJ43" i="14"/>
  <c r="AI43" i="14"/>
  <c r="AH43" i="14"/>
  <c r="AG43" i="14"/>
  <c r="AF43" i="14"/>
  <c r="AE43" i="14"/>
  <c r="AD43" i="14"/>
  <c r="AC43" i="14"/>
  <c r="AB43" i="14"/>
  <c r="AA43" i="14"/>
  <c r="Z43" i="14"/>
  <c r="Y43" i="14"/>
  <c r="X43" i="14"/>
  <c r="W43" i="14"/>
  <c r="V43" i="14"/>
  <c r="U43" i="14"/>
  <c r="T43" i="14"/>
  <c r="S43" i="14"/>
  <c r="R43" i="14"/>
  <c r="Q43" i="14"/>
  <c r="P43" i="14"/>
  <c r="O43" i="14"/>
  <c r="N43" i="14"/>
  <c r="M43" i="14"/>
  <c r="L43" i="14"/>
  <c r="K43" i="14"/>
  <c r="J43" i="14"/>
  <c r="I43" i="14"/>
  <c r="AL42" i="14"/>
  <c r="AK42" i="14"/>
  <c r="AJ42" i="14"/>
  <c r="AI42" i="14"/>
  <c r="AH42" i="14"/>
  <c r="AG42" i="14"/>
  <c r="AF42" i="14"/>
  <c r="AE42" i="14"/>
  <c r="AD42" i="14"/>
  <c r="AC42" i="14"/>
  <c r="AB42" i="14"/>
  <c r="AA42" i="14"/>
  <c r="Z42" i="14"/>
  <c r="Y42" i="14"/>
  <c r="X42" i="14"/>
  <c r="W42" i="14"/>
  <c r="V42" i="14"/>
  <c r="U42" i="14"/>
  <c r="T42" i="14"/>
  <c r="S42" i="14"/>
  <c r="R42" i="14"/>
  <c r="Q42" i="14"/>
  <c r="P42" i="14"/>
  <c r="O42" i="14"/>
  <c r="N42" i="14"/>
  <c r="M42" i="14"/>
  <c r="L42" i="14"/>
  <c r="K42" i="14"/>
  <c r="J42" i="14"/>
  <c r="I42" i="14"/>
  <c r="AK17" i="14"/>
  <c r="AL17" i="14"/>
  <c r="AK18" i="14"/>
  <c r="AL18" i="14"/>
  <c r="AJ18" i="14"/>
  <c r="AJ17" i="14"/>
  <c r="AH17" i="14"/>
  <c r="AI17" i="14"/>
  <c r="AH18" i="14"/>
  <c r="AI18" i="14"/>
  <c r="AG18" i="14"/>
  <c r="AG17" i="14"/>
  <c r="AE17" i="14"/>
  <c r="AF17" i="14"/>
  <c r="AE18" i="14"/>
  <c r="AF18" i="14"/>
  <c r="AD18" i="14"/>
  <c r="AD17" i="14"/>
  <c r="AB17" i="14"/>
  <c r="AC17" i="14"/>
  <c r="AB18" i="14"/>
  <c r="AC18" i="14"/>
  <c r="AA18" i="14"/>
  <c r="AA17" i="14"/>
  <c r="Y17" i="14"/>
  <c r="Z17" i="14"/>
  <c r="Y18" i="14"/>
  <c r="Z18" i="14"/>
  <c r="X18" i="14"/>
  <c r="X17" i="14"/>
  <c r="V17" i="14"/>
  <c r="W17" i="14"/>
  <c r="V18" i="14"/>
  <c r="W18" i="14"/>
  <c r="U18" i="14"/>
  <c r="U17" i="14"/>
  <c r="P18" i="14"/>
  <c r="Q18" i="14"/>
  <c r="R18" i="14"/>
  <c r="S18" i="14"/>
  <c r="T18" i="14"/>
  <c r="O18" i="14"/>
  <c r="L18" i="14"/>
  <c r="M18" i="14"/>
  <c r="N18" i="14"/>
  <c r="I18" i="14"/>
  <c r="J18" i="14"/>
  <c r="K18" i="14"/>
  <c r="V77" i="6" l="1"/>
  <c r="T77" i="6"/>
  <c r="R77" i="6"/>
  <c r="P77" i="6"/>
  <c r="N77" i="6"/>
  <c r="V61" i="6"/>
  <c r="T61" i="6"/>
  <c r="R61" i="6"/>
  <c r="P61" i="6"/>
  <c r="N61" i="6"/>
  <c r="V42" i="6"/>
  <c r="T42" i="6"/>
  <c r="R42" i="6"/>
  <c r="P42" i="6"/>
  <c r="N42" i="6"/>
  <c r="V27" i="6"/>
  <c r="T27" i="6"/>
  <c r="R27" i="6"/>
  <c r="P27" i="6"/>
  <c r="N27" i="6"/>
  <c r="K27" i="6"/>
  <c r="I27" i="6"/>
  <c r="G27" i="6"/>
  <c r="E27" i="6"/>
  <c r="C27" i="6"/>
  <c r="K42" i="6"/>
  <c r="I42" i="6"/>
  <c r="G42" i="6"/>
  <c r="E42" i="6"/>
  <c r="C42" i="6"/>
  <c r="K61" i="6"/>
  <c r="I61" i="6"/>
  <c r="G61" i="6"/>
  <c r="E61" i="6"/>
  <c r="C61" i="6"/>
  <c r="K77" i="6"/>
  <c r="I77" i="6"/>
  <c r="G77" i="6"/>
  <c r="E77" i="6"/>
  <c r="C77" i="6"/>
  <c r="D69" i="12" l="1"/>
  <c r="C74" i="6"/>
  <c r="C73" i="6"/>
  <c r="C58" i="6"/>
  <c r="C24" i="6"/>
  <c r="D5" i="12" l="1"/>
  <c r="D4" i="12"/>
  <c r="C34" i="14"/>
  <c r="C32" i="14"/>
  <c r="C31" i="14"/>
  <c r="C8" i="14"/>
  <c r="C6" i="14"/>
  <c r="C5" i="14"/>
  <c r="C6" i="6"/>
  <c r="C5" i="6"/>
  <c r="D6" i="5"/>
  <c r="D5" i="5"/>
  <c r="D6" i="13"/>
  <c r="D5" i="13"/>
  <c r="D5" i="1"/>
  <c r="D6" i="1"/>
  <c r="C5" i="4"/>
  <c r="D3" i="12" s="1"/>
  <c r="D62" i="12" l="1"/>
  <c r="D8" i="1"/>
  <c r="D8" i="5"/>
  <c r="D8" i="13"/>
  <c r="C7" i="14"/>
  <c r="C33" i="14"/>
  <c r="D6" i="12"/>
  <c r="C7" i="6"/>
  <c r="D4" i="1"/>
  <c r="D4" i="13"/>
  <c r="D4" i="5"/>
  <c r="C4" i="6"/>
  <c r="C4" i="14"/>
  <c r="C30" i="14"/>
  <c r="D61" i="12"/>
  <c r="E69" i="12"/>
  <c r="O33" i="12"/>
  <c r="P33" i="12"/>
  <c r="N33" i="12"/>
  <c r="M33" i="12"/>
  <c r="O27" i="12"/>
  <c r="P27" i="12"/>
  <c r="Q27" i="12"/>
  <c r="P24" i="12"/>
  <c r="O24" i="12"/>
  <c r="G24" i="12"/>
  <c r="H24" i="12"/>
  <c r="P23" i="12"/>
  <c r="O23" i="12"/>
  <c r="H23" i="12"/>
  <c r="G23" i="12"/>
  <c r="P22" i="12"/>
  <c r="O22" i="12"/>
  <c r="H22" i="12"/>
  <c r="G22" i="12"/>
  <c r="P21" i="12"/>
  <c r="O21" i="12"/>
  <c r="N24" i="12"/>
  <c r="F24" i="12"/>
  <c r="N23" i="12"/>
  <c r="F23" i="12"/>
  <c r="N22" i="12"/>
  <c r="F22" i="12"/>
  <c r="N21" i="12"/>
  <c r="F21" i="12"/>
  <c r="N27" i="12" l="1"/>
  <c r="O55" i="12" l="1"/>
  <c r="E55" i="12"/>
  <c r="F55" i="12"/>
  <c r="M27" i="12" l="1"/>
  <c r="N47" i="12" l="1"/>
  <c r="M42" i="12"/>
  <c r="Q42" i="12"/>
  <c r="E39" i="14"/>
  <c r="D39" i="14"/>
  <c r="F39" i="14"/>
  <c r="G39" i="14"/>
  <c r="G14" i="14"/>
  <c r="F14" i="14"/>
  <c r="E14" i="14"/>
  <c r="D14" i="14"/>
  <c r="F13" i="1"/>
  <c r="F14" i="1"/>
  <c r="F15" i="1"/>
  <c r="D14" i="1"/>
  <c r="O47" i="12"/>
  <c r="P47" i="12"/>
  <c r="Q47" i="12"/>
  <c r="M47" i="12"/>
  <c r="O42" i="12"/>
  <c r="P42" i="12"/>
  <c r="N42" i="12"/>
  <c r="I55" i="12"/>
  <c r="H55" i="12"/>
  <c r="G55" i="12"/>
  <c r="Q55" i="12"/>
  <c r="P55" i="12"/>
  <c r="N55" i="12"/>
  <c r="M55" i="12"/>
  <c r="V69" i="12"/>
  <c r="U69" i="12"/>
  <c r="T69" i="12"/>
  <c r="Y69" i="12" s="1"/>
  <c r="Y70" i="12" s="1"/>
  <c r="S69" i="12"/>
  <c r="M56" i="12"/>
  <c r="R56" i="12" s="1"/>
  <c r="Q69" i="12"/>
  <c r="M28" i="12"/>
  <c r="R28" i="12" s="1"/>
  <c r="E28" i="12"/>
  <c r="Q39" i="12"/>
  <c r="M39" i="12"/>
  <c r="E56" i="12"/>
  <c r="J55" i="12" s="1"/>
  <c r="I48" i="12"/>
  <c r="H48" i="12"/>
  <c r="E48" i="12"/>
  <c r="I47" i="12"/>
  <c r="F47" i="12"/>
  <c r="I42" i="12"/>
  <c r="H42" i="12"/>
  <c r="G42" i="12"/>
  <c r="E42" i="12"/>
  <c r="I40" i="12"/>
  <c r="F40" i="12"/>
  <c r="E40" i="12"/>
  <c r="I39" i="12"/>
  <c r="G39" i="12"/>
  <c r="F39" i="12"/>
  <c r="E39" i="12"/>
  <c r="F38" i="12"/>
  <c r="E38" i="12"/>
  <c r="O82" i="1"/>
  <c r="B152" i="5" s="1"/>
  <c r="J82" i="1"/>
  <c r="I82" i="1"/>
  <c r="F82" i="1"/>
  <c r="D82" i="1"/>
  <c r="C82" i="1"/>
  <c r="O81" i="1"/>
  <c r="B151" i="5" s="1"/>
  <c r="J81" i="1"/>
  <c r="I81" i="1"/>
  <c r="F81" i="1"/>
  <c r="D81" i="1"/>
  <c r="C81" i="1"/>
  <c r="O80" i="1"/>
  <c r="B150" i="5" s="1"/>
  <c r="J80" i="1"/>
  <c r="I80" i="1"/>
  <c r="F80" i="1"/>
  <c r="D80" i="1"/>
  <c r="C80" i="1"/>
  <c r="O79" i="1"/>
  <c r="B149" i="5" s="1"/>
  <c r="J79" i="1"/>
  <c r="I79" i="1"/>
  <c r="F79" i="1"/>
  <c r="D79" i="1"/>
  <c r="C79" i="1"/>
  <c r="O78" i="1"/>
  <c r="B148" i="5" s="1"/>
  <c r="J78" i="1"/>
  <c r="I78" i="1"/>
  <c r="F78" i="1"/>
  <c r="D78" i="1"/>
  <c r="C78" i="1"/>
  <c r="O66" i="1"/>
  <c r="B120" i="5" s="1"/>
  <c r="J66" i="1"/>
  <c r="I66" i="1"/>
  <c r="F66" i="1"/>
  <c r="D66" i="1"/>
  <c r="C66" i="1"/>
  <c r="O65" i="1"/>
  <c r="B119" i="5" s="1"/>
  <c r="J65" i="1"/>
  <c r="I65" i="1"/>
  <c r="F65" i="1"/>
  <c r="D65" i="1"/>
  <c r="C65" i="1"/>
  <c r="O64" i="1"/>
  <c r="B118" i="5" s="1"/>
  <c r="J64" i="1"/>
  <c r="I64" i="1"/>
  <c r="F64" i="1"/>
  <c r="D64" i="1"/>
  <c r="C64" i="1"/>
  <c r="O63" i="1"/>
  <c r="B117" i="5" s="1"/>
  <c r="J63" i="1"/>
  <c r="I63" i="1"/>
  <c r="F63" i="1"/>
  <c r="D63" i="1"/>
  <c r="C63" i="1"/>
  <c r="O62" i="1"/>
  <c r="B116" i="5" s="1"/>
  <c r="J62" i="1"/>
  <c r="I62" i="1"/>
  <c r="F62" i="1"/>
  <c r="D62" i="1"/>
  <c r="C62" i="1"/>
  <c r="O50" i="1"/>
  <c r="B88" i="5" s="1"/>
  <c r="J50" i="1"/>
  <c r="I50" i="1"/>
  <c r="F50" i="1"/>
  <c r="D50" i="1"/>
  <c r="C50" i="1"/>
  <c r="O49" i="1"/>
  <c r="B87" i="5" s="1"/>
  <c r="J49" i="1"/>
  <c r="I49" i="1"/>
  <c r="F49" i="1"/>
  <c r="D49" i="1"/>
  <c r="C49" i="1"/>
  <c r="O48" i="1"/>
  <c r="B86" i="5" s="1"/>
  <c r="J48" i="1"/>
  <c r="I48" i="1"/>
  <c r="F48" i="1"/>
  <c r="D48" i="1"/>
  <c r="C48" i="1"/>
  <c r="O47" i="1"/>
  <c r="B85" i="5" s="1"/>
  <c r="J47" i="1"/>
  <c r="I47" i="1"/>
  <c r="F47" i="1"/>
  <c r="D47" i="1"/>
  <c r="C47" i="1"/>
  <c r="O46" i="1"/>
  <c r="B84" i="5" s="1"/>
  <c r="J46" i="1"/>
  <c r="I46" i="1"/>
  <c r="F46" i="1"/>
  <c r="D46" i="1"/>
  <c r="C46" i="1"/>
  <c r="O29" i="1"/>
  <c r="B50" i="5" s="1"/>
  <c r="J29" i="1"/>
  <c r="I29" i="1"/>
  <c r="F29" i="1"/>
  <c r="D29" i="1"/>
  <c r="C29" i="1"/>
  <c r="O28" i="1"/>
  <c r="B49" i="5" s="1"/>
  <c r="J28" i="1"/>
  <c r="I28" i="1"/>
  <c r="F28" i="1"/>
  <c r="D28" i="1"/>
  <c r="C28" i="1"/>
  <c r="O27" i="1"/>
  <c r="B48" i="5" s="1"/>
  <c r="J27" i="1"/>
  <c r="I27" i="1"/>
  <c r="F27" i="1"/>
  <c r="D27" i="1"/>
  <c r="C27" i="1"/>
  <c r="O26" i="1"/>
  <c r="B47" i="5" s="1"/>
  <c r="J26" i="1"/>
  <c r="I26" i="1"/>
  <c r="F26" i="1"/>
  <c r="D26" i="1"/>
  <c r="C26" i="1"/>
  <c r="O25" i="1"/>
  <c r="B46" i="5" s="1"/>
  <c r="J25" i="1"/>
  <c r="I25" i="1"/>
  <c r="F25" i="1"/>
  <c r="D25" i="1"/>
  <c r="C25" i="1"/>
  <c r="M15" i="13"/>
  <c r="M32" i="13"/>
  <c r="M18" i="13"/>
  <c r="M19" i="13"/>
  <c r="M17" i="13"/>
  <c r="V36" i="13"/>
  <c r="H39" i="12" s="1"/>
  <c r="K36" i="13"/>
  <c r="J36" i="13"/>
  <c r="G36" i="13"/>
  <c r="E36" i="13"/>
  <c r="C36" i="13"/>
  <c r="K43" i="13"/>
  <c r="K42" i="13"/>
  <c r="J43" i="13"/>
  <c r="J42" i="13"/>
  <c r="G43" i="13"/>
  <c r="G42" i="13"/>
  <c r="E43" i="13"/>
  <c r="E42" i="13"/>
  <c r="C43" i="13"/>
  <c r="C42" i="13"/>
  <c r="K37" i="13"/>
  <c r="K38" i="13"/>
  <c r="K39" i="13"/>
  <c r="J37" i="13"/>
  <c r="J38" i="13"/>
  <c r="J39" i="13"/>
  <c r="K35" i="13"/>
  <c r="J35" i="13"/>
  <c r="G37" i="13"/>
  <c r="G38" i="13"/>
  <c r="G39" i="13"/>
  <c r="E37" i="13"/>
  <c r="E38" i="13"/>
  <c r="E39" i="13"/>
  <c r="G35" i="13"/>
  <c r="E35" i="13"/>
  <c r="C37" i="13"/>
  <c r="C38" i="13"/>
  <c r="C39" i="13"/>
  <c r="C35" i="13"/>
  <c r="K31" i="13"/>
  <c r="J31" i="13"/>
  <c r="G31" i="13"/>
  <c r="E31" i="13"/>
  <c r="C31" i="13"/>
  <c r="K29" i="13"/>
  <c r="K20" i="13"/>
  <c r="K18" i="13"/>
  <c r="K19" i="13"/>
  <c r="K17" i="13"/>
  <c r="K14" i="13"/>
  <c r="J29" i="13"/>
  <c r="J20" i="13"/>
  <c r="J18" i="13"/>
  <c r="J19" i="13"/>
  <c r="J17" i="13"/>
  <c r="J14" i="13"/>
  <c r="G29" i="13"/>
  <c r="G20" i="13"/>
  <c r="G19" i="13"/>
  <c r="G18" i="13"/>
  <c r="G17" i="13"/>
  <c r="G14" i="13"/>
  <c r="E29" i="13"/>
  <c r="E20" i="13"/>
  <c r="E19" i="13"/>
  <c r="E18" i="13"/>
  <c r="E17" i="13"/>
  <c r="E14" i="13"/>
  <c r="C29" i="13"/>
  <c r="C20" i="13"/>
  <c r="C18" i="13"/>
  <c r="C19" i="13"/>
  <c r="C17" i="13"/>
  <c r="C14" i="13"/>
  <c r="J13" i="1"/>
  <c r="J14" i="1"/>
  <c r="J15" i="1"/>
  <c r="J16" i="1"/>
  <c r="J12" i="1"/>
  <c r="I13" i="1"/>
  <c r="I14" i="1"/>
  <c r="I15" i="1"/>
  <c r="I16" i="1"/>
  <c r="I12" i="1"/>
  <c r="F16" i="1"/>
  <c r="F12" i="1"/>
  <c r="D13" i="1"/>
  <c r="D15" i="1"/>
  <c r="D16" i="1"/>
  <c r="D12" i="1"/>
  <c r="J19" i="1"/>
  <c r="J20" i="1"/>
  <c r="J21" i="1"/>
  <c r="J22" i="1"/>
  <c r="J18" i="1"/>
  <c r="I19" i="1"/>
  <c r="I20" i="1"/>
  <c r="I21" i="1"/>
  <c r="I22" i="1"/>
  <c r="I18" i="1"/>
  <c r="F19" i="1"/>
  <c r="F20" i="1"/>
  <c r="F21" i="1"/>
  <c r="F22" i="1"/>
  <c r="F18" i="1"/>
  <c r="D19" i="1"/>
  <c r="D20" i="1"/>
  <c r="D21" i="1"/>
  <c r="D22" i="1"/>
  <c r="D18" i="1"/>
  <c r="C19" i="1"/>
  <c r="C20" i="1"/>
  <c r="C21" i="1"/>
  <c r="C22" i="1"/>
  <c r="C18" i="1"/>
  <c r="J30" i="1"/>
  <c r="J31" i="1"/>
  <c r="J32" i="1"/>
  <c r="J33" i="1"/>
  <c r="J34" i="1"/>
  <c r="J35" i="1"/>
  <c r="J36" i="1"/>
  <c r="J37" i="1"/>
  <c r="J38" i="1"/>
  <c r="J24" i="1"/>
  <c r="I30" i="1"/>
  <c r="I31" i="1"/>
  <c r="I32" i="1"/>
  <c r="I33" i="1"/>
  <c r="I34" i="1"/>
  <c r="I35" i="1"/>
  <c r="I36" i="1"/>
  <c r="I37" i="1"/>
  <c r="I38" i="1"/>
  <c r="I24" i="1"/>
  <c r="F30" i="1"/>
  <c r="F31" i="1"/>
  <c r="F32" i="1"/>
  <c r="F33" i="1"/>
  <c r="F34" i="1"/>
  <c r="F35" i="1"/>
  <c r="F36" i="1"/>
  <c r="F37" i="1"/>
  <c r="F38" i="1"/>
  <c r="F24" i="1"/>
  <c r="D30" i="1"/>
  <c r="D31" i="1"/>
  <c r="D32" i="1"/>
  <c r="D33" i="1"/>
  <c r="D34" i="1"/>
  <c r="D35" i="1"/>
  <c r="D36" i="1"/>
  <c r="D37" i="1"/>
  <c r="D38" i="1"/>
  <c r="D24" i="1"/>
  <c r="C30" i="1"/>
  <c r="C31" i="1"/>
  <c r="C32" i="1"/>
  <c r="C33" i="1"/>
  <c r="C34" i="1"/>
  <c r="C35" i="1"/>
  <c r="C36" i="1"/>
  <c r="C37" i="1"/>
  <c r="C38" i="1"/>
  <c r="C24" i="1"/>
  <c r="J41" i="1"/>
  <c r="J42" i="1"/>
  <c r="J43" i="1"/>
  <c r="J44" i="1"/>
  <c r="J45" i="1"/>
  <c r="J51" i="1"/>
  <c r="J52" i="1"/>
  <c r="J53" i="1"/>
  <c r="J54" i="1"/>
  <c r="J40" i="1"/>
  <c r="I41" i="1"/>
  <c r="I42" i="1"/>
  <c r="I43" i="1"/>
  <c r="I44" i="1"/>
  <c r="I45" i="1"/>
  <c r="I51" i="1"/>
  <c r="I52" i="1"/>
  <c r="I53" i="1"/>
  <c r="I54" i="1"/>
  <c r="I40" i="1"/>
  <c r="F41" i="1"/>
  <c r="F42" i="1"/>
  <c r="F43" i="1"/>
  <c r="F44" i="1"/>
  <c r="F45" i="1"/>
  <c r="F51" i="1"/>
  <c r="F52" i="1"/>
  <c r="F53" i="1"/>
  <c r="F54" i="1"/>
  <c r="F40" i="1"/>
  <c r="D41" i="1"/>
  <c r="D42" i="1"/>
  <c r="D43" i="1"/>
  <c r="D44" i="1"/>
  <c r="D45" i="1"/>
  <c r="D51" i="1"/>
  <c r="D52" i="1"/>
  <c r="D53" i="1"/>
  <c r="D54" i="1"/>
  <c r="D40" i="1"/>
  <c r="C41" i="1"/>
  <c r="C42" i="1"/>
  <c r="C43" i="1"/>
  <c r="C44" i="1"/>
  <c r="C45" i="1"/>
  <c r="C51" i="1"/>
  <c r="C52" i="1"/>
  <c r="C53" i="1"/>
  <c r="C54" i="1"/>
  <c r="C40" i="1"/>
  <c r="J57" i="1"/>
  <c r="J58" i="1"/>
  <c r="J59" i="1"/>
  <c r="J60" i="1"/>
  <c r="J61" i="1"/>
  <c r="J67" i="1"/>
  <c r="J68" i="1"/>
  <c r="J69" i="1"/>
  <c r="J70" i="1"/>
  <c r="J56" i="1"/>
  <c r="I57" i="1"/>
  <c r="I58" i="1"/>
  <c r="I59" i="1"/>
  <c r="I60" i="1"/>
  <c r="I61" i="1"/>
  <c r="I67" i="1"/>
  <c r="I68" i="1"/>
  <c r="I69" i="1"/>
  <c r="I70" i="1"/>
  <c r="I56" i="1"/>
  <c r="F57" i="1"/>
  <c r="F58" i="1"/>
  <c r="F59" i="1"/>
  <c r="F60" i="1"/>
  <c r="F61" i="1"/>
  <c r="F67" i="1"/>
  <c r="F68" i="1"/>
  <c r="F69" i="1"/>
  <c r="F70" i="1"/>
  <c r="F56" i="1"/>
  <c r="D57" i="1"/>
  <c r="D58" i="1"/>
  <c r="D59" i="1"/>
  <c r="D60" i="1"/>
  <c r="D61" i="1"/>
  <c r="D67" i="1"/>
  <c r="D68" i="1"/>
  <c r="D69" i="1"/>
  <c r="D70" i="1"/>
  <c r="D56" i="1"/>
  <c r="C57" i="1"/>
  <c r="C58" i="1"/>
  <c r="C59" i="1"/>
  <c r="C60" i="1"/>
  <c r="C61" i="1"/>
  <c r="C67" i="1"/>
  <c r="C68" i="1"/>
  <c r="C69" i="1"/>
  <c r="C70" i="1"/>
  <c r="C56" i="1"/>
  <c r="J73" i="1"/>
  <c r="J74" i="1"/>
  <c r="J75" i="1"/>
  <c r="J76" i="1"/>
  <c r="J77" i="1"/>
  <c r="J83" i="1"/>
  <c r="J84" i="1"/>
  <c r="J85" i="1"/>
  <c r="J86" i="1"/>
  <c r="J72" i="1"/>
  <c r="I73" i="1"/>
  <c r="I74" i="1"/>
  <c r="I75" i="1"/>
  <c r="I76" i="1"/>
  <c r="I77" i="1"/>
  <c r="I83" i="1"/>
  <c r="I84" i="1"/>
  <c r="I85" i="1"/>
  <c r="I86" i="1"/>
  <c r="I72" i="1"/>
  <c r="F73" i="1"/>
  <c r="F74" i="1"/>
  <c r="F75" i="1"/>
  <c r="F76" i="1"/>
  <c r="F77" i="1"/>
  <c r="F83" i="1"/>
  <c r="F84" i="1"/>
  <c r="F85" i="1"/>
  <c r="F86" i="1"/>
  <c r="F72" i="1"/>
  <c r="D73" i="1"/>
  <c r="D74" i="1"/>
  <c r="D75" i="1"/>
  <c r="D76" i="1"/>
  <c r="D77" i="1"/>
  <c r="D83" i="1"/>
  <c r="D84" i="1"/>
  <c r="D85" i="1"/>
  <c r="D86" i="1"/>
  <c r="D72" i="1"/>
  <c r="C73" i="1"/>
  <c r="C74" i="1"/>
  <c r="C75" i="1"/>
  <c r="C76" i="1"/>
  <c r="C77" i="1"/>
  <c r="C83" i="1"/>
  <c r="C84" i="1"/>
  <c r="C85" i="1"/>
  <c r="C72" i="1"/>
  <c r="C13" i="1"/>
  <c r="C14" i="1"/>
  <c r="C15" i="1"/>
  <c r="C16" i="1"/>
  <c r="C12" i="1"/>
  <c r="O84" i="1"/>
  <c r="B154" i="5" s="1"/>
  <c r="O83" i="1"/>
  <c r="B153" i="5" s="1"/>
  <c r="O77" i="1"/>
  <c r="B147" i="5" s="1"/>
  <c r="O76" i="1"/>
  <c r="B146" i="5" s="1"/>
  <c r="O75" i="1"/>
  <c r="B145" i="5" s="1"/>
  <c r="O68" i="1"/>
  <c r="B122" i="5" s="1"/>
  <c r="O51" i="1"/>
  <c r="B89" i="5" s="1"/>
  <c r="O45" i="1"/>
  <c r="B83" i="5" s="1"/>
  <c r="O44" i="1"/>
  <c r="B82" i="5" s="1"/>
  <c r="O37" i="1"/>
  <c r="B58" i="5" s="1"/>
  <c r="O36" i="1"/>
  <c r="B57" i="5" s="1"/>
  <c r="B14" i="14"/>
  <c r="B39" i="14" s="1"/>
  <c r="A14" i="14"/>
  <c r="A39" i="14" s="1"/>
  <c r="B69" i="12"/>
  <c r="A69" i="12"/>
  <c r="C14" i="14"/>
  <c r="C39" i="14" s="1"/>
  <c r="V37" i="13"/>
  <c r="P39" i="12" s="1"/>
  <c r="N39" i="12"/>
  <c r="O18" i="1"/>
  <c r="D21" i="5" s="1"/>
  <c r="O16" i="1"/>
  <c r="D17" i="5" s="1"/>
  <c r="V43" i="13"/>
  <c r="G48" i="12" s="1"/>
  <c r="V42" i="13"/>
  <c r="G47" i="12" s="1"/>
  <c r="H47" i="12"/>
  <c r="V39" i="13"/>
  <c r="F42" i="12" s="1"/>
  <c r="V38" i="13"/>
  <c r="G40" i="12" s="1"/>
  <c r="H40" i="12"/>
  <c r="V35" i="13"/>
  <c r="H38" i="12" s="1"/>
  <c r="G38" i="12"/>
  <c r="V17" i="13"/>
  <c r="F16" i="12" s="1"/>
  <c r="V14" i="13"/>
  <c r="E15" i="12" s="1"/>
  <c r="V31" i="13"/>
  <c r="G33" i="12" s="1"/>
  <c r="V20" i="13"/>
  <c r="V29" i="13"/>
  <c r="O24" i="6" s="1"/>
  <c r="V18" i="13"/>
  <c r="H17" i="12" s="1"/>
  <c r="V19" i="13"/>
  <c r="G18" i="12" s="1"/>
  <c r="C86" i="1"/>
  <c r="O12" i="1"/>
  <c r="D13" i="5" s="1"/>
  <c r="H15" i="12"/>
  <c r="J69" i="12"/>
  <c r="I69" i="12"/>
  <c r="H69" i="12"/>
  <c r="G69" i="12"/>
  <c r="O14" i="1"/>
  <c r="D15" i="5" s="1"/>
  <c r="O73" i="1"/>
  <c r="B143" i="5" s="1"/>
  <c r="O74" i="1"/>
  <c r="B144" i="5" s="1"/>
  <c r="O85" i="1"/>
  <c r="B155" i="5" s="1"/>
  <c r="O86" i="1"/>
  <c r="B156" i="5" s="1"/>
  <c r="O72" i="1"/>
  <c r="B142" i="5" s="1"/>
  <c r="O57" i="1"/>
  <c r="B111" i="5" s="1"/>
  <c r="O58" i="1"/>
  <c r="B112" i="5" s="1"/>
  <c r="O59" i="1"/>
  <c r="B113" i="5" s="1"/>
  <c r="O60" i="1"/>
  <c r="B114" i="5" s="1"/>
  <c r="O61" i="1"/>
  <c r="B115" i="5" s="1"/>
  <c r="O67" i="1"/>
  <c r="B121" i="5" s="1"/>
  <c r="O69" i="1"/>
  <c r="B123" i="5" s="1"/>
  <c r="O70" i="1"/>
  <c r="B124" i="5" s="1"/>
  <c r="O56" i="1"/>
  <c r="B110" i="5" s="1"/>
  <c r="O41" i="1"/>
  <c r="B79" i="5" s="1"/>
  <c r="O42" i="1"/>
  <c r="B80" i="5" s="1"/>
  <c r="O43" i="1"/>
  <c r="B81" i="5" s="1"/>
  <c r="O52" i="1"/>
  <c r="B90" i="5" s="1"/>
  <c r="O53" i="1"/>
  <c r="B91" i="5" s="1"/>
  <c r="O54" i="1"/>
  <c r="B92" i="5" s="1"/>
  <c r="O40" i="1"/>
  <c r="B78" i="5" s="1"/>
  <c r="O30" i="1"/>
  <c r="B51" i="5" s="1"/>
  <c r="O31" i="1"/>
  <c r="B52" i="5" s="1"/>
  <c r="O32" i="1"/>
  <c r="B53" i="5" s="1"/>
  <c r="O33" i="1"/>
  <c r="B54" i="5" s="1"/>
  <c r="O34" i="1"/>
  <c r="B55" i="5" s="1"/>
  <c r="O35" i="1"/>
  <c r="B56" i="5" s="1"/>
  <c r="O38" i="1"/>
  <c r="B59" i="5" s="1"/>
  <c r="O24" i="1"/>
  <c r="B45" i="5" s="1"/>
  <c r="O15" i="1"/>
  <c r="D16" i="5" s="1"/>
  <c r="O19" i="1"/>
  <c r="D22" i="5" s="1"/>
  <c r="O20" i="1"/>
  <c r="D23" i="5" s="1"/>
  <c r="O21" i="1"/>
  <c r="D24" i="5" s="1"/>
  <c r="O22" i="1"/>
  <c r="D25" i="5" s="1"/>
  <c r="O13" i="1"/>
  <c r="D14" i="5" s="1"/>
  <c r="AK15" i="14" l="1"/>
  <c r="AJ15" i="14"/>
  <c r="AC15" i="14"/>
  <c r="Y15" i="14"/>
  <c r="W15" i="14"/>
  <c r="P15" i="14"/>
  <c r="T15" i="14"/>
  <c r="AL15" i="14"/>
  <c r="AH15" i="14"/>
  <c r="AG15" i="14"/>
  <c r="Z15" i="14"/>
  <c r="Q15" i="14"/>
  <c r="O15" i="14"/>
  <c r="L15" i="14"/>
  <c r="AI15" i="14"/>
  <c r="AD15" i="14"/>
  <c r="M15" i="14"/>
  <c r="AF15" i="14"/>
  <c r="AA15" i="14"/>
  <c r="S15" i="14"/>
  <c r="U15" i="14"/>
  <c r="AE15" i="14"/>
  <c r="X15" i="14"/>
  <c r="R15" i="14"/>
  <c r="AB15" i="14"/>
  <c r="V15" i="14"/>
  <c r="N15" i="14"/>
  <c r="AL40" i="14"/>
  <c r="AH40" i="14"/>
  <c r="AD40" i="14"/>
  <c r="Z40" i="14"/>
  <c r="V40" i="14"/>
  <c r="R40" i="14"/>
  <c r="N40" i="14"/>
  <c r="J40" i="14"/>
  <c r="X40" i="14"/>
  <c r="L40" i="14"/>
  <c r="AE40" i="14"/>
  <c r="W40" i="14"/>
  <c r="S40" i="14"/>
  <c r="K40" i="14"/>
  <c r="AK40" i="14"/>
  <c r="AG40" i="14"/>
  <c r="AC40" i="14"/>
  <c r="Y40" i="14"/>
  <c r="U40" i="14"/>
  <c r="Q40" i="14"/>
  <c r="M40" i="14"/>
  <c r="I40" i="14"/>
  <c r="AJ40" i="14"/>
  <c r="AF40" i="14"/>
  <c r="AB40" i="14"/>
  <c r="T40" i="14"/>
  <c r="P40" i="14"/>
  <c r="AI40" i="14"/>
  <c r="AA40" i="14"/>
  <c r="O40" i="14"/>
  <c r="AL41" i="14"/>
  <c r="AH41" i="14"/>
  <c r="AD41" i="14"/>
  <c r="Z41" i="14"/>
  <c r="V41" i="14"/>
  <c r="R41" i="14"/>
  <c r="N41" i="14"/>
  <c r="J41" i="14"/>
  <c r="AJ41" i="14"/>
  <c r="X41" i="14"/>
  <c r="P41" i="14"/>
  <c r="AI41" i="14"/>
  <c r="W41" i="14"/>
  <c r="O41" i="14"/>
  <c r="AK41" i="14"/>
  <c r="AG41" i="14"/>
  <c r="AC41" i="14"/>
  <c r="Y41" i="14"/>
  <c r="U41" i="14"/>
  <c r="Q41" i="14"/>
  <c r="M41" i="14"/>
  <c r="I41" i="14"/>
  <c r="AF41" i="14"/>
  <c r="AB41" i="14"/>
  <c r="T41" i="14"/>
  <c r="L41" i="14"/>
  <c r="AE41" i="14"/>
  <c r="AA41" i="14"/>
  <c r="S41" i="14"/>
  <c r="K41" i="14"/>
  <c r="Z16" i="14"/>
  <c r="V16" i="14"/>
  <c r="U16" i="14"/>
  <c r="S16" i="14"/>
  <c r="L16" i="14"/>
  <c r="Q16" i="14"/>
  <c r="K16" i="14"/>
  <c r="Y16" i="14"/>
  <c r="R16" i="14"/>
  <c r="AK16" i="14"/>
  <c r="AJ16" i="14"/>
  <c r="AH16" i="14"/>
  <c r="AG16" i="14"/>
  <c r="AE16" i="14"/>
  <c r="AD16" i="14"/>
  <c r="AB16" i="14"/>
  <c r="AA16" i="14"/>
  <c r="W16" i="14"/>
  <c r="P16" i="14"/>
  <c r="T16" i="14"/>
  <c r="M16" i="14"/>
  <c r="J16" i="14"/>
  <c r="AL16" i="14"/>
  <c r="AI16" i="14"/>
  <c r="AF16" i="14"/>
  <c r="AC16" i="14"/>
  <c r="O16" i="14"/>
  <c r="N16" i="14"/>
  <c r="X16" i="14"/>
  <c r="I16" i="14"/>
  <c r="R17" i="14"/>
  <c r="M17" i="14"/>
  <c r="K17" i="14"/>
  <c r="T17" i="14"/>
  <c r="L17" i="14"/>
  <c r="J17" i="14"/>
  <c r="S17" i="14"/>
  <c r="N17" i="14"/>
  <c r="I17" i="14"/>
  <c r="Q17" i="14"/>
  <c r="P17" i="14"/>
  <c r="O17" i="14"/>
  <c r="K15" i="14"/>
  <c r="J15" i="14"/>
  <c r="I15" i="14"/>
  <c r="O39" i="12"/>
  <c r="I38" i="12"/>
  <c r="E47" i="12"/>
  <c r="F48" i="12"/>
  <c r="E17" i="12"/>
  <c r="G15" i="12"/>
  <c r="I16" i="12"/>
  <c r="G17" i="12"/>
  <c r="H16" i="12"/>
  <c r="F17" i="12"/>
  <c r="E18" i="12"/>
  <c r="F33" i="12"/>
  <c r="R69" i="12"/>
  <c r="W69" i="12" s="1"/>
  <c r="W70" i="12" s="1"/>
  <c r="F69" i="12"/>
  <c r="K69" i="12" s="1"/>
  <c r="K70" i="12" s="1"/>
  <c r="M69" i="12"/>
  <c r="M70" i="12" s="1"/>
  <c r="E21" i="12"/>
  <c r="M24" i="12"/>
  <c r="G16" i="12"/>
  <c r="I17" i="12"/>
  <c r="F18" i="12"/>
  <c r="G21" i="12"/>
  <c r="E23" i="12"/>
  <c r="M23" i="12"/>
  <c r="H33" i="12"/>
  <c r="M21" i="12"/>
  <c r="H21" i="12"/>
  <c r="E24" i="12"/>
  <c r="E33" i="12"/>
  <c r="Z69" i="12"/>
  <c r="Z70" i="12" s="1"/>
  <c r="E16" i="12"/>
  <c r="E22" i="12"/>
  <c r="M22" i="12"/>
  <c r="N69" i="12"/>
  <c r="N70" i="12" s="1"/>
  <c r="D70" i="12"/>
  <c r="AA69" i="12"/>
  <c r="AA70" i="12" s="1"/>
  <c r="X69" i="12"/>
  <c r="X70" i="12" s="1"/>
  <c r="L69" i="12"/>
  <c r="L70" i="12" s="1"/>
  <c r="O69" i="12"/>
  <c r="O70" i="12" s="1"/>
  <c r="AB69" i="12" l="1"/>
  <c r="AB70" i="12" s="1"/>
  <c r="P69" i="12"/>
  <c r="P70" i="12" s="1"/>
</calcChain>
</file>

<file path=xl/sharedStrings.xml><?xml version="1.0" encoding="utf-8"?>
<sst xmlns="http://schemas.openxmlformats.org/spreadsheetml/2006/main" count="1099" uniqueCount="374">
  <si>
    <t>Danger et Vulnérabilité</t>
  </si>
  <si>
    <t>Source</t>
  </si>
  <si>
    <t>Acceptable</t>
  </si>
  <si>
    <t>HDDS</t>
  </si>
  <si>
    <t>HHS</t>
  </si>
  <si>
    <t>rCSI</t>
  </si>
  <si>
    <t>HEA</t>
  </si>
  <si>
    <t>DS</t>
  </si>
  <si>
    <t>DPME</t>
  </si>
  <si>
    <t>IMC</t>
  </si>
  <si>
    <t>MUAC</t>
  </si>
  <si>
    <t>TBM</t>
  </si>
  <si>
    <t>TMM5</t>
  </si>
  <si>
    <t>Accessible</t>
  </si>
  <si>
    <t>Conclusion</t>
  </si>
  <si>
    <t>Nut</t>
  </si>
  <si>
    <t>Mort</t>
  </si>
  <si>
    <t>Phase 1</t>
  </si>
  <si>
    <t>Phase 2</t>
  </si>
  <si>
    <t>Phase 3</t>
  </si>
  <si>
    <t>Phase 4</t>
  </si>
  <si>
    <t>Phase 5</t>
  </si>
  <si>
    <t>Consommation alimentaire</t>
  </si>
  <si>
    <t>Indicateur</t>
  </si>
  <si>
    <t>Valeur</t>
  </si>
  <si>
    <t>Preuves directes</t>
  </si>
  <si>
    <t>Preuve indirecte</t>
  </si>
  <si>
    <t>Conclusion sur le résultat Statut Nutritionnel</t>
  </si>
  <si>
    <t>Statut Nutritionnel</t>
  </si>
  <si>
    <t>Evolution des moyens d'Existence</t>
  </si>
  <si>
    <t>Admin 1</t>
  </si>
  <si>
    <t>Admin 2</t>
  </si>
  <si>
    <t>Mortalité</t>
  </si>
  <si>
    <t>SITUATION PROJETEE</t>
  </si>
  <si>
    <t>Total</t>
  </si>
  <si>
    <t>Zone 1</t>
  </si>
  <si>
    <t>Zone 2</t>
  </si>
  <si>
    <t>Zone 3</t>
  </si>
  <si>
    <t>Zone 4</t>
  </si>
  <si>
    <t>Proxy calorique :</t>
  </si>
  <si>
    <t>Zone</t>
  </si>
  <si>
    <t>Rappel de la Classification</t>
  </si>
  <si>
    <t>Rappel des hypothèses formulées</t>
  </si>
  <si>
    <t>Classe 1</t>
  </si>
  <si>
    <t>Classe 2</t>
  </si>
  <si>
    <t>Classe 3</t>
  </si>
  <si>
    <t>Classe 4</t>
  </si>
  <si>
    <t>Classe 5</t>
  </si>
  <si>
    <t>Classes</t>
  </si>
  <si>
    <t>ND</t>
  </si>
  <si>
    <t xml:space="preserve"> / </t>
  </si>
  <si>
    <t>Dimensions</t>
  </si>
  <si>
    <t>Synthèse et Classification de la période projetée</t>
  </si>
  <si>
    <t>Ph 1</t>
  </si>
  <si>
    <t>Ph 2</t>
  </si>
  <si>
    <t>Ph 3</t>
  </si>
  <si>
    <t>Ph 4</t>
  </si>
  <si>
    <t>Ph 5</t>
  </si>
  <si>
    <t>-F</t>
  </si>
  <si>
    <t>-M</t>
  </si>
  <si>
    <t>-L</t>
  </si>
  <si>
    <t>+L</t>
  </si>
  <si>
    <t>+M</t>
  </si>
  <si>
    <t>+F</t>
  </si>
  <si>
    <t>ddddd</t>
  </si>
  <si>
    <t>Pop DPME</t>
  </si>
  <si>
    <t>Pop DS</t>
  </si>
  <si>
    <t>Geocode</t>
  </si>
  <si>
    <t>Impact des facteurs contributifs</t>
  </si>
  <si>
    <t xml:space="preserve"> </t>
  </si>
  <si>
    <t>STEP 1 TABLE 1-B - Zone Context Analysis</t>
  </si>
  <si>
    <t>STEP 1 TABLE 1-A Sources of evidence</t>
  </si>
  <si>
    <t>1st Administrative Level</t>
  </si>
  <si>
    <t xml:space="preserve">Analysis period: </t>
  </si>
  <si>
    <t>Document Code (give a sequential number for each source of evidence)</t>
  </si>
  <si>
    <t>Title</t>
  </si>
  <si>
    <t>Brief description of the methodology</t>
  </si>
  <si>
    <t>Date of data collection</t>
  </si>
  <si>
    <t>Country:</t>
  </si>
  <si>
    <t>Date of publication or sharing</t>
  </si>
  <si>
    <t>2nd  administrative level</t>
  </si>
  <si>
    <t>3rd administrative level</t>
  </si>
  <si>
    <t>Total population</t>
  </si>
  <si>
    <t xml:space="preserve"> Cycle Date</t>
  </si>
  <si>
    <t>Recalling previous classications of CH in the area</t>
  </si>
  <si>
    <t xml:space="preserve">Period of the Analysis: </t>
  </si>
  <si>
    <t>current</t>
  </si>
  <si>
    <t>projected</t>
  </si>
  <si>
    <t>Major shocks affecting the area</t>
  </si>
  <si>
    <t>General characteristics of the area</t>
  </si>
  <si>
    <t>Accessibility of the area</t>
  </si>
  <si>
    <t>Protocol inaccessible area</t>
  </si>
  <si>
    <t>Ongoing humanitarian Activities</t>
  </si>
  <si>
    <t>Last 3 cycles of the same period</t>
  </si>
  <si>
    <t>month year n-1</t>
  </si>
  <si>
    <t>month year n-2</t>
  </si>
  <si>
    <t>month year n-3</t>
  </si>
  <si>
    <t>Phase from zone</t>
  </si>
  <si>
    <t>factors</t>
  </si>
  <si>
    <t>Livelihood Zone</t>
  </si>
  <si>
    <t>General description of the baseline of the area - usual characteristic elements</t>
  </si>
  <si>
    <t>Brief description of the economic situation of the analysis period</t>
  </si>
  <si>
    <t>Distribution of households in the area by categories in%</t>
  </si>
  <si>
    <t>Very poor</t>
  </si>
  <si>
    <t>Poor</t>
  </si>
  <si>
    <t>Middle</t>
  </si>
  <si>
    <t>Rich</t>
  </si>
  <si>
    <t>observations</t>
  </si>
  <si>
    <t>Brief description of the livelihood   of the analysis unit</t>
  </si>
  <si>
    <t>%</t>
  </si>
  <si>
    <t>LH2</t>
  </si>
  <si>
    <t>Same</t>
  </si>
  <si>
    <t>LH3</t>
  </si>
  <si>
    <t>gggg</t>
  </si>
  <si>
    <t>LH4</t>
  </si>
  <si>
    <t>without LH</t>
  </si>
  <si>
    <t>Brief  description of the zone where there is no livelihood zone</t>
  </si>
  <si>
    <t>Characterization of the economic context of the zone</t>
  </si>
  <si>
    <t>Limited Access/partially</t>
  </si>
  <si>
    <t>Not accessible</t>
  </si>
  <si>
    <t>Yes</t>
  </si>
  <si>
    <t>No</t>
  </si>
  <si>
    <t>STEP 1-C TABLE 1 - INVENTORY OF EVIDENCE of Contributive Factors</t>
  </si>
  <si>
    <t>Date cycle</t>
  </si>
  <si>
    <t xml:space="preserve">Inventory of available evidence on the contributing factors </t>
  </si>
  <si>
    <t>Factors</t>
  </si>
  <si>
    <t>Report the document code</t>
  </si>
  <si>
    <t>Date of Publication or share</t>
  </si>
  <si>
    <t xml:space="preserve">Labels of the evidence </t>
  </si>
  <si>
    <t>Validity (V1, V2, V3)</t>
  </si>
  <si>
    <t>Temporality (T1, T2, T3)</t>
  </si>
  <si>
    <t>Reliability Score</t>
  </si>
  <si>
    <t>Availability</t>
  </si>
  <si>
    <t>Accessibility</t>
  </si>
  <si>
    <t>Utilization including access to clean water</t>
  </si>
  <si>
    <t>Stability</t>
  </si>
  <si>
    <t>Availibility</t>
  </si>
  <si>
    <t>STEP 1, TABLE 1-D– INVENTORY OF DIRECT EVIDENCE - Outcome Indicators</t>
  </si>
  <si>
    <t>Inventory of Available Evidence on Direct Evidence - Outcome Indicators</t>
  </si>
  <si>
    <t>Outcomes</t>
  </si>
  <si>
    <t>Document Code</t>
  </si>
  <si>
    <t xml:space="preserve">Date of Publication or sharing </t>
  </si>
  <si>
    <t>Labels and value of the evidence</t>
  </si>
  <si>
    <t>Checking Total</t>
  </si>
  <si>
    <t>Food Consumption</t>
  </si>
  <si>
    <t>Evolution of Livelihoods</t>
  </si>
  <si>
    <t>Nutritional status</t>
  </si>
  <si>
    <t>Mortality</t>
  </si>
  <si>
    <t>Value (N/10000/day)</t>
  </si>
  <si>
    <t>Value</t>
  </si>
  <si>
    <t>Phase</t>
  </si>
  <si>
    <t>Zone 1 (Current)</t>
  </si>
  <si>
    <t>Zone 1 (projected)</t>
  </si>
  <si>
    <t>Zone 2 (Current)</t>
  </si>
  <si>
    <t>Zone 2 (projected)</t>
  </si>
  <si>
    <t>Zone 3 (Current)</t>
  </si>
  <si>
    <t>Zone 3 (projected)</t>
  </si>
  <si>
    <t>Zone 4 (Current)</t>
  </si>
  <si>
    <t>Zone 4 (projected)</t>
  </si>
  <si>
    <t>FCS</t>
  </si>
  <si>
    <t>Borderline</t>
  </si>
  <si>
    <t>LH-CS (livelihoods coping strategy)</t>
  </si>
  <si>
    <t>Calorie proxy</t>
  </si>
  <si>
    <t>GAM-W / H</t>
  </si>
  <si>
    <t>GAM-Median</t>
  </si>
  <si>
    <t>GAM-median lean saison</t>
  </si>
  <si>
    <t>BMI</t>
  </si>
  <si>
    <t>MUAC GAM</t>
  </si>
  <si>
    <t>CMR</t>
  </si>
  <si>
    <t>U5MR</t>
  </si>
  <si>
    <t>LPD</t>
  </si>
  <si>
    <t>%Pop LPD</t>
  </si>
  <si>
    <t>SD</t>
  </si>
  <si>
    <t>%Pop SD</t>
  </si>
  <si>
    <t>STEP 2 TABLE 2 - A - ANALYSIS OF EVIDENCE Contributing Factors</t>
  </si>
  <si>
    <t xml:space="preserve">Conclusions on CONTRIBUTING factors of food and nutrition security </t>
  </si>
  <si>
    <t>Elements of analysis</t>
  </si>
  <si>
    <t>Assumptions about the likely evolution of evidence</t>
  </si>
  <si>
    <t xml:space="preserve">Current Situation: </t>
  </si>
  <si>
    <t xml:space="preserve">Projected situation: </t>
  </si>
  <si>
    <t>Hazards</t>
  </si>
  <si>
    <t>Vulnerability</t>
  </si>
  <si>
    <t>Assessment of Impacts</t>
  </si>
  <si>
    <t>FC</t>
  </si>
  <si>
    <t>ELH</t>
  </si>
  <si>
    <t>Negatives</t>
  </si>
  <si>
    <t>Positives</t>
  </si>
  <si>
    <t>Strong</t>
  </si>
  <si>
    <t>Medium</t>
  </si>
  <si>
    <t>Light</t>
  </si>
  <si>
    <t>Worse than usual</t>
  </si>
  <si>
    <t>Similar to  usual</t>
  </si>
  <si>
    <t>Better than  usual</t>
  </si>
  <si>
    <t>Similar to usual</t>
  </si>
  <si>
    <t>Considering the impacts of the elements of Hazards and Vulnerability, how could the food and nutritional situation of the area be assessed compared to the usual conditions for the period of analysis?</t>
  </si>
  <si>
    <t>Considering the impacts of the elements of Availibility, how could the food and nutritional situation of the area be assessed compared to the usual conditions for the period of analysis?</t>
  </si>
  <si>
    <t>Considering the impacts of the elements of Accessibility, how could the food and nutritional situation of the area be assessed compared to the usual conditions for the period of analysis?</t>
  </si>
  <si>
    <t>Considering the impacts of the elements of Utilization, how could the food and nutritional situation of the area be assessed compared to the usual conditions for the period of analysis?</t>
  </si>
  <si>
    <t>Considering the impacts of the elements of Stability, how could the food and nutritional situation of the area be assessed compared to the usual conditions for the period of analysis?</t>
  </si>
  <si>
    <t>Reliablility of Evidence (F1, F2 or F3)</t>
  </si>
  <si>
    <t>Table 2-B - Analysis of the outcomes evidence</t>
  </si>
  <si>
    <t xml:space="preserve">Conclusions on outcomes indicators of food security and nutrition </t>
  </si>
  <si>
    <t>Current Situation:</t>
  </si>
  <si>
    <t>Projected situation:</t>
  </si>
  <si>
    <t>Classification result of food consumption indicators (FC)</t>
  </si>
  <si>
    <t xml:space="preserve">Phase </t>
  </si>
  <si>
    <t>Conclusion on the outcome of food consumption</t>
  </si>
  <si>
    <t>On FC</t>
  </si>
  <si>
    <t>Hazards &amp; Vulnerability</t>
  </si>
  <si>
    <t>Access</t>
  </si>
  <si>
    <t>Utilization</t>
  </si>
  <si>
    <t>Impact of contributing factors</t>
  </si>
  <si>
    <t>Conclusion on the phase of the outcome of FC</t>
  </si>
  <si>
    <t>Conclusion on the outcome of the evolution of Livelihoods</t>
  </si>
  <si>
    <t>Direct Proof</t>
  </si>
  <si>
    <t>Conclusion on the phase of the outcome of CSI-LH</t>
  </si>
  <si>
    <t>LH-CS</t>
  </si>
  <si>
    <t>on LH-CS</t>
  </si>
  <si>
    <t>Classification of nutritional status (Nut)</t>
  </si>
  <si>
    <t>Indicator</t>
  </si>
  <si>
    <t>Values</t>
  </si>
  <si>
    <t>Acceptable, Borderline, Poor</t>
  </si>
  <si>
    <t>Classification of indicators Evolution Livelihoods</t>
  </si>
  <si>
    <t>GAM</t>
  </si>
  <si>
    <t>Historical GAM Median</t>
  </si>
  <si>
    <t>Classification the mortality Outcome</t>
  </si>
  <si>
    <t>n/10000/day</t>
  </si>
  <si>
    <t>Conclusion on the phase of the Mortality outcome</t>
  </si>
  <si>
    <t>On Mortality</t>
  </si>
  <si>
    <t>On Nutritition</t>
  </si>
  <si>
    <t>Conclusion on the phase of the outcome Nutrition</t>
  </si>
  <si>
    <t>Conclusion on mortality Outcome</t>
  </si>
  <si>
    <t>% Pop SD</t>
  </si>
  <si>
    <t>STEP 3 TABLE 3 - Review and Classification</t>
  </si>
  <si>
    <t>current period</t>
  </si>
  <si>
    <t>Synthesis and Classification of the current phase</t>
  </si>
  <si>
    <t>Food</t>
  </si>
  <si>
    <t>Evolution of livelihood</t>
  </si>
  <si>
    <t>Consumption</t>
  </si>
  <si>
    <r>
      <t>IMPACT</t>
    </r>
    <r>
      <rPr>
        <b/>
        <sz val="12"/>
        <color rgb="FF000000"/>
        <rFont val="Calibri"/>
        <family val="2"/>
      </rPr>
      <t xml:space="preserve"> OF CONTRIBUTING FACTORS</t>
    </r>
  </si>
  <si>
    <r>
      <t>Final classification and level of confidence for the 2</t>
    </r>
    <r>
      <rPr>
        <b/>
        <vertAlign val="superscript"/>
        <sz val="12"/>
        <color rgb="FF000000"/>
        <rFont val="Calibri"/>
        <family val="2"/>
      </rPr>
      <t>th</t>
    </r>
    <r>
      <rPr>
        <b/>
        <sz val="12"/>
        <color rgb="FF000000"/>
        <rFont val="Calibri"/>
        <family val="2"/>
      </rPr>
      <t>administrative level</t>
    </r>
  </si>
  <si>
    <t>Hazard and vulnerability</t>
  </si>
  <si>
    <t>Food availability</t>
  </si>
  <si>
    <t>Food Access</t>
  </si>
  <si>
    <t xml:space="preserve"> Foods Utilization , including water</t>
  </si>
  <si>
    <t>Conclusions on the phase of the current situation in area</t>
  </si>
  <si>
    <t>Projected period</t>
  </si>
  <si>
    <t>Conclusions on the phase of the proposed situation in area</t>
  </si>
  <si>
    <t>STEP 4-A, TABLE 4 - Population Estimate</t>
  </si>
  <si>
    <t>STEP 4-A, Table 4: Summary of figures</t>
  </si>
  <si>
    <t>Evolution of livelihoods</t>
  </si>
  <si>
    <t>Classification outcome of food consumption indicators (FC)</t>
  </si>
  <si>
    <t>Conclusion on FC</t>
  </si>
  <si>
    <t>Recall the Classification of FC</t>
  </si>
  <si>
    <t>Classification of indicators on the evolution of Livelihoods</t>
  </si>
  <si>
    <t>CSI-LHS</t>
  </si>
  <si>
    <t>GAM-median</t>
  </si>
  <si>
    <t>Classification of Mortality Outcome Indicators</t>
  </si>
  <si>
    <t>Indirect Proofs</t>
  </si>
  <si>
    <t>Direct evidence</t>
  </si>
  <si>
    <t>Hazards and Vulnerability (% or number of people affected / impacted by type of impact)</t>
  </si>
  <si>
    <t xml:space="preserve"> food utilization including water</t>
  </si>
  <si>
    <t>Recall the classification of the current stage area</t>
  </si>
  <si>
    <t>X% to be used possibly in the convergence of evidence</t>
  </si>
  <si>
    <t>Reminder of the Projected Phase Area Classification</t>
  </si>
  <si>
    <t>Estimated population</t>
  </si>
  <si>
    <t>STEP 4-B TABLE 5 - Populations Estimate</t>
  </si>
  <si>
    <r>
      <t>2</t>
    </r>
    <r>
      <rPr>
        <vertAlign val="superscript"/>
        <sz val="10"/>
        <color rgb="FF000000"/>
        <rFont val="Calibri"/>
        <family val="2"/>
      </rPr>
      <t>th</t>
    </r>
    <r>
      <rPr>
        <sz val="10"/>
        <color rgb="FF000000"/>
        <rFont val="Calibri"/>
        <family val="2"/>
      </rPr>
      <t xml:space="preserve"> administrative level</t>
    </r>
  </si>
  <si>
    <r>
      <t>3</t>
    </r>
    <r>
      <rPr>
        <vertAlign val="superscript"/>
        <sz val="10"/>
        <color rgb="FF000000"/>
        <rFont val="Calibri"/>
        <family val="2"/>
      </rPr>
      <t>th</t>
    </r>
    <r>
      <rPr>
        <sz val="10"/>
        <color rgb="FF000000"/>
        <rFont val="Calibri"/>
        <family val="2"/>
      </rPr>
      <t xml:space="preserve"> administrative level</t>
    </r>
  </si>
  <si>
    <t>Area Classification</t>
  </si>
  <si>
    <t xml:space="preserve">Percentage of households affected for each phase </t>
  </si>
  <si>
    <t xml:space="preserve">Period: </t>
  </si>
  <si>
    <t>CURRENT SITUATION</t>
  </si>
  <si>
    <t>Total population in Phase 1</t>
  </si>
  <si>
    <t>Total population in Phase 2</t>
  </si>
  <si>
    <t>Total population in Phase 3</t>
  </si>
  <si>
    <t>Total population in Phase 4</t>
  </si>
  <si>
    <t>Total population in Phase 5</t>
  </si>
  <si>
    <t>Total population in Phase 3-5</t>
  </si>
  <si>
    <t>Period</t>
  </si>
  <si>
    <t>Famine Protocol</t>
  </si>
  <si>
    <t>Emergency Food Security Assessment(EFSA)</t>
  </si>
  <si>
    <t>WFP/NBS and Partners</t>
  </si>
  <si>
    <t>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t>
  </si>
  <si>
    <t>Oct_2019</t>
  </si>
  <si>
    <t>Agricultural Performance Survey</t>
  </si>
  <si>
    <t>NAERLS &amp; FMA&amp;RD</t>
  </si>
  <si>
    <t>Participatroy approach was used to conduct the survey using a quastionnaire. 
Interaction with 20 farmers in at least 2 ADP zones 
2 LGAs (1 community per LGA) were selected.</t>
  </si>
  <si>
    <t>Aug_2019</t>
  </si>
  <si>
    <t>HEA Outcome Analysis Report</t>
  </si>
  <si>
    <t>Save the Children International</t>
  </si>
  <si>
    <t>Selection of 4 LGA per livelihood zone. 
In each livelihood zone, two community in each LGA was selected
Focus group discusion with 6 to 10 respondents
Input Livelihood Inpact Analysis Spreadsheet for analysis and reporting was done after consolidation of data with relevant stakeholders</t>
  </si>
  <si>
    <t>Food security_SectorDashboard__August 2019</t>
  </si>
  <si>
    <t>Borno Food Security Cluster</t>
  </si>
  <si>
    <t>Monthly consolidation of food security assistance sector Dashboard, North East</t>
  </si>
  <si>
    <t>July_2019</t>
  </si>
  <si>
    <t>HEA-report-July-2019</t>
  </si>
  <si>
    <t>PLAN International</t>
  </si>
  <si>
    <t>The sampling 
frame of 2198 households listed for the Baseline survey  was  used to select 450 respondents in 
the  15  intervention  communities  (10  in  Michika  and  5  in  Askira  Uba).  The  random  sampling 
procedure  was  used  to  select  households  that  participated  in  the  baseline  survey  was  also 
adopted  for  the  selection  of  sampled  households  that  answered  the  Income/Expenditure 
Questionnaire for the HEA.</t>
  </si>
  <si>
    <t>Jul_2019</t>
  </si>
  <si>
    <t>IOM Nigeria DTM Emergency Tracking Tool (ETT) Report No.140 (7 - 13 october 2019)</t>
  </si>
  <si>
    <t>IOM</t>
  </si>
  <si>
    <t>Emergency tracking tool (ETT) households tracking of displaced peoples and population movement</t>
  </si>
  <si>
    <t>Market_Monitoring_Report_NMMB_October2019_Final</t>
  </si>
  <si>
    <t>FEWS NET_WFP</t>
  </si>
  <si>
    <t xml:space="preserve">Data was generated via focus group interview with major stakeholders in main markets in the stakes. 
</t>
  </si>
  <si>
    <t>Sept_2019</t>
  </si>
  <si>
    <t>Rapid_food_security_assessment_damassack_mobbar_lga</t>
  </si>
  <si>
    <t>WFP</t>
  </si>
  <si>
    <t>The complimentary data collection, being 
focus  group  discussions  (FGDs)  held  on  the  6
th
of  May,  2019  with  various  actors  including 
community leaders, market leader and some retail traders. A group of IDPs, host communities and 
returnees were amongst those interviewed.  Therefore, this report combines both the quantitative 
(household survey) and qualitative data (FGDs and interviews).</t>
  </si>
  <si>
    <t>April_2019</t>
  </si>
  <si>
    <t>May_2019</t>
  </si>
  <si>
    <t>Nigeria_DTM_Round_28_Report_August 2019</t>
  </si>
  <si>
    <t>Emergency tracking tool (ETT) households tracking of displaced peoples and population movement. Baseline assessment of displaced peoples</t>
  </si>
  <si>
    <t>Price_bulleting_Aug_Nigeria_2019_08_PB</t>
  </si>
  <si>
    <t>FEWS NET</t>
  </si>
  <si>
    <t>Weekly gathering of information on food prices using the instrument of questionnaire</t>
  </si>
  <si>
    <t>Price_bulleting_Sept_Nigeria_2019_09_PB_0</t>
  </si>
  <si>
    <t>FSS SO1_SO2 Beneficiaries for June to August 2019</t>
  </si>
  <si>
    <t>Jun_2019</t>
  </si>
  <si>
    <t>NG_Livelihood zoning_Report_2018</t>
  </si>
  <si>
    <t>FEWSNET</t>
  </si>
  <si>
    <t>This framework makes practical use of a vast array of information sourced from many levels, including local knowledge, detailed field information taken on household economy at the village level, national census data, official crop production data, price monitoring data from local and regional markets, and so on. The systematic organization of information leads to the identification of 'livelihood zones'.</t>
  </si>
  <si>
    <t>Sept_2018</t>
  </si>
  <si>
    <t>Youth Labour Market Assessment</t>
  </si>
  <si>
    <t>The study used mixed research approach – quantitative and qualitative – to explicit information from 935 respondents (Adamawa – 491 and Borno – 444). The study focused on four programming areas, (1) Small and Medium Enterprises (SME’s), (2), Income Generating Activities, (3) Vocational Skills Training (VST), and (4) Business/market Access and Opportunities.</t>
  </si>
  <si>
    <t>June - July 2019</t>
  </si>
  <si>
    <t>Market Price Data</t>
  </si>
  <si>
    <t>Weekly Market Price Monitoring using questionner and CAPI</t>
  </si>
  <si>
    <t>Pre-harvest Assessment CILSS</t>
  </si>
  <si>
    <t>CILSS/FEWSNET/WFP/FAO/FGN</t>
  </si>
  <si>
    <t>Secondary data collection from all listed partners. The aim was to assess the situation and progress of the cropping season  of which Nigeria recorded a greater percentage above normal rainfall the rainfall in 2019 compared to data analysis of 2018. in Borno, about 10,757 people were affected by flood and about 7,723 were displaced.</t>
  </si>
  <si>
    <t>Nutrition Assessment</t>
  </si>
  <si>
    <t>UNICEF/NBS</t>
  </si>
  <si>
    <t>Cross sectional household survey using 2-stage cluster sampling based on SMART methodology.</t>
  </si>
  <si>
    <t>Hard to reach Area</t>
  </si>
  <si>
    <t>OCHA/REACH</t>
  </si>
  <si>
    <t>Purposive sampling, of individuals with information on Hard to Reach areas that is from within the past three months, either because they have recently arrived from the Hard to Reach area or because they have talked to people with knowledge of the Hard to Reach area</t>
  </si>
  <si>
    <t xml:space="preserve"> Nigeria</t>
  </si>
  <si>
    <t>Borno</t>
  </si>
  <si>
    <t>Shani</t>
  </si>
  <si>
    <t xml:space="preserve">HIGH FOOD PRICES  AND  WATER LOGGING OF SOME ROADS  </t>
  </si>
  <si>
    <t>NG 15 - Located largely in Borno state, with Biu at the center and with just a couple of LGAs in Yobe and Gombe. In this zone, the north to south guinean ecology, the clay loam and sandy loam soils and average annual precipitation of 600-900mm combine to offer a favorable environment for maize production. Farmers cultivate relatively large acreages relative to other zones. With the more intensive maize production, the moderately fertile soils require added urea etc. for maximal harvests. The second food crop is rice, essentially under rainfed cultivation but with some production assisted by residual moisture in low-lying, swampy locations. With the relatively recent introduction of soybeans and their high market demand, this has rapidly become the biggest cash crop, overtaking cowpeas and groundnuts.For livestock ownership the accent is more on goats and sheep than cattle</t>
  </si>
  <si>
    <t xml:space="preserve">Farming activities is active in the area  and now harvesting  is in progress . The price of food and non food items are escalating in the area  due to border closer  high demend and short supplies . Because of seasonality  some communitities become in accessible  </t>
  </si>
  <si>
    <t xml:space="preserve">Many people in this area are either poor or very poor and migtht have been adapting a coping strategy </t>
  </si>
  <si>
    <t>NG 15</t>
  </si>
  <si>
    <t>56.0% expriences conflict between patorialist and farmers</t>
  </si>
  <si>
    <t>24.7% of people are affected by conflict/insecurity</t>
  </si>
  <si>
    <t>Administrative level (L1, L2, L3)</t>
  </si>
  <si>
    <t>V2</t>
  </si>
  <si>
    <t>T3</t>
  </si>
  <si>
    <t>N3</t>
  </si>
  <si>
    <t>Representation level (N0, 1, 2)</t>
  </si>
  <si>
    <t>V3</t>
  </si>
  <si>
    <t>6.1% of the total population experinces loss of employment/reduced income</t>
  </si>
  <si>
    <t>6.1% are affected by high food pries</t>
  </si>
  <si>
    <t>17.7% of the population hosted IDPs, 3387  IDPs are  in the area</t>
  </si>
  <si>
    <t xml:space="preserve">About 1.0% of the population experiences heavy flood </t>
  </si>
  <si>
    <t>46.0% Have access to portable drinking water</t>
  </si>
  <si>
    <t>about 1.0% of the population uses own flush toilet,  0.7% uses standared flush toilet, 18.3% uses cement pit toilet, 57.3% uses dirt pit laterin, 22.7% uses open defication(bush).but majority(57.3%) of the HH are seen to use dirty pit laterin.</t>
  </si>
  <si>
    <t>About 20.2 % reported cases of sickness</t>
  </si>
  <si>
    <t>only 4.5% of the population have unsafe drinking water.</t>
  </si>
  <si>
    <t>About 42.7% of the population will participate in the next dry season farming</t>
  </si>
  <si>
    <t>39.3% of the population have food stock to last only for 3-6 months and 20.0% will have stock for about 6-9months while 6% in 9-12 will experince low stock.</t>
  </si>
  <si>
    <t>The  market price compared with  4 years average data shows that there is decrease in maize 56%, Rice 4 %, Millet 70%, Cowpea 134%, Groundnut 9% and Sorghum 80%</t>
  </si>
  <si>
    <t>N2</t>
  </si>
  <si>
    <t>T2</t>
  </si>
  <si>
    <t xml:space="preserve"> oct-19</t>
  </si>
  <si>
    <t>The insecurity situation will improved</t>
  </si>
  <si>
    <t xml:space="preserve">The off-farm activities wil continue </t>
  </si>
  <si>
    <t>Dry season farming activities will cushion the effct of high food prices</t>
  </si>
  <si>
    <t>The insecurity situation of the area is low with a few IDPs.  The major challenge (36%) in the area is pastoralist- farmer conflict</t>
  </si>
  <si>
    <t>The situation of the area may like improve considering the dry season farming  activities  and  other  off-farm activities. The impact may remain same.</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</si>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</sst>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 _€_-;\-* #,##0.00\ _€_-;_-* &quot;-&quot;??\ _€_-;_-@_-"/>
    <numFmt numFmtId="165" formatCode="_-* #,##0\ _€_-;\-* #,##0\ _€_-;_-* &quot;-&quot;??\ _€_-;_-@_-"/>
    <numFmt numFmtId="166" formatCode="[$-40C]d\ mmmm\ yyyy;@"/>
    <numFmt numFmtId="167" formatCode="[$-40C]d\-mmm\-yyyy;@"/>
    <numFmt numFmtId="168" formatCode="0.0%"/>
    <numFmt numFmtId="169" formatCode="0.0"/>
    <numFmt numFmtId="170" formatCode="d/m;@"/>
    <numFmt numFmtId="173" formatCode="[$-409]mmm\-yy;@"/>
  </numFmts>
  <fonts count="74"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font>
    <font>
      <sz val="10"/>
      <color theme="1"/>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b/>
      <sz val="10"/>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sz val="9"/>
      <color theme="1"/>
      <name val="Calibri"/>
      <family val="2"/>
      <scheme val="minor"/>
    </font>
    <font>
      <b/>
      <sz val="9"/>
      <color theme="1"/>
      <name val="Calibri"/>
      <family val="2"/>
      <scheme val="minor"/>
    </font>
    <font>
      <sz val="11"/>
      <name val="Calibri"/>
      <family val="2"/>
      <scheme val="minor"/>
    </font>
    <font>
      <b/>
      <sz val="16"/>
      <name val="Calibri"/>
      <family val="2"/>
      <scheme val="minor"/>
    </font>
    <font>
      <i/>
      <sz val="9"/>
      <name val="Calibri"/>
      <family val="2"/>
      <scheme val="minor"/>
    </font>
    <font>
      <sz val="8"/>
      <name val="Calibri"/>
      <family val="2"/>
      <scheme val="minor"/>
    </font>
    <font>
      <b/>
      <sz val="8"/>
      <name val="Calibri"/>
      <family val="2"/>
      <scheme val="minor"/>
    </font>
    <font>
      <b/>
      <sz val="8"/>
      <color theme="0"/>
      <name val="Calibri"/>
      <family val="2"/>
      <scheme val="minor"/>
    </font>
    <font>
      <b/>
      <sz val="12"/>
      <name val="Calibri"/>
      <family val="2"/>
      <scheme val="minor"/>
    </font>
    <font>
      <sz val="10"/>
      <color rgb="FFFF0000"/>
      <name val="Calibri"/>
      <family val="2"/>
      <scheme val="minor"/>
    </font>
    <font>
      <b/>
      <sz val="11"/>
      <color rgb="FFFF0000"/>
      <name val="Calibri"/>
      <family val="2"/>
      <scheme val="minor"/>
    </font>
    <font>
      <b/>
      <sz val="12"/>
      <color theme="0"/>
      <name val="Calibri"/>
      <family val="2"/>
      <scheme val="minor"/>
    </font>
    <font>
      <b/>
      <sz val="11"/>
      <color theme="0"/>
      <name val="Calibri"/>
      <family val="2"/>
      <scheme val="minor"/>
    </font>
    <font>
      <b/>
      <sz val="14"/>
      <color theme="0"/>
      <name val="Calibri"/>
      <family val="2"/>
    </font>
    <font>
      <b/>
      <u/>
      <sz val="11"/>
      <color theme="0"/>
      <name val="Calibri"/>
      <family val="2"/>
      <scheme val="minor"/>
    </font>
    <font>
      <b/>
      <sz val="12"/>
      <color theme="0"/>
      <name val="Calibri"/>
      <family val="2"/>
    </font>
    <font>
      <sz val="12"/>
      <color theme="0"/>
      <name val="Calibri"/>
      <family val="2"/>
      <scheme val="minor"/>
    </font>
    <font>
      <b/>
      <u/>
      <sz val="12"/>
      <color theme="0"/>
      <name val="Calibri"/>
      <family val="2"/>
      <scheme val="minor"/>
    </font>
    <font>
      <b/>
      <sz val="18"/>
      <color theme="0"/>
      <name val="Calibri"/>
      <family val="2"/>
      <scheme val="minor"/>
    </font>
    <font>
      <b/>
      <sz val="16"/>
      <color theme="0"/>
      <name val="Calibri"/>
      <family val="2"/>
      <scheme val="minor"/>
    </font>
    <font>
      <b/>
      <sz val="20"/>
      <color theme="0"/>
      <name val="Calibri"/>
      <family val="2"/>
      <scheme val="minor"/>
    </font>
    <font>
      <sz val="10"/>
      <color theme="0"/>
      <name val="Calibri"/>
      <family val="2"/>
      <scheme val="minor"/>
    </font>
    <font>
      <b/>
      <sz val="11"/>
      <name val="Calibri"/>
      <family val="2"/>
      <scheme val="minor"/>
    </font>
    <font>
      <sz val="11"/>
      <color theme="0" tint="-0.249977111117893"/>
      <name val="Calibri"/>
      <family val="2"/>
      <scheme val="minor"/>
    </font>
    <font>
      <sz val="9"/>
      <color theme="0" tint="-0.249977111117893"/>
      <name val="Calibri"/>
      <family val="2"/>
      <scheme val="minor"/>
    </font>
    <font>
      <sz val="10"/>
      <name val="Calibri"/>
      <family val="2"/>
      <scheme val="minor"/>
    </font>
    <font>
      <b/>
      <sz val="10"/>
      <color theme="0" tint="-0.249977111117893"/>
      <name val="Calibri"/>
      <family val="2"/>
      <scheme val="minor"/>
    </font>
    <font>
      <sz val="7"/>
      <color theme="0" tint="-0.249977111117893"/>
      <name val="Calibri"/>
      <family val="2"/>
      <scheme val="minor"/>
    </font>
    <font>
      <b/>
      <sz val="10"/>
      <color theme="0" tint="-0.499984740745262"/>
      <name val="Calibri"/>
      <family val="2"/>
      <scheme val="minor"/>
    </font>
    <font>
      <sz val="8"/>
      <color rgb="FFFF0000"/>
      <name val="Calibri"/>
      <family val="2"/>
      <scheme val="minor"/>
    </font>
    <font>
      <b/>
      <sz val="10"/>
      <color rgb="FF000000"/>
      <name val="Calibri"/>
      <family val="2"/>
    </font>
    <font>
      <sz val="10"/>
      <color rgb="FF000000"/>
      <name val="Calibri"/>
      <family val="2"/>
    </font>
    <font>
      <b/>
      <sz val="11"/>
      <color rgb="FF000000"/>
      <name val="Calibri"/>
      <family val="2"/>
    </font>
    <font>
      <sz val="8"/>
      <color theme="1"/>
      <name val="Times New Roman"/>
      <family val="1"/>
    </font>
    <font>
      <sz val="9"/>
      <name val="Calibri"/>
      <family val="2"/>
      <scheme val="minor"/>
    </font>
    <font>
      <b/>
      <sz val="16"/>
      <color theme="0"/>
      <name val="Calibri"/>
      <family val="2"/>
    </font>
    <font>
      <b/>
      <sz val="10"/>
      <name val="Calibri"/>
      <family val="2"/>
      <scheme val="minor"/>
    </font>
    <font>
      <sz val="11.5"/>
      <color rgb="FF000000"/>
      <name val="Arial"/>
      <family val="2"/>
    </font>
    <font>
      <b/>
      <sz val="10"/>
      <color theme="0"/>
      <name val="Calibri"/>
      <family val="2"/>
      <scheme val="minor"/>
    </font>
    <font>
      <b/>
      <sz val="11"/>
      <color theme="1"/>
      <name val="Calibri"/>
      <family val="2"/>
    </font>
    <font>
      <sz val="12"/>
      <name val="Calibri"/>
      <family val="2"/>
      <scheme val="minor"/>
    </font>
    <font>
      <b/>
      <sz val="10"/>
      <color theme="1"/>
      <name val="Calibri"/>
      <family val="2"/>
    </font>
    <font>
      <sz val="10"/>
      <color theme="1"/>
      <name val="Calibri"/>
      <family val="2"/>
    </font>
    <font>
      <b/>
      <sz val="9"/>
      <name val="Calibri"/>
      <family val="2"/>
      <scheme val="minor"/>
    </font>
    <font>
      <sz val="9"/>
      <color theme="0"/>
      <name val="Calibri"/>
      <family val="2"/>
      <scheme val="minor"/>
    </font>
    <font>
      <b/>
      <sz val="9"/>
      <color theme="0"/>
      <name val="Calibri"/>
      <family val="2"/>
      <scheme val="minor"/>
    </font>
    <font>
      <b/>
      <i/>
      <sz val="9"/>
      <name val="Calibri"/>
      <family val="2"/>
      <scheme val="minor"/>
    </font>
    <font>
      <sz val="12"/>
      <color rgb="FFFFFFFF"/>
      <name val="Calibri"/>
      <family val="2"/>
    </font>
    <font>
      <sz val="11"/>
      <color rgb="FFFFFFFF"/>
      <name val="Calibri"/>
      <family val="2"/>
    </font>
    <font>
      <sz val="11"/>
      <color rgb="FF808080"/>
      <name val="Calibri"/>
      <family val="2"/>
    </font>
    <font>
      <sz val="12"/>
      <color rgb="FF000000"/>
      <name val="Calibri"/>
      <family val="2"/>
    </font>
    <font>
      <sz val="11"/>
      <color theme="1"/>
      <name val="Calibri"/>
      <family val="2"/>
    </font>
    <font>
      <sz val="11"/>
      <color rgb="FF000000"/>
      <name val="Calibri"/>
      <family val="2"/>
    </font>
    <font>
      <sz val="9"/>
      <color rgb="FF000000"/>
      <name val="Calibri"/>
      <family val="2"/>
    </font>
    <font>
      <b/>
      <sz val="9"/>
      <color rgb="FF000000"/>
      <name val="Calibri"/>
      <family val="2"/>
    </font>
    <font>
      <b/>
      <sz val="12"/>
      <color rgb="FF000000"/>
      <name val="Calibri"/>
      <family val="2"/>
    </font>
    <font>
      <b/>
      <sz val="8"/>
      <name val="Calibri"/>
      <family val="2"/>
    </font>
    <font>
      <sz val="10"/>
      <color rgb="FFFFFFFF"/>
      <name val="Calibri"/>
      <family val="2"/>
    </font>
    <font>
      <b/>
      <u/>
      <sz val="12"/>
      <color rgb="FF000000"/>
      <name val="Calibri"/>
      <family val="2"/>
    </font>
    <font>
      <b/>
      <vertAlign val="superscript"/>
      <sz val="12"/>
      <color rgb="FF000000"/>
      <name val="Calibri"/>
      <family val="2"/>
    </font>
    <font>
      <vertAlign val="superscript"/>
      <sz val="10"/>
      <color rgb="FF000000"/>
      <name val="Calibri"/>
      <family val="2"/>
    </font>
  </fonts>
  <fills count="54">
    <fill>
      <patternFill patternType="none"/>
    </fill>
    <fill>
      <patternFill patternType="gray125"/>
    </fill>
    <fill>
      <patternFill patternType="solid">
        <fgColor theme="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7" tint="-0.499984740745262"/>
        <bgColor indexed="64"/>
      </patternFill>
    </fill>
    <fill>
      <patternFill patternType="solid">
        <fgColor theme="7" tint="0.39997558519241921"/>
        <bgColor indexed="64"/>
      </patternFill>
    </fill>
    <fill>
      <patternFill patternType="solid">
        <fgColor rgb="FF0070C0"/>
        <bgColor indexed="64"/>
      </patternFill>
    </fill>
    <fill>
      <patternFill patternType="solid">
        <fgColor theme="0"/>
        <bgColor indexed="64"/>
      </patternFill>
    </fill>
    <fill>
      <patternFill patternType="solid">
        <fgColor rgb="FFD9D9D9"/>
        <bgColor indexed="64"/>
      </patternFill>
    </fill>
    <fill>
      <patternFill patternType="solid">
        <fgColor rgb="FFFAE61E"/>
        <bgColor indexed="64"/>
      </patternFill>
    </fill>
    <fill>
      <patternFill patternType="solid">
        <fgColor rgb="FFE67800"/>
        <bgColor indexed="64"/>
      </patternFill>
    </fill>
    <fill>
      <patternFill patternType="solid">
        <fgColor rgb="FFC80000"/>
        <bgColor indexed="64"/>
      </patternFill>
    </fill>
    <fill>
      <patternFill patternType="solid">
        <fgColor rgb="FF640000"/>
        <bgColor indexed="64"/>
      </patternFill>
    </fill>
    <fill>
      <patternFill patternType="solid">
        <fgColor rgb="FFFF0000"/>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2F2F2"/>
        <bgColor indexed="64"/>
      </patternFill>
    </fill>
    <fill>
      <patternFill patternType="solid">
        <fgColor rgb="FFFDE9D9"/>
        <bgColor indexed="64"/>
      </patternFill>
    </fill>
    <fill>
      <patternFill patternType="solid">
        <fgColor rgb="FFDDD9C3"/>
        <bgColor indexed="64"/>
      </patternFill>
    </fill>
    <fill>
      <patternFill patternType="solid">
        <fgColor theme="2" tint="-9.9948118533890809E-2"/>
        <bgColor indexed="64"/>
      </patternFill>
    </fill>
    <fill>
      <patternFill patternType="solid">
        <fgColor rgb="FFFFFF00"/>
        <bgColor indexed="64"/>
      </patternFill>
    </fill>
    <fill>
      <patternFill patternType="lightTrellis">
        <bgColor rgb="FFCACACA"/>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rgb="FF99FF99"/>
        <bgColor indexed="64"/>
      </patternFill>
    </fill>
    <fill>
      <patternFill patternType="solid">
        <fgColor theme="9" tint="-0.499984740745262"/>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rgb="FFE2EFD9"/>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4"/>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DFACD"/>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375623"/>
        <bgColor rgb="FF000000"/>
      </patternFill>
    </fill>
    <fill>
      <patternFill patternType="solid">
        <fgColor rgb="FFEDEDED"/>
        <bgColor rgb="FF000000"/>
      </patternFill>
    </fill>
    <fill>
      <patternFill patternType="solid">
        <fgColor rgb="FFDDEBF7"/>
        <bgColor rgb="FF000000"/>
      </patternFill>
    </fill>
    <fill>
      <patternFill patternType="solid">
        <fgColor rgb="FFE2EFDA"/>
        <bgColor rgb="FF000000"/>
      </patternFill>
    </fill>
    <fill>
      <patternFill patternType="solid">
        <fgColor rgb="FFD9E1F2"/>
        <bgColor rgb="FF000000"/>
      </patternFill>
    </fill>
    <fill>
      <patternFill patternType="solid">
        <fgColor rgb="FFF2F2F2"/>
        <bgColor rgb="FF000000"/>
      </patternFill>
    </fill>
    <fill>
      <patternFill patternType="solid">
        <fgColor rgb="FF5B9BD5"/>
        <bgColor rgb="FF000000"/>
      </patternFill>
    </fill>
    <fill>
      <patternFill patternType="solid">
        <fgColor rgb="FFFFFFFF"/>
        <bgColor rgb="FF000000"/>
      </patternFill>
    </fill>
    <fill>
      <patternFill patternType="solid">
        <fgColor rgb="FF0070C0"/>
        <bgColor rgb="FF000000"/>
      </patternFill>
    </fill>
    <fill>
      <patternFill patternType="solid">
        <fgColor rgb="FFD9D9D9"/>
        <bgColor rgb="FF000000"/>
      </patternFill>
    </fill>
    <fill>
      <patternFill patternType="solid">
        <fgColor rgb="FFE5DFEC"/>
        <bgColor rgb="FF000000"/>
      </patternFill>
    </fill>
    <fill>
      <patternFill patternType="solid">
        <fgColor rgb="FFDAEEF3"/>
        <bgColor rgb="FF000000"/>
      </patternFill>
    </fill>
  </fills>
  <borders count="1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bottom style="medium">
        <color indexed="64"/>
      </bottom>
      <diagonal/>
    </border>
    <border>
      <left style="thick">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ck">
        <color rgb="FFC2D69B"/>
      </left>
      <right style="medium">
        <color rgb="FFC2D69B"/>
      </right>
      <top style="thick">
        <color rgb="FFA6A6A6"/>
      </top>
      <bottom/>
      <diagonal/>
    </border>
    <border>
      <left style="thick">
        <color rgb="FFC2D69B"/>
      </left>
      <right style="medium">
        <color rgb="FFC2D69B"/>
      </right>
      <top/>
      <bottom/>
      <diagonal/>
    </border>
    <border>
      <left/>
      <right style="medium">
        <color rgb="FFC2D69B"/>
      </right>
      <top/>
      <bottom/>
      <diagonal/>
    </border>
    <border>
      <left/>
      <right style="mediumDashed">
        <color rgb="FFC2D69B"/>
      </right>
      <top style="thick">
        <color rgb="FFA6A6A6"/>
      </top>
      <bottom style="medium">
        <color rgb="FFC2D69B"/>
      </bottom>
      <diagonal/>
    </border>
    <border>
      <left/>
      <right/>
      <top style="thick">
        <color rgb="FFA6A6A6"/>
      </top>
      <bottom style="medium">
        <color rgb="FFC2D69B"/>
      </bottom>
      <diagonal/>
    </border>
    <border>
      <left/>
      <right style="medium">
        <color rgb="FFC2D69B"/>
      </right>
      <top/>
      <bottom style="medium">
        <color rgb="FFC2D69B"/>
      </bottom>
      <diagonal/>
    </border>
    <border>
      <left style="medium">
        <color rgb="FFC2D69B"/>
      </left>
      <right style="medium">
        <color rgb="FFC2D69B"/>
      </right>
      <top style="thick">
        <color rgb="FFA6A6A6"/>
      </top>
      <bottom/>
      <diagonal/>
    </border>
    <border>
      <left style="medium">
        <color rgb="FFC2D69B"/>
      </left>
      <right style="medium">
        <color rgb="FFC2D69B"/>
      </right>
      <top/>
      <bottom/>
      <diagonal/>
    </border>
    <border>
      <left style="medium">
        <color rgb="FFC2D69B"/>
      </left>
      <right style="medium">
        <color rgb="FFC2D69B"/>
      </right>
      <top/>
      <bottom style="thick">
        <color rgb="FFC2D69B"/>
      </bottom>
      <diagonal/>
    </border>
    <border>
      <left style="medium">
        <color rgb="FFC2D69B"/>
      </left>
      <right/>
      <top style="thick">
        <color rgb="FFA6A6A6"/>
      </top>
      <bottom style="medium">
        <color rgb="FFC2D69B"/>
      </bottom>
      <diagonal/>
    </border>
    <border>
      <left style="thick">
        <color rgb="FFBFBFBF"/>
      </left>
      <right style="thick">
        <color rgb="FFC2D69B"/>
      </right>
      <top style="thick">
        <color rgb="FFA6A6A6"/>
      </top>
      <bottom/>
      <diagonal/>
    </border>
    <border>
      <left style="medium">
        <color rgb="FFC2D69B"/>
      </left>
      <right style="medium">
        <color rgb="FFC2D69B"/>
      </right>
      <top style="medium">
        <color rgb="FFC2D69B"/>
      </top>
      <bottom/>
      <diagonal/>
    </border>
    <border>
      <left style="medium">
        <color rgb="FFC2D69B"/>
      </left>
      <right style="mediumDashed">
        <color rgb="FFC2D69B"/>
      </right>
      <top style="medium">
        <color rgb="FFC2D69B"/>
      </top>
      <bottom/>
      <diagonal/>
    </border>
    <border>
      <left style="medium">
        <color rgb="FFC2D69B"/>
      </left>
      <right style="mediumDashed">
        <color rgb="FFC2D69B"/>
      </right>
      <top/>
      <bottom style="thick">
        <color rgb="FFC2D69B"/>
      </bottom>
      <diagonal/>
    </border>
    <border>
      <left style="thick">
        <color rgb="FFFFFFFF"/>
      </left>
      <right style="thick">
        <color rgb="FFFFFFFF"/>
      </right>
      <top/>
      <bottom/>
      <diagonal/>
    </border>
    <border>
      <left style="thick">
        <color rgb="FFFFFFFF"/>
      </left>
      <right style="thick">
        <color rgb="FFF2F2F2"/>
      </right>
      <top/>
      <bottom/>
      <diagonal/>
    </border>
    <border>
      <left style="thick">
        <color rgb="FFF2F2F2"/>
      </left>
      <right/>
      <top/>
      <bottom style="mediumDashed">
        <color rgb="FFD9D9D9"/>
      </bottom>
      <diagonal/>
    </border>
    <border>
      <left/>
      <right/>
      <top/>
      <bottom style="mediumDashed">
        <color rgb="FFD9D9D9"/>
      </bottom>
      <diagonal/>
    </border>
    <border>
      <left/>
      <right style="mediumDashed">
        <color rgb="FFC2D69B"/>
      </right>
      <top/>
      <bottom style="mediumDashed">
        <color rgb="FFD9D9D9"/>
      </bottom>
      <diagonal/>
    </border>
    <border>
      <left style="mediumDashed">
        <color rgb="FFC2D69B"/>
      </left>
      <right/>
      <top/>
      <bottom style="mediumDashed">
        <color rgb="FFD9D9D9"/>
      </bottom>
      <diagonal/>
    </border>
    <border>
      <left style="thick">
        <color rgb="FFF2F2F2"/>
      </left>
      <right style="thick">
        <color rgb="FFD9D9D9"/>
      </right>
      <top style="mediumDashed">
        <color rgb="FFD9D9D9"/>
      </top>
      <bottom/>
      <diagonal/>
    </border>
    <border>
      <left style="thick">
        <color rgb="FFD9D9D9"/>
      </left>
      <right/>
      <top style="mediumDashed">
        <color rgb="FFD9D9D9"/>
      </top>
      <bottom/>
      <diagonal/>
    </border>
    <border>
      <left/>
      <right/>
      <top style="mediumDashed">
        <color rgb="FFD9D9D9"/>
      </top>
      <bottom/>
      <diagonal/>
    </border>
    <border>
      <left/>
      <right style="thick">
        <color rgb="FFD9D9D9"/>
      </right>
      <top style="mediumDashed">
        <color rgb="FFD9D9D9"/>
      </top>
      <bottom/>
      <diagonal/>
    </border>
    <border>
      <left style="thick">
        <color rgb="FFD9D9D9"/>
      </left>
      <right style="mediumDashed">
        <color rgb="FFC2D69B"/>
      </right>
      <top style="mediumDashed">
        <color rgb="FFD9D9D9"/>
      </top>
      <bottom/>
      <diagonal/>
    </border>
    <border>
      <left/>
      <right style="thick">
        <color rgb="FFD9D9D9"/>
      </right>
      <top/>
      <bottom/>
      <diagonal/>
    </border>
    <border>
      <left style="thick">
        <color rgb="FFD9D9D9"/>
      </left>
      <right style="thick">
        <color rgb="FFD9D9D9"/>
      </right>
      <top style="mediumDashed">
        <color rgb="FFD9D9D9"/>
      </top>
      <bottom/>
      <diagonal/>
    </border>
    <border>
      <left style="thick">
        <color rgb="FFF2F2F2"/>
      </left>
      <right style="thick">
        <color rgb="FFD9D9D9"/>
      </right>
      <top/>
      <bottom/>
      <diagonal/>
    </border>
    <border>
      <left style="thick">
        <color rgb="FFD9D9D9"/>
      </left>
      <right/>
      <top/>
      <bottom/>
      <diagonal/>
    </border>
    <border>
      <left style="thick">
        <color rgb="FFD9D9D9"/>
      </left>
      <right style="mediumDashed">
        <color rgb="FFC2D69B"/>
      </right>
      <top/>
      <bottom/>
      <diagonal/>
    </border>
    <border>
      <left style="thick">
        <color rgb="FFD9D9D9"/>
      </left>
      <right style="thick">
        <color rgb="FFD9D9D9"/>
      </right>
      <top/>
      <bottom/>
      <diagonal/>
    </border>
    <border>
      <left style="thick">
        <color rgb="FFF2F2F2"/>
      </left>
      <right/>
      <top/>
      <bottom/>
      <diagonal/>
    </border>
    <border>
      <left/>
      <right style="mediumDashed">
        <color rgb="FFC2D69B"/>
      </right>
      <top style="medium">
        <color indexed="64"/>
      </top>
      <bottom style="medium">
        <color rgb="FFC2D69B"/>
      </bottom>
      <diagonal/>
    </border>
    <border>
      <left/>
      <right style="medium">
        <color indexed="64"/>
      </right>
      <top style="medium">
        <color indexed="64"/>
      </top>
      <bottom style="medium">
        <color rgb="FFC2D69B"/>
      </bottom>
      <diagonal/>
    </border>
    <border>
      <left style="medium">
        <color indexed="64"/>
      </left>
      <right style="mediumDashed">
        <color rgb="FFC2D69B"/>
      </right>
      <top style="medium">
        <color indexed="64"/>
      </top>
      <bottom style="medium">
        <color indexed="64"/>
      </bottom>
      <diagonal/>
    </border>
    <border>
      <left/>
      <right style="dotted">
        <color rgb="FFC2D69B"/>
      </right>
      <top style="medium">
        <color indexed="64"/>
      </top>
      <bottom style="medium">
        <color indexed="64"/>
      </bottom>
      <diagonal/>
    </border>
    <border>
      <left/>
      <right style="mediumDashed">
        <color rgb="FFC2D69B"/>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indexed="64"/>
      </top>
      <bottom style="thin">
        <color theme="0"/>
      </bottom>
      <diagonal/>
    </border>
    <border>
      <left/>
      <right style="thin">
        <color theme="0"/>
      </right>
      <top/>
      <bottom/>
      <diagonal/>
    </border>
    <border>
      <left/>
      <right/>
      <top style="medium">
        <color indexed="64"/>
      </top>
      <bottom style="thin">
        <color theme="0"/>
      </bottom>
      <diagonal/>
    </border>
    <border>
      <left/>
      <right/>
      <top style="thin">
        <color theme="0"/>
      </top>
      <bottom style="thin">
        <color indexed="64"/>
      </bottom>
      <diagonal/>
    </border>
    <border>
      <left/>
      <right/>
      <top style="thin">
        <color theme="0"/>
      </top>
      <bottom style="thin">
        <color theme="0"/>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thick">
        <color rgb="FFA8D08D"/>
      </top>
      <bottom style="thick">
        <color rgb="FFA8D08D"/>
      </bottom>
      <diagonal/>
    </border>
    <border>
      <left/>
      <right style="thick">
        <color rgb="FF000000"/>
      </right>
      <top style="thick">
        <color rgb="FFA8D08D"/>
      </top>
      <bottom style="thick">
        <color rgb="FFA8D08D"/>
      </bottom>
      <diagonal/>
    </border>
    <border>
      <left/>
      <right/>
      <top style="thick">
        <color rgb="FFA8D08D"/>
      </top>
      <bottom style="thick">
        <color rgb="FF000000"/>
      </bottom>
      <diagonal/>
    </border>
    <border>
      <left/>
      <right style="thick">
        <color rgb="FF000000"/>
      </right>
      <top style="thick">
        <color rgb="FFA8D08D"/>
      </top>
      <bottom style="thick">
        <color rgb="FF000000"/>
      </bottom>
      <diagonal/>
    </border>
    <border>
      <left/>
      <right style="medium">
        <color rgb="FF000000"/>
      </right>
      <top/>
      <bottom style="thick">
        <color rgb="FF000000"/>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ck">
        <color rgb="FFD9D9D9"/>
      </right>
      <top/>
      <bottom style="medium">
        <color indexed="64"/>
      </bottom>
      <diagonal/>
    </border>
    <border>
      <left style="thick">
        <color rgb="FFD9D9D9"/>
      </left>
      <right style="mediumDashed">
        <color rgb="FFC2D69B"/>
      </right>
      <top/>
      <bottom style="medium">
        <color indexed="64"/>
      </bottom>
      <diagonal/>
    </border>
    <border>
      <left style="thick">
        <color rgb="FFD9D9D9"/>
      </left>
      <right style="thick">
        <color rgb="FFD9D9D9"/>
      </right>
      <top/>
      <bottom style="medium">
        <color indexed="64"/>
      </bottom>
      <diagonal/>
    </border>
    <border>
      <left style="mediumDashed">
        <color rgb="FFC2D69B"/>
      </left>
      <right/>
      <top style="medium">
        <color rgb="FFC2D69B"/>
      </top>
      <bottom/>
      <diagonal/>
    </border>
    <border>
      <left style="mediumDashed">
        <color rgb="FFC2D69B"/>
      </left>
      <right/>
      <top/>
      <bottom style="medium">
        <color rgb="FFC2D69B"/>
      </bottom>
      <diagonal/>
    </border>
    <border>
      <left style="medium">
        <color rgb="FF92D050"/>
      </left>
      <right style="medium">
        <color rgb="FF92D050"/>
      </right>
      <top style="medium">
        <color rgb="FF92D050"/>
      </top>
      <bottom style="medium">
        <color rgb="FF92D050"/>
      </bottom>
      <diagonal/>
    </border>
    <border>
      <left style="medium">
        <color rgb="FF92D050"/>
      </left>
      <right style="thin">
        <color indexed="64"/>
      </right>
      <top style="medium">
        <color rgb="FF92D050"/>
      </top>
      <bottom style="thin">
        <color indexed="64"/>
      </bottom>
      <diagonal/>
    </border>
    <border>
      <left style="thin">
        <color indexed="64"/>
      </left>
      <right style="thin">
        <color indexed="64"/>
      </right>
      <top style="medium">
        <color rgb="FF92D050"/>
      </top>
      <bottom style="thin">
        <color indexed="64"/>
      </bottom>
      <diagonal/>
    </border>
    <border>
      <left style="medium">
        <color rgb="FF92D050"/>
      </left>
      <right style="thin">
        <color indexed="64"/>
      </right>
      <top style="thin">
        <color indexed="64"/>
      </top>
      <bottom style="thin">
        <color indexed="64"/>
      </bottom>
      <diagonal/>
    </border>
    <border>
      <left style="medium">
        <color rgb="FF92D050"/>
      </left>
      <right style="thin">
        <color indexed="64"/>
      </right>
      <top style="thin">
        <color indexed="64"/>
      </top>
      <bottom style="medium">
        <color rgb="FF92D050"/>
      </bottom>
      <diagonal/>
    </border>
    <border>
      <left style="medium">
        <color rgb="FF92D050"/>
      </left>
      <right/>
      <top style="medium">
        <color rgb="FF92D050"/>
      </top>
      <bottom/>
      <diagonal/>
    </border>
    <border>
      <left/>
      <right/>
      <top style="medium">
        <color rgb="FF92D050"/>
      </top>
      <bottom/>
      <diagonal/>
    </border>
    <border>
      <left style="medium">
        <color rgb="FFC2D69B"/>
      </left>
      <right/>
      <top style="medium">
        <color rgb="FF92D050"/>
      </top>
      <bottom/>
      <diagonal/>
    </border>
    <border>
      <left style="medium">
        <color rgb="FF92D050"/>
      </left>
      <right/>
      <top/>
      <bottom style="medium">
        <color rgb="FF92D050"/>
      </bottom>
      <diagonal/>
    </border>
    <border>
      <left/>
      <right/>
      <top/>
      <bottom style="medium">
        <color rgb="FF92D050"/>
      </bottom>
      <diagonal/>
    </border>
    <border>
      <left style="medium">
        <color rgb="FFC2D69B"/>
      </left>
      <right/>
      <top/>
      <bottom style="medium">
        <color rgb="FF92D050"/>
      </bottom>
      <diagonal/>
    </border>
    <border>
      <left/>
      <right style="medium">
        <color rgb="FF92D050"/>
      </right>
      <top style="medium">
        <color rgb="FF92D050"/>
      </top>
      <bottom/>
      <diagonal/>
    </border>
    <border>
      <left/>
      <right style="medium">
        <color rgb="FF92D050"/>
      </right>
      <top/>
      <bottom style="medium">
        <color rgb="FF92D050"/>
      </bottom>
      <diagonal/>
    </border>
    <border>
      <left style="medium">
        <color rgb="FF92D050"/>
      </left>
      <right/>
      <top/>
      <bottom/>
      <diagonal/>
    </border>
    <border>
      <left/>
      <right style="thick">
        <color rgb="FFBFBFBF"/>
      </right>
      <top/>
      <bottom/>
      <diagonal/>
    </border>
    <border>
      <left/>
      <right style="thick">
        <color rgb="FFC2D69B"/>
      </right>
      <top/>
      <bottom/>
      <diagonal/>
    </border>
    <border>
      <left style="medium">
        <color rgb="FF92D050"/>
      </left>
      <right style="medium">
        <color rgb="FF92D050"/>
      </right>
      <top/>
      <bottom/>
      <diagonal/>
    </border>
    <border>
      <left style="thick">
        <color indexed="64"/>
      </left>
      <right/>
      <top style="thin">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1"/>
      </left>
      <right style="thin">
        <color theme="1"/>
      </right>
      <top style="thin">
        <color theme="1"/>
      </top>
      <bottom style="thin">
        <color theme="1"/>
      </bottom>
      <diagonal/>
    </border>
    <border>
      <left/>
      <right style="medium">
        <color rgb="FF92D050"/>
      </right>
      <top/>
      <bottom/>
      <diagonal/>
    </border>
    <border>
      <left style="thin">
        <color indexed="64"/>
      </left>
      <right/>
      <top style="medium">
        <color rgb="FF92D050"/>
      </top>
      <bottom style="thin">
        <color indexed="64"/>
      </bottom>
      <diagonal/>
    </border>
    <border>
      <left style="medium">
        <color rgb="FF92D050"/>
      </left>
      <right/>
      <top style="medium">
        <color rgb="FF92D050"/>
      </top>
      <bottom style="medium">
        <color rgb="FF92D05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rgb="FF92D050"/>
      </left>
      <right style="medium">
        <color rgb="FF92D050"/>
      </right>
      <top style="thin">
        <color indexed="64"/>
      </top>
      <bottom/>
      <diagonal/>
    </border>
    <border>
      <left style="medium">
        <color rgb="FF92D050"/>
      </left>
      <right style="medium">
        <color rgb="FF92D050"/>
      </right>
      <top/>
      <bottom style="thin">
        <color indexed="64"/>
      </bottom>
      <diagonal/>
    </border>
    <border>
      <left/>
      <right style="medium">
        <color rgb="FFC2D69B"/>
      </right>
      <top/>
      <bottom style="medium">
        <color indexed="64"/>
      </bottom>
      <diagonal/>
    </border>
    <border>
      <left style="medium">
        <color rgb="FFC2D69B"/>
      </left>
      <right/>
      <top/>
      <bottom style="medium">
        <color indexed="64"/>
      </bottom>
      <diagonal/>
    </border>
    <border>
      <left/>
      <right style="dotted">
        <color rgb="FFC2D69B"/>
      </right>
      <top/>
      <bottom style="medium">
        <color indexed="64"/>
      </bottom>
      <diagonal/>
    </border>
    <border>
      <left/>
      <right/>
      <top style="thick">
        <color rgb="FFA8D08D"/>
      </top>
      <bottom/>
      <diagonal/>
    </border>
    <border>
      <left/>
      <right style="thick">
        <color rgb="FF000000"/>
      </right>
      <top style="thick">
        <color rgb="FFA8D08D"/>
      </top>
      <bottom/>
      <diagonal/>
    </border>
    <border>
      <left/>
      <right style="medium">
        <color rgb="FF000000"/>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ck">
        <color rgb="FF000000"/>
      </bottom>
      <diagonal/>
    </border>
    <border>
      <left/>
      <right/>
      <top style="medium">
        <color indexed="64"/>
      </top>
      <bottom style="thick">
        <color rgb="FF000000"/>
      </bottom>
      <diagonal/>
    </border>
    <border>
      <left/>
      <right style="medium">
        <color indexed="64"/>
      </right>
      <top style="medium">
        <color indexed="64"/>
      </top>
      <bottom style="thick">
        <color rgb="FF000000"/>
      </bottom>
      <diagonal/>
    </border>
    <border>
      <left style="medium">
        <color indexed="64"/>
      </left>
      <right style="medium">
        <color rgb="FF000000"/>
      </right>
      <top/>
      <bottom style="medium">
        <color indexed="64"/>
      </bottom>
      <diagonal/>
    </border>
    <border>
      <left style="thin">
        <color theme="1"/>
      </left>
      <right/>
      <top style="thin">
        <color theme="1"/>
      </top>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right style="medium">
        <color indexed="64"/>
      </right>
      <top style="thin">
        <color indexed="64"/>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rgb="FF92D050"/>
      </left>
      <right style="medium">
        <color rgb="FF92D050"/>
      </right>
      <top style="medium">
        <color rgb="FF92D050"/>
      </top>
      <bottom/>
      <diagonal/>
    </border>
    <border>
      <left/>
      <right style="thin">
        <color indexed="64"/>
      </right>
      <top style="thin">
        <color indexed="64"/>
      </top>
      <bottom style="medium">
        <color rgb="FF92D050"/>
      </bottom>
      <diagonal/>
    </border>
    <border>
      <left style="medium">
        <color rgb="FF92D050"/>
      </left>
      <right style="thin">
        <color indexed="64"/>
      </right>
      <top style="medium">
        <color rgb="FF92D050"/>
      </top>
      <bottom/>
      <diagonal/>
    </border>
    <border>
      <left style="thin">
        <color indexed="64"/>
      </left>
      <right style="thin">
        <color indexed="64"/>
      </right>
      <top style="medium">
        <color rgb="FF92D050"/>
      </top>
      <bottom/>
      <diagonal/>
    </border>
    <border>
      <left style="thin">
        <color indexed="64"/>
      </left>
      <right/>
      <top style="medium">
        <color rgb="FF92D050"/>
      </top>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medium">
        <color rgb="FF92D050"/>
      </right>
      <top style="thin">
        <color indexed="64"/>
      </top>
      <bottom style="medium">
        <color indexed="64"/>
      </bottom>
      <diagonal/>
    </border>
    <border>
      <left style="medium">
        <color indexed="64"/>
      </left>
      <right/>
      <top style="thin">
        <color indexed="64"/>
      </top>
      <bottom/>
      <diagonal/>
    </border>
    <border>
      <left/>
      <right style="thin">
        <color theme="0"/>
      </right>
      <top/>
      <bottom style="medium">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3">
    <xf numFmtId="0" fontId="0" fillId="0" borderId="0"/>
    <xf numFmtId="164" fontId="10" fillId="0" borderId="0" applyFont="0" applyFill="0" applyBorder="0" applyAlignment="0" applyProtection="0"/>
    <xf numFmtId="9" fontId="10" fillId="0" borderId="0" applyFont="0" applyFill="0" applyBorder="0" applyAlignment="0" applyProtection="0"/>
  </cellStyleXfs>
  <cellXfs count="1110">
    <xf numFmtId="0" fontId="0" fillId="0" borderId="0" xfId="0"/>
    <xf numFmtId="0" fontId="0" fillId="2" borderId="1" xfId="0" applyFill="1" applyBorder="1"/>
    <xf numFmtId="0" fontId="4" fillId="0" borderId="0" xfId="0" applyFont="1" applyAlignment="1">
      <alignment horizontal="center" vertical="center"/>
    </xf>
    <xf numFmtId="0" fontId="5" fillId="0" borderId="0" xfId="0" applyFont="1"/>
    <xf numFmtId="0" fontId="5" fillId="0" borderId="1" xfId="0" applyFont="1" applyBorder="1"/>
    <xf numFmtId="0" fontId="5" fillId="2" borderId="1" xfId="0" applyFont="1" applyFill="1" applyBorder="1"/>
    <xf numFmtId="0" fontId="5" fillId="5" borderId="1" xfId="0" applyFont="1" applyFill="1" applyBorder="1"/>
    <xf numFmtId="0" fontId="3" fillId="0" borderId="0" xfId="0" applyFont="1" applyBorder="1" applyAlignment="1">
      <alignment horizontal="center" vertical="center"/>
    </xf>
    <xf numFmtId="0" fontId="5" fillId="2" borderId="2" xfId="0" applyFont="1" applyFill="1" applyBorder="1"/>
    <xf numFmtId="0" fontId="5" fillId="5" borderId="24" xfId="0" applyFont="1" applyFill="1" applyBorder="1" applyAlignment="1">
      <alignment horizontal="center"/>
    </xf>
    <xf numFmtId="0" fontId="5" fillId="7" borderId="14" xfId="0" applyFont="1" applyFill="1" applyBorder="1" applyAlignment="1">
      <alignment horizontal="center"/>
    </xf>
    <xf numFmtId="0" fontId="5" fillId="0" borderId="1" xfId="0" applyFont="1" applyBorder="1" applyAlignment="1">
      <alignment horizontal="center"/>
    </xf>
    <xf numFmtId="0" fontId="5" fillId="5" borderId="24" xfId="0" applyFont="1" applyFill="1" applyBorder="1"/>
    <xf numFmtId="0" fontId="5" fillId="5" borderId="22" xfId="0" applyFont="1" applyFill="1" applyBorder="1" applyAlignment="1">
      <alignment horizontal="center" vertical="center" textRotation="90" wrapText="1"/>
    </xf>
    <xf numFmtId="0" fontId="6" fillId="7" borderId="14" xfId="0" applyFont="1" applyFill="1" applyBorder="1" applyAlignment="1">
      <alignment horizontal="center"/>
    </xf>
    <xf numFmtId="0" fontId="0" fillId="8" borderId="0" xfId="0" applyFill="1"/>
    <xf numFmtId="0" fontId="5" fillId="7" borderId="1" xfId="0" applyFont="1" applyFill="1" applyBorder="1" applyAlignment="1">
      <alignment horizontal="center"/>
    </xf>
    <xf numFmtId="0" fontId="15" fillId="0" borderId="0" xfId="0" applyFont="1"/>
    <xf numFmtId="0" fontId="18" fillId="0" borderId="38" xfId="0" applyFont="1" applyBorder="1" applyAlignment="1">
      <alignment vertical="center" wrapText="1"/>
    </xf>
    <xf numFmtId="0" fontId="19" fillId="0" borderId="38" xfId="0" applyFont="1" applyBorder="1" applyAlignment="1">
      <alignment vertical="center" wrapText="1"/>
    </xf>
    <xf numFmtId="0" fontId="19" fillId="0" borderId="7" xfId="0" applyFont="1" applyBorder="1" applyAlignment="1">
      <alignment vertical="center" wrapText="1"/>
    </xf>
    <xf numFmtId="0" fontId="15" fillId="2" borderId="0" xfId="0" applyFont="1" applyFill="1"/>
    <xf numFmtId="0" fontId="19" fillId="2" borderId="8" xfId="0" applyFont="1" applyFill="1" applyBorder="1" applyAlignment="1">
      <alignment vertical="center" wrapText="1"/>
    </xf>
    <xf numFmtId="0" fontId="19" fillId="2" borderId="9" xfId="0" applyFont="1" applyFill="1" applyBorder="1" applyAlignment="1">
      <alignment vertical="center" wrapText="1"/>
    </xf>
    <xf numFmtId="0" fontId="19" fillId="2" borderId="36" xfId="0" applyFont="1" applyFill="1" applyBorder="1" applyAlignment="1">
      <alignment vertical="center" wrapText="1"/>
    </xf>
    <xf numFmtId="0" fontId="19" fillId="2" borderId="37" xfId="0" applyFont="1" applyFill="1" applyBorder="1" applyAlignment="1">
      <alignment vertical="center" wrapText="1"/>
    </xf>
    <xf numFmtId="0" fontId="15" fillId="2" borderId="0" xfId="0" applyFont="1" applyFill="1" applyBorder="1" applyAlignment="1">
      <alignment horizontal="center" vertical="center" textRotation="90"/>
    </xf>
    <xf numFmtId="0" fontId="19" fillId="11" borderId="10" xfId="0" applyFont="1" applyFill="1" applyBorder="1" applyAlignment="1">
      <alignment horizontal="center" vertical="center" wrapText="1"/>
    </xf>
    <xf numFmtId="0" fontId="20" fillId="12" borderId="10" xfId="0" applyFont="1" applyFill="1" applyBorder="1" applyAlignment="1">
      <alignment horizontal="center" vertical="center" wrapText="1"/>
    </xf>
    <xf numFmtId="0" fontId="20" fillId="13" borderId="10" xfId="0" applyFont="1" applyFill="1" applyBorder="1" applyAlignment="1">
      <alignment horizontal="center" vertical="center" wrapText="1"/>
    </xf>
    <xf numFmtId="0" fontId="15" fillId="17" borderId="29" xfId="0" applyFont="1" applyFill="1" applyBorder="1"/>
    <xf numFmtId="0" fontId="2" fillId="9" borderId="75" xfId="0" applyFont="1" applyFill="1" applyBorder="1" applyAlignment="1">
      <alignment vertical="center" wrapText="1"/>
    </xf>
    <xf numFmtId="0" fontId="0" fillId="23" borderId="76" xfId="0" applyFill="1" applyBorder="1" applyAlignment="1">
      <alignment vertical="center" wrapText="1"/>
    </xf>
    <xf numFmtId="165" fontId="0" fillId="0" borderId="73" xfId="1" applyNumberFormat="1" applyFont="1" applyBorder="1" applyAlignment="1">
      <alignment vertical="center" wrapText="1"/>
    </xf>
    <xf numFmtId="165" fontId="0" fillId="0" borderId="73" xfId="0" applyNumberFormat="1" applyBorder="1" applyAlignment="1">
      <alignment vertical="center" wrapText="1"/>
    </xf>
    <xf numFmtId="165" fontId="2" fillId="0" borderId="77" xfId="1" applyNumberFormat="1" applyFont="1" applyBorder="1" applyAlignment="1">
      <alignment vertical="center" wrapText="1"/>
    </xf>
    <xf numFmtId="165" fontId="23" fillId="0" borderId="77" xfId="1" applyNumberFormat="1" applyFont="1" applyBorder="1" applyAlignment="1">
      <alignment vertical="center" wrapText="1"/>
    </xf>
    <xf numFmtId="165" fontId="11" fillId="0" borderId="73" xfId="1" applyNumberFormat="1" applyFont="1" applyBorder="1" applyAlignment="1">
      <alignment vertical="center" wrapText="1"/>
    </xf>
    <xf numFmtId="165" fontId="11" fillId="0" borderId="74" xfId="1" applyNumberFormat="1" applyFont="1" applyBorder="1" applyAlignment="1">
      <alignment vertical="center" wrapText="1"/>
    </xf>
    <xf numFmtId="165" fontId="23" fillId="0" borderId="37" xfId="1" applyNumberFormat="1" applyFont="1" applyBorder="1" applyAlignment="1">
      <alignment vertical="center" wrapText="1"/>
    </xf>
    <xf numFmtId="0" fontId="6" fillId="24" borderId="1" xfId="0" applyFont="1" applyFill="1" applyBorder="1" applyAlignment="1">
      <alignment horizontal="center"/>
    </xf>
    <xf numFmtId="0" fontId="6" fillId="25" borderId="1" xfId="0" applyFont="1" applyFill="1" applyBorder="1" applyAlignment="1">
      <alignment horizontal="center"/>
    </xf>
    <xf numFmtId="0" fontId="24" fillId="26" borderId="15" xfId="0" applyFont="1" applyFill="1" applyBorder="1" applyAlignment="1">
      <alignment horizontal="center"/>
    </xf>
    <xf numFmtId="0" fontId="6" fillId="27" borderId="1" xfId="0" applyFont="1" applyFill="1" applyBorder="1" applyAlignment="1">
      <alignment horizontal="center"/>
    </xf>
    <xf numFmtId="0" fontId="19" fillId="11" borderId="7" xfId="0" applyFont="1" applyFill="1" applyBorder="1" applyAlignment="1">
      <alignment vertical="center" wrapText="1"/>
    </xf>
    <xf numFmtId="0" fontId="20" fillId="12" borderId="7" xfId="0" applyFont="1" applyFill="1" applyBorder="1" applyAlignment="1">
      <alignment vertical="center" wrapText="1"/>
    </xf>
    <xf numFmtId="0" fontId="20" fillId="13" borderId="7" xfId="0" applyFont="1" applyFill="1" applyBorder="1" applyAlignment="1">
      <alignment vertical="center" wrapText="1"/>
    </xf>
    <xf numFmtId="0" fontId="19" fillId="28" borderId="10" xfId="0" applyFont="1" applyFill="1" applyBorder="1" applyAlignment="1">
      <alignment horizontal="center" vertical="center" wrapText="1"/>
    </xf>
    <xf numFmtId="0" fontId="18" fillId="0" borderId="39" xfId="0" applyFont="1" applyBorder="1" applyAlignment="1">
      <alignment horizontal="center" vertical="center" wrapText="1"/>
    </xf>
    <xf numFmtId="0" fontId="19" fillId="22" borderId="10" xfId="0" applyFont="1" applyFill="1" applyBorder="1" applyAlignment="1">
      <alignment horizontal="center" vertical="center" wrapText="1"/>
    </xf>
    <xf numFmtId="0" fontId="5" fillId="7" borderId="14" xfId="0" applyFont="1" applyFill="1" applyBorder="1" applyAlignment="1">
      <alignment vertical="top"/>
    </xf>
    <xf numFmtId="0" fontId="5" fillId="7" borderId="14" xfId="0" applyFont="1" applyFill="1" applyBorder="1" applyAlignment="1">
      <alignment horizontal="center" vertical="top"/>
    </xf>
    <xf numFmtId="0" fontId="5" fillId="5" borderId="16" xfId="0" applyFont="1" applyFill="1" applyBorder="1" applyAlignment="1">
      <alignment horizontal="center" vertical="top"/>
    </xf>
    <xf numFmtId="0" fontId="5" fillId="5" borderId="1" xfId="0" applyFont="1" applyFill="1" applyBorder="1" applyAlignment="1">
      <alignment vertical="top"/>
    </xf>
    <xf numFmtId="0" fontId="5" fillId="5" borderId="15" xfId="0" applyFont="1" applyFill="1" applyBorder="1" applyAlignment="1">
      <alignment horizontal="center" vertical="top"/>
    </xf>
    <xf numFmtId="0" fontId="5" fillId="7" borderId="1" xfId="0" applyFont="1" applyFill="1" applyBorder="1" applyAlignment="1">
      <alignment horizontal="left" vertical="top"/>
    </xf>
    <xf numFmtId="0" fontId="5" fillId="5" borderId="1" xfId="0" applyFont="1" applyFill="1" applyBorder="1" applyAlignment="1">
      <alignment horizontal="left" vertical="top"/>
    </xf>
    <xf numFmtId="0" fontId="5" fillId="7" borderId="14" xfId="0" applyFont="1" applyFill="1" applyBorder="1" applyAlignment="1">
      <alignment horizontal="left" vertical="top"/>
    </xf>
    <xf numFmtId="0" fontId="29" fillId="29" borderId="6" xfId="0" applyFont="1" applyFill="1" applyBorder="1"/>
    <xf numFmtId="0" fontId="29" fillId="29" borderId="0" xfId="0" applyFont="1" applyFill="1" applyBorder="1"/>
    <xf numFmtId="0" fontId="30" fillId="29" borderId="0" xfId="0" applyFont="1" applyFill="1" applyBorder="1" applyAlignment="1">
      <alignment vertical="top"/>
    </xf>
    <xf numFmtId="0" fontId="29" fillId="29" borderId="0" xfId="0" applyFont="1" applyFill="1" applyBorder="1" applyAlignment="1">
      <alignment vertical="top"/>
    </xf>
    <xf numFmtId="0" fontId="29" fillId="29" borderId="12" xfId="0" applyFont="1" applyFill="1" applyBorder="1" applyAlignment="1"/>
    <xf numFmtId="0" fontId="29" fillId="29" borderId="14" xfId="0" applyFont="1" applyFill="1" applyBorder="1" applyAlignment="1"/>
    <xf numFmtId="0" fontId="29" fillId="29" borderId="7" xfId="0" applyFont="1" applyFill="1" applyBorder="1"/>
    <xf numFmtId="0" fontId="12" fillId="29" borderId="0" xfId="0" applyFont="1" applyFill="1"/>
    <xf numFmtId="0" fontId="34" fillId="29" borderId="12" xfId="0" applyFont="1" applyFill="1" applyBorder="1" applyAlignment="1"/>
    <xf numFmtId="0" fontId="34" fillId="29" borderId="0" xfId="0" applyFont="1" applyFill="1" applyBorder="1" applyAlignment="1"/>
    <xf numFmtId="0" fontId="18" fillId="0" borderId="1" xfId="0" applyFont="1" applyBorder="1" applyAlignment="1">
      <alignment vertical="center" wrapText="1"/>
    </xf>
    <xf numFmtId="0" fontId="38" fillId="0" borderId="0" xfId="0" applyFont="1"/>
    <xf numFmtId="0" fontId="29" fillId="29" borderId="0" xfId="0" applyFont="1" applyFill="1" applyBorder="1" applyAlignment="1"/>
    <xf numFmtId="0" fontId="6" fillId="3" borderId="2" xfId="0" applyFont="1" applyFill="1" applyBorder="1" applyAlignment="1">
      <alignment horizontal="center" vertical="center" wrapText="1"/>
    </xf>
    <xf numFmtId="0" fontId="6" fillId="3" borderId="19" xfId="0" applyFont="1" applyFill="1" applyBorder="1" applyAlignment="1">
      <alignment horizontal="center" vertical="center" wrapText="1"/>
    </xf>
    <xf numFmtId="0" fontId="4" fillId="20" borderId="66" xfId="0" applyFont="1" applyFill="1" applyBorder="1" applyAlignment="1">
      <alignment horizontal="center" vertical="center" wrapText="1"/>
    </xf>
    <xf numFmtId="0" fontId="5" fillId="0" borderId="0" xfId="0" applyFont="1" applyAlignment="1">
      <alignment horizontal="left"/>
    </xf>
    <xf numFmtId="0" fontId="29" fillId="29" borderId="0" xfId="0" applyFont="1" applyFill="1" applyBorder="1" applyAlignment="1">
      <alignment horizontal="left"/>
    </xf>
    <xf numFmtId="0" fontId="29" fillId="29" borderId="12" xfId="0" applyFont="1" applyFill="1" applyBorder="1" applyAlignment="1">
      <alignment horizontal="left"/>
    </xf>
    <xf numFmtId="0" fontId="29" fillId="29" borderId="14" xfId="0" applyFont="1" applyFill="1" applyBorder="1" applyAlignment="1">
      <alignment horizontal="left"/>
    </xf>
    <xf numFmtId="0" fontId="5" fillId="5" borderId="24" xfId="0" applyFont="1" applyFill="1" applyBorder="1" applyAlignment="1">
      <alignment horizontal="left" vertical="top"/>
    </xf>
    <xf numFmtId="0" fontId="5" fillId="5" borderId="25" xfId="0" applyFont="1" applyFill="1" applyBorder="1" applyAlignment="1">
      <alignment horizontal="left" vertical="top"/>
    </xf>
    <xf numFmtId="0" fontId="5" fillId="5" borderId="2" xfId="0" applyFont="1" applyFill="1" applyBorder="1" applyAlignment="1">
      <alignment horizontal="left" vertical="top"/>
    </xf>
    <xf numFmtId="0" fontId="5" fillId="5" borderId="24" xfId="0" applyFont="1" applyFill="1" applyBorder="1" applyAlignment="1">
      <alignment horizontal="left"/>
    </xf>
    <xf numFmtId="0" fontId="6" fillId="24" borderId="1" xfId="0" applyFont="1" applyFill="1" applyBorder="1" applyAlignment="1">
      <alignment horizontal="left"/>
    </xf>
    <xf numFmtId="0" fontId="6" fillId="25" borderId="1" xfId="0" applyFont="1" applyFill="1" applyBorder="1" applyAlignment="1">
      <alignment horizontal="left"/>
    </xf>
    <xf numFmtId="0" fontId="24" fillId="26" borderId="15" xfId="0" applyFont="1" applyFill="1" applyBorder="1" applyAlignment="1">
      <alignment horizontal="left"/>
    </xf>
    <xf numFmtId="0" fontId="5" fillId="0" borderId="1" xfId="0" applyFont="1" applyBorder="1" applyAlignment="1">
      <alignment horizontal="left"/>
    </xf>
    <xf numFmtId="0" fontId="5" fillId="2" borderId="2" xfId="0" applyFont="1" applyFill="1" applyBorder="1" applyAlignment="1">
      <alignment horizontal="left"/>
    </xf>
    <xf numFmtId="0" fontId="0" fillId="0" borderId="0" xfId="0" applyAlignment="1">
      <alignment horizontal="left"/>
    </xf>
    <xf numFmtId="0" fontId="5" fillId="0" borderId="22" xfId="0" applyFont="1" applyBorder="1" applyAlignment="1">
      <alignment vertical="top" textRotation="90"/>
    </xf>
    <xf numFmtId="0" fontId="5" fillId="0" borderId="0" xfId="0" applyFont="1" applyBorder="1" applyAlignment="1">
      <alignment vertical="top" textRotation="90"/>
    </xf>
    <xf numFmtId="0" fontId="19" fillId="11" borderId="37" xfId="0" applyFont="1" applyFill="1" applyBorder="1" applyAlignment="1">
      <alignment horizontal="center" vertical="center" wrapText="1"/>
    </xf>
    <xf numFmtId="0" fontId="20" fillId="12" borderId="5" xfId="0" applyFont="1" applyFill="1" applyBorder="1" applyAlignment="1">
      <alignment horizontal="center" vertical="center" wrapText="1"/>
    </xf>
    <xf numFmtId="0" fontId="20" fillId="13" borderId="5" xfId="0" applyFont="1" applyFill="1" applyBorder="1" applyAlignment="1">
      <alignment horizontal="center" vertical="center" wrapText="1"/>
    </xf>
    <xf numFmtId="0" fontId="18" fillId="17" borderId="38" xfId="0" applyFont="1" applyFill="1" applyBorder="1" applyAlignment="1">
      <alignment vertical="center" wrapText="1"/>
    </xf>
    <xf numFmtId="10" fontId="39" fillId="17" borderId="1" xfId="2" applyNumberFormat="1" applyFont="1" applyFill="1" applyBorder="1" applyAlignment="1" applyProtection="1">
      <alignment horizontal="center" vertical="center"/>
      <protection locked="0"/>
    </xf>
    <xf numFmtId="10" fontId="39" fillId="17" borderId="15" xfId="2" applyNumberFormat="1" applyFont="1" applyFill="1" applyBorder="1" applyAlignment="1" applyProtection="1">
      <alignment vertical="center"/>
      <protection locked="0"/>
    </xf>
    <xf numFmtId="10" fontId="39" fillId="17" borderId="89" xfId="2" applyNumberFormat="1" applyFont="1" applyFill="1" applyBorder="1" applyAlignment="1" applyProtection="1">
      <alignment horizontal="center" vertical="center"/>
      <protection locked="0"/>
    </xf>
    <xf numFmtId="0" fontId="18" fillId="17" borderId="40" xfId="0" applyFont="1" applyFill="1" applyBorder="1" applyAlignment="1">
      <alignment vertical="center" wrapText="1"/>
    </xf>
    <xf numFmtId="0" fontId="15" fillId="2" borderId="0" xfId="0" applyFont="1" applyFill="1" applyAlignment="1">
      <alignment horizontal="center" vertical="center" textRotation="90"/>
    </xf>
    <xf numFmtId="0" fontId="42" fillId="0" borderId="38" xfId="0" applyFont="1" applyBorder="1" applyAlignment="1">
      <alignment vertical="center" wrapText="1"/>
    </xf>
    <xf numFmtId="0" fontId="38" fillId="0" borderId="6" xfId="0" applyFont="1" applyBorder="1"/>
    <xf numFmtId="0" fontId="38" fillId="17" borderId="6" xfId="0" applyFont="1" applyFill="1" applyBorder="1"/>
    <xf numFmtId="10" fontId="41" fillId="17" borderId="1" xfId="2" applyNumberFormat="1" applyFont="1" applyFill="1" applyBorder="1"/>
    <xf numFmtId="0" fontId="38" fillId="0" borderId="95" xfId="0" applyFont="1" applyBorder="1"/>
    <xf numFmtId="0" fontId="38" fillId="0" borderId="8" xfId="0" applyFont="1" applyBorder="1"/>
    <xf numFmtId="0" fontId="38" fillId="17" borderId="8" xfId="0" applyFont="1" applyFill="1" applyBorder="1"/>
    <xf numFmtId="0" fontId="38" fillId="0" borderId="29" xfId="0" applyFont="1" applyBorder="1"/>
    <xf numFmtId="0" fontId="18" fillId="0" borderId="3" xfId="0" applyFont="1" applyBorder="1" applyAlignment="1">
      <alignment horizontal="center" vertical="center" wrapText="1"/>
    </xf>
    <xf numFmtId="0" fontId="18" fillId="17" borderId="3" xfId="0" applyFont="1" applyFill="1" applyBorder="1" applyAlignment="1">
      <alignment horizontal="center" vertical="center" wrapText="1"/>
    </xf>
    <xf numFmtId="2" fontId="41" fillId="17" borderId="1" xfId="0" applyNumberFormat="1" applyFont="1" applyFill="1" applyBorder="1"/>
    <xf numFmtId="0" fontId="19" fillId="2" borderId="0" xfId="0" applyFont="1" applyFill="1" applyAlignment="1">
      <alignment vertical="center" wrapText="1"/>
    </xf>
    <xf numFmtId="0" fontId="46" fillId="0" borderId="0" xfId="0" applyFont="1" applyAlignment="1">
      <alignment vertical="center"/>
    </xf>
    <xf numFmtId="0" fontId="29" fillId="29" borderId="0" xfId="0" applyFont="1" applyFill="1"/>
    <xf numFmtId="0" fontId="30" fillId="29" borderId="0" xfId="0" applyFont="1" applyFill="1" applyAlignment="1">
      <alignment vertical="top"/>
    </xf>
    <xf numFmtId="0" fontId="29" fillId="29" borderId="0" xfId="0" applyFont="1" applyFill="1" applyAlignment="1">
      <alignment vertical="top"/>
    </xf>
    <xf numFmtId="0" fontId="29" fillId="29" borderId="11" xfId="0" applyFont="1" applyFill="1" applyBorder="1"/>
    <xf numFmtId="0" fontId="29" fillId="29" borderId="12" xfId="0" applyFont="1" applyFill="1" applyBorder="1"/>
    <xf numFmtId="0" fontId="0" fillId="20" borderId="0" xfId="0" applyFill="1" applyAlignment="1">
      <alignment vertical="center" wrapText="1"/>
    </xf>
    <xf numFmtId="0" fontId="18" fillId="0" borderId="3" xfId="0" applyFont="1" applyBorder="1" applyAlignment="1">
      <alignment vertical="center" wrapText="1"/>
    </xf>
    <xf numFmtId="0" fontId="31" fillId="29" borderId="0" xfId="0" applyFont="1" applyFill="1" applyBorder="1" applyAlignment="1">
      <alignment horizontal="left" vertical="center" wrapText="1"/>
    </xf>
    <xf numFmtId="17" fontId="47" fillId="24" borderId="1" xfId="0" applyNumberFormat="1" applyFont="1" applyFill="1" applyBorder="1" applyAlignment="1">
      <alignment horizontal="center" vertical="center" wrapText="1"/>
    </xf>
    <xf numFmtId="0" fontId="6" fillId="3" borderId="22" xfId="0" applyFont="1" applyFill="1" applyBorder="1" applyAlignment="1">
      <alignment horizontal="center" vertical="center" wrapText="1"/>
    </xf>
    <xf numFmtId="0" fontId="29" fillId="29" borderId="6" xfId="0" applyFont="1" applyFill="1" applyBorder="1" applyAlignment="1">
      <alignment horizontal="center"/>
    </xf>
    <xf numFmtId="0" fontId="6" fillId="3" borderId="88" xfId="0" applyFont="1" applyFill="1" applyBorder="1" applyAlignment="1">
      <alignment horizontal="center" vertical="center" wrapText="1"/>
    </xf>
    <xf numFmtId="0" fontId="5" fillId="2" borderId="1" xfId="0" applyFont="1" applyFill="1" applyBorder="1" applyAlignment="1">
      <alignment horizontal="center"/>
    </xf>
    <xf numFmtId="0" fontId="0" fillId="0" borderId="0" xfId="0" applyAlignment="1">
      <alignment horizontal="center"/>
    </xf>
    <xf numFmtId="0" fontId="5" fillId="0" borderId="0" xfId="0" applyFont="1" applyAlignment="1">
      <alignment horizontal="center"/>
    </xf>
    <xf numFmtId="0" fontId="29" fillId="29" borderId="0" xfId="0" applyFont="1" applyFill="1" applyBorder="1" applyAlignment="1">
      <alignment horizontal="center"/>
    </xf>
    <xf numFmtId="0" fontId="29" fillId="29" borderId="12" xfId="0" applyFont="1" applyFill="1" applyBorder="1" applyAlignment="1">
      <alignment horizontal="center"/>
    </xf>
    <xf numFmtId="0" fontId="29" fillId="29" borderId="14" xfId="0" applyFont="1" applyFill="1" applyBorder="1" applyAlignment="1">
      <alignment horizontal="center"/>
    </xf>
    <xf numFmtId="0" fontId="5" fillId="0" borderId="0" xfId="0" applyFont="1" applyAlignment="1">
      <alignment horizontal="center" vertical="center"/>
    </xf>
    <xf numFmtId="0" fontId="29" fillId="29" borderId="0" xfId="0" applyFont="1" applyFill="1" applyBorder="1" applyAlignment="1">
      <alignment horizontal="center" vertical="center"/>
    </xf>
    <xf numFmtId="0" fontId="29" fillId="29" borderId="7" xfId="0" applyFont="1" applyFill="1" applyBorder="1" applyAlignment="1">
      <alignment horizontal="center" vertical="center"/>
    </xf>
    <xf numFmtId="0" fontId="47" fillId="24" borderId="1" xfId="0" applyFont="1" applyFill="1" applyBorder="1" applyAlignment="1">
      <alignment horizontal="center" vertical="center"/>
    </xf>
    <xf numFmtId="0" fontId="13" fillId="2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24" borderId="1" xfId="0" applyFont="1" applyFill="1" applyBorder="1" applyAlignment="1">
      <alignment horizontal="center" vertical="center"/>
    </xf>
    <xf numFmtId="0" fontId="0" fillId="0" borderId="0" xfId="0" applyAlignment="1">
      <alignment horizontal="center" vertical="center"/>
    </xf>
    <xf numFmtId="0" fontId="13" fillId="17" borderId="1" xfId="0" applyFont="1" applyFill="1" applyBorder="1" applyAlignment="1"/>
    <xf numFmtId="0" fontId="1" fillId="0" borderId="1" xfId="0" applyFont="1" applyBorder="1" applyAlignment="1">
      <alignment horizontal="center" vertical="center"/>
    </xf>
    <xf numFmtId="0" fontId="13" fillId="34" borderId="18" xfId="0" applyFont="1" applyFill="1" applyBorder="1" applyAlignment="1">
      <alignment horizontal="center" vertical="center"/>
    </xf>
    <xf numFmtId="0" fontId="0" fillId="35" borderId="0" xfId="0" applyFill="1"/>
    <xf numFmtId="0" fontId="0" fillId="0" borderId="0" xfId="0" applyBorder="1"/>
    <xf numFmtId="0" fontId="0" fillId="35" borderId="0" xfId="0" applyFill="1" applyBorder="1"/>
    <xf numFmtId="0" fontId="0" fillId="2" borderId="0" xfId="0" applyFill="1" applyBorder="1"/>
    <xf numFmtId="0" fontId="0" fillId="2" borderId="0" xfId="0" applyFill="1" applyBorder="1" applyAlignment="1">
      <alignment horizontal="center"/>
    </xf>
    <xf numFmtId="0" fontId="7" fillId="2" borderId="17" xfId="0" applyFont="1" applyFill="1" applyBorder="1" applyAlignment="1">
      <alignment horizontal="center" vertical="center"/>
    </xf>
    <xf numFmtId="0" fontId="7" fillId="2" borderId="0" xfId="0" applyFont="1" applyFill="1" applyBorder="1" applyAlignment="1">
      <alignment horizontal="center" vertical="center"/>
    </xf>
    <xf numFmtId="0" fontId="0" fillId="2" borderId="0" xfId="0" applyFill="1"/>
    <xf numFmtId="0" fontId="2" fillId="17" borderId="1" xfId="0" applyFont="1" applyFill="1" applyBorder="1" applyAlignment="1">
      <alignment horizontal="center" vertical="center"/>
    </xf>
    <xf numFmtId="0" fontId="1" fillId="2" borderId="17" xfId="0" applyFont="1" applyFill="1" applyBorder="1" applyAlignment="1">
      <alignment horizontal="center" vertical="center" textRotation="90"/>
    </xf>
    <xf numFmtId="0" fontId="1" fillId="2" borderId="2" xfId="0" applyFont="1" applyFill="1" applyBorder="1" applyAlignment="1">
      <alignment vertical="center" textRotation="90" wrapText="1"/>
    </xf>
    <xf numFmtId="0" fontId="0" fillId="24" borderId="1" xfId="0" applyFill="1" applyBorder="1"/>
    <xf numFmtId="0" fontId="0" fillId="0" borderId="0" xfId="0" applyAlignment="1">
      <alignment vertical="center"/>
    </xf>
    <xf numFmtId="0" fontId="29" fillId="29" borderId="12" xfId="0" applyFont="1" applyFill="1" applyBorder="1" applyAlignment="1">
      <alignment horizontal="center" vertical="center"/>
    </xf>
    <xf numFmtId="0" fontId="29" fillId="29" borderId="14" xfId="0" applyFont="1" applyFill="1" applyBorder="1" applyAlignment="1">
      <alignment horizontal="center" vertical="center"/>
    </xf>
    <xf numFmtId="0" fontId="0" fillId="2" borderId="0" xfId="0" applyFill="1" applyBorder="1" applyAlignment="1">
      <alignment horizontal="center" vertical="center"/>
    </xf>
    <xf numFmtId="0" fontId="0" fillId="2" borderId="0" xfId="0" applyFill="1" applyAlignment="1">
      <alignment horizontal="center" vertical="center"/>
    </xf>
    <xf numFmtId="0" fontId="0" fillId="24" borderId="1" xfId="0" applyFill="1" applyBorder="1" applyAlignment="1">
      <alignment vertical="center"/>
    </xf>
    <xf numFmtId="0" fontId="0" fillId="24" borderId="1" xfId="0" applyFill="1" applyBorder="1" applyAlignment="1">
      <alignment horizontal="center" vertical="center"/>
    </xf>
    <xf numFmtId="0" fontId="6" fillId="36" borderId="16" xfId="0" applyFont="1" applyFill="1" applyBorder="1" applyAlignment="1">
      <alignment horizontal="center" vertical="center"/>
    </xf>
    <xf numFmtId="0" fontId="6" fillId="36" borderId="16" xfId="0" applyFont="1" applyFill="1" applyBorder="1" applyAlignment="1">
      <alignment horizontal="left" vertical="center"/>
    </xf>
    <xf numFmtId="0" fontId="9" fillId="17" borderId="1" xfId="0" applyFont="1" applyFill="1" applyBorder="1" applyAlignment="1">
      <alignment horizontal="center"/>
    </xf>
    <xf numFmtId="0" fontId="1" fillId="0" borderId="1" xfId="0" applyFont="1" applyBorder="1" applyAlignment="1">
      <alignment horizontal="left"/>
    </xf>
    <xf numFmtId="0" fontId="1" fillId="0" borderId="15" xfId="0" applyFont="1" applyBorder="1" applyAlignment="1">
      <alignment horizontal="center" vertical="center"/>
    </xf>
    <xf numFmtId="0" fontId="5" fillId="7" borderId="14" xfId="0" applyFont="1" applyFill="1" applyBorder="1" applyAlignment="1">
      <alignment horizontal="center" vertical="center"/>
    </xf>
    <xf numFmtId="0" fontId="13" fillId="37" borderId="1" xfId="0" applyFont="1" applyFill="1" applyBorder="1" applyAlignment="1">
      <alignment horizontal="center"/>
    </xf>
    <xf numFmtId="17" fontId="47" fillId="37" borderId="1" xfId="0" applyNumberFormat="1" applyFont="1" applyFill="1" applyBorder="1" applyAlignment="1">
      <alignment horizontal="center" vertical="center" wrapText="1"/>
    </xf>
    <xf numFmtId="0" fontId="47" fillId="37" borderId="16" xfId="0" applyFont="1" applyFill="1" applyBorder="1" applyAlignment="1">
      <alignment horizontal="center" vertical="center" wrapText="1"/>
    </xf>
    <xf numFmtId="0" fontId="47" fillId="37" borderId="1" xfId="0" applyFont="1" applyFill="1" applyBorder="1" applyAlignment="1">
      <alignment horizontal="center" vertical="center" wrapText="1"/>
    </xf>
    <xf numFmtId="0" fontId="13" fillId="37" borderId="1" xfId="0" applyFont="1" applyFill="1" applyBorder="1" applyAlignment="1">
      <alignment horizontal="center" vertical="center"/>
    </xf>
    <xf numFmtId="0" fontId="19" fillId="11" borderId="7" xfId="0" applyFont="1" applyFill="1" applyBorder="1" applyAlignment="1">
      <alignment horizontal="center" vertical="center" wrapText="1"/>
    </xf>
    <xf numFmtId="0" fontId="20" fillId="12" borderId="7" xfId="0" applyFont="1" applyFill="1" applyBorder="1" applyAlignment="1">
      <alignment horizontal="center" vertical="center" wrapText="1"/>
    </xf>
    <xf numFmtId="0" fontId="20" fillId="13" borderId="7" xfId="0" applyFont="1" applyFill="1" applyBorder="1" applyAlignment="1">
      <alignment horizontal="center" vertical="center" wrapText="1"/>
    </xf>
    <xf numFmtId="0" fontId="19" fillId="7" borderId="38" xfId="0" applyFont="1" applyFill="1" applyBorder="1" applyAlignment="1">
      <alignment vertical="center" wrapText="1"/>
    </xf>
    <xf numFmtId="0" fontId="0" fillId="35" borderId="1" xfId="0" applyFill="1" applyBorder="1" applyAlignment="1">
      <alignment vertical="center"/>
    </xf>
    <xf numFmtId="0" fontId="4" fillId="24" borderId="1" xfId="0" applyFont="1" applyFill="1" applyBorder="1" applyAlignment="1"/>
    <xf numFmtId="0" fontId="20" fillId="12" borderId="37" xfId="0" applyFont="1" applyFill="1" applyBorder="1" applyAlignment="1">
      <alignment horizontal="center" vertical="center" wrapText="1"/>
    </xf>
    <xf numFmtId="0" fontId="20" fillId="13" borderId="37" xfId="0" applyFont="1" applyFill="1" applyBorder="1" applyAlignment="1">
      <alignment horizontal="center" vertical="center" wrapText="1"/>
    </xf>
    <xf numFmtId="0" fontId="19" fillId="7" borderId="8" xfId="0" applyFont="1" applyFill="1" applyBorder="1" applyAlignment="1">
      <alignment vertical="center" wrapText="1"/>
    </xf>
    <xf numFmtId="0" fontId="18" fillId="0" borderId="40" xfId="0" applyFont="1" applyBorder="1" applyAlignment="1">
      <alignment vertical="center" wrapText="1"/>
    </xf>
    <xf numFmtId="0" fontId="19" fillId="0" borderId="40" xfId="0" applyFont="1" applyBorder="1" applyAlignment="1">
      <alignment vertical="center" wrapText="1"/>
    </xf>
    <xf numFmtId="0" fontId="18" fillId="24" borderId="39" xfId="0" applyFont="1" applyFill="1" applyBorder="1" applyAlignment="1">
      <alignment horizontal="center" vertical="center" wrapText="1"/>
    </xf>
    <xf numFmtId="0" fontId="18" fillId="37" borderId="8" xfId="0" applyFont="1" applyFill="1" applyBorder="1" applyAlignment="1">
      <alignment vertical="center" wrapText="1"/>
    </xf>
    <xf numFmtId="0" fontId="18" fillId="37" borderId="10" xfId="0" applyFont="1" applyFill="1" applyBorder="1" applyAlignment="1">
      <alignment vertical="center" wrapText="1"/>
    </xf>
    <xf numFmtId="0" fontId="0" fillId="37" borderId="8" xfId="0" applyFill="1" applyBorder="1" applyAlignment="1"/>
    <xf numFmtId="0" fontId="0" fillId="37" borderId="10" xfId="0" applyFill="1" applyBorder="1" applyAlignment="1"/>
    <xf numFmtId="0" fontId="0" fillId="37" borderId="79" xfId="0" applyFill="1" applyBorder="1" applyAlignment="1"/>
    <xf numFmtId="0" fontId="18" fillId="37" borderId="3" xfId="0" applyFont="1" applyFill="1" applyBorder="1" applyAlignment="1">
      <alignment vertical="center" wrapText="1"/>
    </xf>
    <xf numFmtId="0" fontId="18" fillId="37" borderId="5" xfId="0" applyFont="1" applyFill="1" applyBorder="1" applyAlignment="1">
      <alignment vertical="center" wrapText="1"/>
    </xf>
    <xf numFmtId="0" fontId="0" fillId="37" borderId="3" xfId="0" applyFill="1" applyBorder="1" applyAlignment="1"/>
    <xf numFmtId="0" fontId="0" fillId="37" borderId="5" xfId="0" applyFill="1" applyBorder="1" applyAlignment="1"/>
    <xf numFmtId="0" fontId="0" fillId="37" borderId="78" xfId="0" applyFill="1" applyBorder="1" applyAlignment="1"/>
    <xf numFmtId="0" fontId="0" fillId="37" borderId="39" xfId="0" applyFill="1" applyBorder="1" applyAlignment="1"/>
    <xf numFmtId="0" fontId="0" fillId="37" borderId="38" xfId="0" applyFill="1" applyBorder="1" applyAlignment="1"/>
    <xf numFmtId="0" fontId="12" fillId="0" borderId="0" xfId="0" applyFont="1"/>
    <xf numFmtId="0" fontId="13" fillId="38" borderId="1" xfId="0" applyFont="1" applyFill="1" applyBorder="1" applyAlignment="1">
      <alignment horizontal="center" vertical="center" wrapText="1"/>
    </xf>
    <xf numFmtId="0" fontId="13" fillId="38" borderId="1" xfId="0" applyFont="1" applyFill="1" applyBorder="1" applyAlignment="1">
      <alignment vertical="center" wrapText="1"/>
    </xf>
    <xf numFmtId="17" fontId="13" fillId="38" borderId="1" xfId="0" applyNumberFormat="1" applyFont="1" applyFill="1" applyBorder="1" applyAlignment="1">
      <alignment horizontal="center" vertical="center" wrapText="1"/>
    </xf>
    <xf numFmtId="0" fontId="13" fillId="38" borderId="13" xfId="0" applyFont="1" applyFill="1" applyBorder="1" applyAlignment="1">
      <alignment horizontal="center" vertical="center"/>
    </xf>
    <xf numFmtId="0" fontId="13" fillId="38" borderId="15" xfId="0" applyFont="1" applyFill="1" applyBorder="1" applyAlignment="1">
      <alignment horizontal="center" vertical="center"/>
    </xf>
    <xf numFmtId="0" fontId="13" fillId="38" borderId="1" xfId="0" applyFont="1" applyFill="1" applyBorder="1"/>
    <xf numFmtId="0" fontId="37" fillId="38" borderId="1" xfId="0" applyFont="1" applyFill="1" applyBorder="1" applyAlignment="1">
      <alignment vertical="center" wrapText="1"/>
    </xf>
    <xf numFmtId="0" fontId="47" fillId="38" borderId="1" xfId="0" applyFont="1" applyFill="1" applyBorder="1" applyAlignment="1">
      <alignment horizontal="center" vertical="center" wrapText="1"/>
    </xf>
    <xf numFmtId="0" fontId="13" fillId="38" borderId="15" xfId="0" applyFont="1" applyFill="1" applyBorder="1" applyAlignment="1">
      <alignment horizontal="left" vertical="top" wrapText="1"/>
    </xf>
    <xf numFmtId="0" fontId="13" fillId="38" borderId="15" xfId="0" applyFont="1" applyFill="1" applyBorder="1" applyAlignment="1">
      <alignment horizontal="left" wrapText="1"/>
    </xf>
    <xf numFmtId="0" fontId="0" fillId="38" borderId="1" xfId="0" applyFill="1" applyBorder="1" applyAlignment="1">
      <alignment horizontal="center" vertical="center"/>
    </xf>
    <xf numFmtId="0" fontId="0" fillId="38" borderId="1" xfId="0" applyFont="1" applyFill="1" applyBorder="1" applyAlignment="1">
      <alignment horizontal="center" vertical="center"/>
    </xf>
    <xf numFmtId="0" fontId="6" fillId="38" borderId="0" xfId="0" applyFont="1" applyFill="1" applyBorder="1" applyAlignment="1">
      <alignment vertical="top"/>
    </xf>
    <xf numFmtId="0" fontId="29" fillId="29" borderId="13" xfId="0" applyFont="1" applyFill="1" applyBorder="1" applyAlignment="1">
      <alignment horizontal="left"/>
    </xf>
    <xf numFmtId="0" fontId="1" fillId="24" borderId="12" xfId="0" applyFont="1" applyFill="1" applyBorder="1"/>
    <xf numFmtId="167" fontId="1" fillId="24" borderId="12" xfId="0" applyNumberFormat="1" applyFont="1" applyFill="1" applyBorder="1"/>
    <xf numFmtId="9" fontId="41" fillId="0" borderId="1" xfId="2" applyNumberFormat="1" applyFont="1" applyBorder="1" applyAlignment="1">
      <alignment horizontal="center"/>
    </xf>
    <xf numFmtId="0" fontId="12" fillId="29" borderId="0" xfId="0" applyFont="1" applyFill="1" applyAlignment="1">
      <alignment horizontal="center"/>
    </xf>
    <xf numFmtId="0" fontId="34" fillId="29" borderId="0" xfId="0" applyFont="1" applyFill="1" applyBorder="1" applyAlignment="1">
      <alignment horizontal="center"/>
    </xf>
    <xf numFmtId="0" fontId="12" fillId="29" borderId="0" xfId="0" applyFont="1" applyFill="1" applyAlignment="1">
      <alignment horizontal="center" vertical="center"/>
    </xf>
    <xf numFmtId="0" fontId="34" fillId="29" borderId="0" xfId="0" applyFont="1" applyFill="1" applyBorder="1" applyAlignment="1">
      <alignment horizontal="center" vertical="center"/>
    </xf>
    <xf numFmtId="0" fontId="0" fillId="0" borderId="15" xfId="0" applyBorder="1"/>
    <xf numFmtId="0" fontId="26" fillId="29" borderId="0" xfId="0" applyFont="1" applyFill="1" applyBorder="1" applyAlignment="1">
      <alignment horizontal="center" vertical="center"/>
    </xf>
    <xf numFmtId="0" fontId="2" fillId="24" borderId="1" xfId="0" applyFont="1" applyFill="1" applyBorder="1" applyAlignment="1"/>
    <xf numFmtId="0" fontId="29" fillId="0" borderId="1" xfId="0" applyFont="1" applyBorder="1" applyAlignment="1">
      <alignment horizontal="center" vertical="center"/>
    </xf>
    <xf numFmtId="0" fontId="29" fillId="0" borderId="111" xfId="0" applyFont="1" applyBorder="1" applyAlignment="1">
      <alignment horizontal="center" vertical="center"/>
    </xf>
    <xf numFmtId="0" fontId="29" fillId="0" borderId="112" xfId="0" applyFont="1" applyBorder="1" applyAlignment="1">
      <alignment horizontal="center" vertical="center"/>
    </xf>
    <xf numFmtId="0" fontId="0" fillId="0" borderId="108" xfId="0" applyBorder="1"/>
    <xf numFmtId="0" fontId="1" fillId="0" borderId="35" xfId="0" applyFont="1" applyBorder="1" applyAlignment="1">
      <alignment horizontal="center" vertical="center"/>
    </xf>
    <xf numFmtId="0" fontId="29" fillId="29" borderId="0" xfId="0" applyFont="1" applyFill="1" applyAlignment="1">
      <alignment horizontal="center"/>
    </xf>
    <xf numFmtId="0" fontId="19" fillId="2" borderId="36" xfId="0" applyFont="1" applyFill="1" applyBorder="1" applyAlignment="1">
      <alignment horizontal="center" vertical="center" wrapText="1"/>
    </xf>
    <xf numFmtId="0" fontId="19" fillId="2" borderId="37" xfId="0" applyFont="1" applyFill="1" applyBorder="1" applyAlignment="1">
      <alignment horizontal="center" vertical="center" wrapText="1"/>
    </xf>
    <xf numFmtId="10" fontId="41" fillId="31" borderId="1" xfId="2" applyNumberFormat="1" applyFont="1" applyFill="1" applyBorder="1" applyAlignment="1">
      <alignment horizontal="center"/>
    </xf>
    <xf numFmtId="0" fontId="19" fillId="10" borderId="7" xfId="0" applyFont="1" applyFill="1" applyBorder="1" applyAlignment="1">
      <alignment horizontal="center" vertical="center" wrapText="1"/>
    </xf>
    <xf numFmtId="0" fontId="19" fillId="2" borderId="0" xfId="0" applyFont="1" applyFill="1" applyAlignment="1">
      <alignment horizontal="center" vertical="center" wrapText="1"/>
    </xf>
    <xf numFmtId="0" fontId="0" fillId="23" borderId="76" xfId="0" applyFill="1" applyBorder="1" applyAlignment="1">
      <alignment horizontal="center" vertical="center" wrapText="1"/>
    </xf>
    <xf numFmtId="0" fontId="18" fillId="17" borderId="8" xfId="0" applyFont="1" applyFill="1" applyBorder="1" applyAlignment="1">
      <alignment vertical="center" wrapText="1"/>
    </xf>
    <xf numFmtId="0" fontId="19" fillId="11" borderId="5" xfId="0" applyFont="1" applyFill="1" applyBorder="1" applyAlignment="1">
      <alignment horizontal="center" vertical="center" wrapText="1"/>
    </xf>
    <xf numFmtId="0" fontId="13" fillId="38" borderId="1" xfId="0" applyFont="1" applyFill="1" applyBorder="1" applyAlignment="1">
      <alignment horizontal="center"/>
    </xf>
    <xf numFmtId="0" fontId="42" fillId="0" borderId="8" xfId="0" applyFont="1" applyBorder="1" applyAlignment="1">
      <alignment vertical="center" wrapText="1"/>
    </xf>
    <xf numFmtId="0" fontId="19" fillId="2" borderId="10" xfId="0" applyFont="1" applyFill="1" applyBorder="1" applyAlignment="1">
      <alignment vertical="center" wrapText="1"/>
    </xf>
    <xf numFmtId="167" fontId="4" fillId="24" borderId="0" xfId="0" applyNumberFormat="1" applyFont="1" applyFill="1" applyBorder="1" applyAlignment="1">
      <alignment horizontal="center"/>
    </xf>
    <xf numFmtId="0" fontId="19" fillId="7" borderId="0" xfId="0" applyFont="1" applyFill="1" applyBorder="1" applyAlignment="1">
      <alignment vertical="center" wrapText="1"/>
    </xf>
    <xf numFmtId="0" fontId="18" fillId="24" borderId="0" xfId="0" applyFont="1" applyFill="1" applyBorder="1" applyAlignment="1">
      <alignment horizontal="center" vertical="center" wrapText="1"/>
    </xf>
    <xf numFmtId="0" fontId="0" fillId="37" borderId="4" xfId="0" applyFill="1" applyBorder="1" applyAlignment="1"/>
    <xf numFmtId="0" fontId="0" fillId="37" borderId="9" xfId="0" applyFill="1" applyBorder="1" applyAlignment="1"/>
    <xf numFmtId="0" fontId="47"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31" fillId="29" borderId="0" xfId="0" applyFont="1" applyFill="1" applyBorder="1" applyAlignment="1">
      <alignment horizontal="left" vertical="center" wrapText="1"/>
    </xf>
    <xf numFmtId="0" fontId="19" fillId="9" borderId="37" xfId="0" applyFont="1" applyFill="1" applyBorder="1" applyAlignment="1">
      <alignment horizontal="left" vertical="center" wrapText="1"/>
    </xf>
    <xf numFmtId="0" fontId="19" fillId="9" borderId="9" xfId="0" applyFont="1" applyFill="1" applyBorder="1" applyAlignment="1">
      <alignment vertical="center" wrapText="1"/>
    </xf>
    <xf numFmtId="0" fontId="19" fillId="9" borderId="10" xfId="0" applyFont="1" applyFill="1" applyBorder="1" applyAlignment="1">
      <alignment vertical="center" wrapText="1"/>
    </xf>
    <xf numFmtId="0" fontId="21" fillId="37" borderId="37" xfId="0" applyFont="1" applyFill="1" applyBorder="1" applyAlignment="1">
      <alignment horizontal="center" vertical="center" wrapText="1"/>
    </xf>
    <xf numFmtId="0" fontId="16" fillId="17" borderId="37"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9" fillId="9" borderId="37" xfId="0" applyFont="1" applyFill="1" applyBorder="1" applyAlignment="1">
      <alignment vertical="center" wrapText="1"/>
    </xf>
    <xf numFmtId="0" fontId="19" fillId="9" borderId="5" xfId="0" applyFont="1" applyFill="1" applyBorder="1" applyAlignment="1">
      <alignment horizontal="left" vertical="center" wrapText="1"/>
    </xf>
    <xf numFmtId="0" fontId="19" fillId="9" borderId="10" xfId="0" applyFont="1" applyFill="1" applyBorder="1" applyAlignment="1">
      <alignment horizontal="left" vertical="center" wrapText="1"/>
    </xf>
    <xf numFmtId="0" fontId="49" fillId="17" borderId="37" xfId="0" applyFont="1" applyFill="1" applyBorder="1" applyAlignment="1">
      <alignment horizontal="center" vertical="center" wrapText="1"/>
    </xf>
    <xf numFmtId="0" fontId="19" fillId="9" borderId="7" xfId="0" applyFont="1" applyFill="1" applyBorder="1" applyAlignment="1">
      <alignment vertical="center" wrapText="1"/>
    </xf>
    <xf numFmtId="0" fontId="19" fillId="9" borderId="0" xfId="0" applyFont="1" applyFill="1" applyBorder="1" applyAlignment="1">
      <alignment vertical="center" wrapText="1"/>
    </xf>
    <xf numFmtId="1" fontId="0" fillId="38" borderId="1" xfId="0" applyNumberFormat="1" applyFill="1" applyBorder="1" applyAlignment="1" applyProtection="1">
      <alignment horizontal="center"/>
      <protection locked="0"/>
    </xf>
    <xf numFmtId="0" fontId="19" fillId="17" borderId="0" xfId="0" applyFont="1" applyFill="1" applyBorder="1" applyAlignment="1">
      <alignment vertical="center" wrapText="1"/>
    </xf>
    <xf numFmtId="0" fontId="13" fillId="17" borderId="0" xfId="0" applyFont="1" applyFill="1" applyBorder="1" applyAlignment="1">
      <alignment horizontal="center"/>
    </xf>
    <xf numFmtId="0" fontId="38" fillId="0" borderId="132" xfId="0" applyFont="1" applyBorder="1"/>
    <xf numFmtId="0" fontId="13" fillId="17" borderId="7" xfId="0" applyFont="1" applyFill="1" applyBorder="1" applyAlignment="1">
      <alignment horizontal="center"/>
    </xf>
    <xf numFmtId="0" fontId="19" fillId="2" borderId="0" xfId="0" applyFont="1" applyFill="1" applyBorder="1" applyAlignment="1">
      <alignment vertical="center" wrapText="1"/>
    </xf>
    <xf numFmtId="0" fontId="12" fillId="29" borderId="0" xfId="0" applyFont="1" applyFill="1" applyAlignment="1"/>
    <xf numFmtId="0" fontId="21" fillId="37" borderId="0" xfId="0" applyFont="1" applyFill="1" applyBorder="1" applyAlignment="1">
      <alignment horizontal="center" vertical="center" wrapText="1"/>
    </xf>
    <xf numFmtId="0" fontId="15" fillId="0" borderId="7" xfId="0" applyFont="1" applyBorder="1"/>
    <xf numFmtId="0" fontId="18" fillId="0" borderId="133" xfId="0" applyFont="1" applyBorder="1" applyAlignment="1">
      <alignment vertical="center" wrapText="1"/>
    </xf>
    <xf numFmtId="0" fontId="19" fillId="2" borderId="6" xfId="0" applyFont="1" applyFill="1" applyBorder="1" applyAlignment="1">
      <alignment vertical="center" wrapText="1"/>
    </xf>
    <xf numFmtId="0" fontId="19" fillId="2" borderId="4" xfId="0" applyFont="1" applyFill="1" applyBorder="1" applyAlignment="1">
      <alignment vertical="center" wrapText="1"/>
    </xf>
    <xf numFmtId="0" fontId="19" fillId="2" borderId="5" xfId="0" applyFont="1" applyFill="1" applyBorder="1" applyAlignment="1">
      <alignment vertical="center" wrapText="1"/>
    </xf>
    <xf numFmtId="0" fontId="19" fillId="0" borderId="8" xfId="0" applyFont="1" applyBorder="1" applyAlignment="1">
      <alignment vertical="center" wrapText="1"/>
    </xf>
    <xf numFmtId="0" fontId="18" fillId="24" borderId="135" xfId="0" applyFont="1" applyFill="1" applyBorder="1" applyAlignment="1">
      <alignment horizontal="center" vertical="center" wrapText="1"/>
    </xf>
    <xf numFmtId="0" fontId="19" fillId="11" borderId="1" xfId="0" applyFont="1" applyFill="1" applyBorder="1" applyAlignment="1">
      <alignment horizontal="center" vertical="center" wrapText="1"/>
    </xf>
    <xf numFmtId="0" fontId="20" fillId="12" borderId="1" xfId="0" applyFont="1" applyFill="1" applyBorder="1" applyAlignment="1">
      <alignment horizontal="center" vertical="center" wrapText="1"/>
    </xf>
    <xf numFmtId="0" fontId="20" fillId="13" borderId="1" xfId="0" applyFont="1" applyFill="1" applyBorder="1" applyAlignment="1">
      <alignment horizontal="center" vertical="center" wrapText="1"/>
    </xf>
    <xf numFmtId="0" fontId="18" fillId="0" borderId="1" xfId="0" applyFont="1" applyBorder="1" applyAlignment="1">
      <alignment horizontal="left" vertical="center" wrapText="1"/>
    </xf>
    <xf numFmtId="0" fontId="19" fillId="9" borderId="40" xfId="0" applyFont="1" applyFill="1" applyBorder="1" applyAlignment="1">
      <alignment horizontal="left" vertical="center" wrapText="1"/>
    </xf>
    <xf numFmtId="0" fontId="18" fillId="0" borderId="91" xfId="0" applyFont="1" applyBorder="1" applyAlignment="1">
      <alignment horizontal="left" vertical="center" wrapText="1"/>
    </xf>
    <xf numFmtId="0" fontId="0" fillId="24" borderId="1" xfId="0" applyFill="1" applyBorder="1" applyAlignment="1">
      <alignment wrapText="1"/>
    </xf>
    <xf numFmtId="0" fontId="47" fillId="38" borderId="1" xfId="0" applyFont="1" applyFill="1" applyBorder="1" applyAlignment="1">
      <alignment horizontal="center"/>
    </xf>
    <xf numFmtId="0" fontId="5" fillId="38" borderId="1" xfId="0" applyFont="1" applyFill="1" applyBorder="1" applyAlignment="1">
      <alignment horizontal="center"/>
    </xf>
    <xf numFmtId="0" fontId="9" fillId="24" borderId="1" xfId="0" applyFont="1" applyFill="1" applyBorder="1" applyAlignment="1"/>
    <xf numFmtId="0" fontId="0" fillId="24" borderId="1" xfId="0" applyFill="1" applyBorder="1" applyAlignment="1">
      <alignment horizontal="center" vertical="center"/>
    </xf>
    <xf numFmtId="0" fontId="0" fillId="38" borderId="1" xfId="0" applyFill="1" applyBorder="1" applyAlignment="1">
      <alignment horizontal="center" vertical="center"/>
    </xf>
    <xf numFmtId="0" fontId="50" fillId="0" borderId="0" xfId="0" applyFont="1"/>
    <xf numFmtId="0" fontId="5" fillId="0" borderId="0" xfId="0" applyFont="1" applyAlignment="1">
      <alignment horizontal="left" wrapText="1"/>
    </xf>
    <xf numFmtId="0" fontId="29" fillId="29" borderId="0" xfId="0" applyFont="1" applyFill="1" applyBorder="1" applyAlignment="1">
      <alignment horizontal="left" vertical="top" wrapText="1"/>
    </xf>
    <xf numFmtId="0" fontId="29" fillId="29" borderId="0" xfId="0" applyFont="1" applyFill="1" applyBorder="1" applyAlignment="1">
      <alignment horizontal="left" wrapText="1"/>
    </xf>
    <xf numFmtId="0" fontId="47" fillId="38" borderId="1" xfId="0" applyFont="1" applyFill="1" applyBorder="1" applyAlignment="1">
      <alignment horizontal="left" wrapText="1"/>
    </xf>
    <xf numFmtId="0" fontId="13" fillId="37" borderId="1" xfId="0" applyFont="1" applyFill="1" applyBorder="1" applyAlignment="1">
      <alignment horizontal="left" wrapText="1"/>
    </xf>
    <xf numFmtId="0" fontId="5" fillId="2" borderId="1" xfId="0" applyFont="1" applyFill="1" applyBorder="1" applyAlignment="1">
      <alignment horizontal="left" wrapText="1"/>
    </xf>
    <xf numFmtId="0" fontId="0" fillId="0" borderId="0" xfId="0" applyAlignment="1">
      <alignment horizontal="left" wrapText="1"/>
    </xf>
    <xf numFmtId="0" fontId="18" fillId="0" borderId="25" xfId="0" applyFont="1" applyBorder="1" applyAlignment="1">
      <alignment vertical="center" wrapText="1"/>
    </xf>
    <xf numFmtId="0" fontId="19" fillId="0" borderId="15" xfId="0" applyFont="1" applyBorder="1" applyAlignment="1">
      <alignment vertical="center" wrapText="1"/>
    </xf>
    <xf numFmtId="0" fontId="6" fillId="36" borderId="16" xfId="0" applyFont="1" applyFill="1" applyBorder="1" applyAlignment="1">
      <alignment horizontal="left" vertical="center" wrapText="1"/>
    </xf>
    <xf numFmtId="0" fontId="6" fillId="36" borderId="16" xfId="0" applyFont="1" applyFill="1" applyBorder="1" applyAlignment="1">
      <alignment horizontal="center" vertical="center" wrapText="1"/>
    </xf>
    <xf numFmtId="0" fontId="15" fillId="2" borderId="40" xfId="0" applyFont="1" applyFill="1" applyBorder="1"/>
    <xf numFmtId="0" fontId="2" fillId="24" borderId="39" xfId="0" applyFont="1" applyFill="1" applyBorder="1" applyAlignment="1">
      <alignment horizontal="center" vertical="center" wrapText="1"/>
    </xf>
    <xf numFmtId="0" fontId="0" fillId="24" borderId="46" xfId="0" applyFill="1" applyBorder="1" applyAlignment="1">
      <alignment vertical="center" wrapText="1"/>
    </xf>
    <xf numFmtId="0" fontId="1" fillId="0" borderId="1" xfId="0" applyFont="1" applyBorder="1" applyAlignment="1">
      <alignment vertical="center"/>
    </xf>
    <xf numFmtId="0" fontId="19" fillId="39" borderId="10" xfId="0" applyFont="1" applyFill="1" applyBorder="1" applyAlignment="1">
      <alignment horizontal="center" vertical="center" wrapText="1"/>
    </xf>
    <xf numFmtId="0" fontId="19" fillId="39" borderId="94" xfId="0" applyFont="1" applyFill="1" applyBorder="1" applyAlignment="1">
      <alignment horizontal="center" vertical="center" wrapText="1"/>
    </xf>
    <xf numFmtId="0" fontId="12" fillId="2" borderId="1" xfId="0" applyFont="1" applyFill="1" applyBorder="1" applyAlignment="1">
      <alignment horizontal="center" vertical="center"/>
    </xf>
    <xf numFmtId="0" fontId="47"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6" fillId="15" borderId="15" xfId="0" applyFont="1" applyFill="1" applyBorder="1" applyAlignment="1">
      <alignment horizontal="center"/>
    </xf>
    <xf numFmtId="0" fontId="6" fillId="16" borderId="15" xfId="0" applyFont="1" applyFill="1" applyBorder="1" applyAlignment="1">
      <alignment horizontal="center"/>
    </xf>
    <xf numFmtId="0" fontId="19" fillId="39" borderId="7" xfId="0" applyFont="1" applyFill="1" applyBorder="1" applyAlignment="1">
      <alignment horizontal="center" vertical="center" wrapText="1"/>
    </xf>
    <xf numFmtId="0" fontId="18" fillId="0" borderId="13" xfId="0" applyFont="1" applyBorder="1" applyAlignment="1">
      <alignment vertical="center" wrapText="1"/>
    </xf>
    <xf numFmtId="0" fontId="18" fillId="0" borderId="14" xfId="0" applyFont="1" applyBorder="1" applyAlignment="1">
      <alignment vertical="center" wrapText="1"/>
    </xf>
    <xf numFmtId="0" fontId="18" fillId="0" borderId="136" xfId="0" applyFont="1" applyBorder="1" applyAlignment="1">
      <alignment vertical="center" wrapText="1"/>
    </xf>
    <xf numFmtId="0" fontId="19" fillId="10" borderId="5" xfId="0" applyFont="1" applyFill="1" applyBorder="1" applyAlignment="1">
      <alignment horizontal="center" vertical="center" wrapText="1"/>
    </xf>
    <xf numFmtId="1" fontId="0" fillId="38" borderId="91" xfId="0" applyNumberFormat="1" applyFill="1" applyBorder="1" applyAlignment="1" applyProtection="1">
      <alignment horizontal="center"/>
      <protection locked="0"/>
    </xf>
    <xf numFmtId="1" fontId="0" fillId="38" borderId="92" xfId="0" applyNumberFormat="1" applyFill="1" applyBorder="1" applyAlignment="1" applyProtection="1">
      <alignment horizontal="center"/>
      <protection locked="0"/>
    </xf>
    <xf numFmtId="0" fontId="19" fillId="39" borderId="39" xfId="0" applyFont="1" applyFill="1" applyBorder="1" applyAlignment="1">
      <alignment horizontal="center" vertical="center" wrapText="1"/>
    </xf>
    <xf numFmtId="1" fontId="0" fillId="38" borderId="102" xfId="0" applyNumberFormat="1" applyFill="1" applyBorder="1" applyAlignment="1" applyProtection="1">
      <alignment horizontal="center"/>
      <protection locked="0"/>
    </xf>
    <xf numFmtId="0" fontId="15" fillId="0" borderId="0" xfId="0" applyFont="1" applyBorder="1"/>
    <xf numFmtId="168" fontId="9" fillId="38" borderId="1" xfId="2" applyNumberFormat="1" applyFont="1" applyFill="1" applyBorder="1" applyAlignment="1">
      <alignment horizontal="center" vertical="center"/>
    </xf>
    <xf numFmtId="0" fontId="19" fillId="17" borderId="128" xfId="0" applyNumberFormat="1" applyFont="1" applyFill="1" applyBorder="1" applyAlignment="1" applyProtection="1">
      <alignment horizontal="center" vertical="center" wrapText="1"/>
      <protection locked="0"/>
    </xf>
    <xf numFmtId="0" fontId="0" fillId="23" borderId="143" xfId="0" applyFill="1" applyBorder="1" applyAlignment="1">
      <alignment vertical="center" wrapText="1"/>
    </xf>
    <xf numFmtId="0" fontId="0" fillId="23" borderId="144" xfId="0" applyFill="1" applyBorder="1" applyAlignment="1">
      <alignment vertical="center" wrapText="1"/>
    </xf>
    <xf numFmtId="0" fontId="0" fillId="23" borderId="145" xfId="0" applyFill="1" applyBorder="1" applyAlignment="1">
      <alignment vertical="center" wrapText="1"/>
    </xf>
    <xf numFmtId="0" fontId="19" fillId="39" borderId="1" xfId="0" applyFont="1" applyFill="1" applyBorder="1" applyAlignment="1">
      <alignment horizontal="center" vertical="center" wrapText="1"/>
    </xf>
    <xf numFmtId="0" fontId="19" fillId="10" borderId="1" xfId="0" applyFont="1" applyFill="1" applyBorder="1" applyAlignment="1">
      <alignment horizontal="center" vertical="center" wrapText="1"/>
    </xf>
    <xf numFmtId="0" fontId="0" fillId="23" borderId="143" xfId="0" applyFill="1" applyBorder="1" applyAlignment="1">
      <alignment horizontal="center" vertical="center" wrapText="1"/>
    </xf>
    <xf numFmtId="9" fontId="52" fillId="36" borderId="100" xfId="0" applyNumberFormat="1" applyFont="1" applyFill="1" applyBorder="1" applyAlignment="1">
      <alignment horizontal="center" vertical="center" wrapText="1"/>
    </xf>
    <xf numFmtId="10" fontId="39" fillId="17" borderId="2" xfId="2" applyNumberFormat="1" applyFont="1" applyFill="1" applyBorder="1" applyAlignment="1" applyProtection="1">
      <alignment horizontal="center" vertical="center"/>
      <protection locked="0"/>
    </xf>
    <xf numFmtId="0" fontId="19" fillId="10" borderId="37" xfId="0" applyFont="1" applyFill="1" applyBorder="1" applyAlignment="1">
      <alignment horizontal="center" vertical="center" wrapText="1"/>
    </xf>
    <xf numFmtId="0" fontId="6" fillId="6" borderId="109" xfId="0" quotePrefix="1" applyFont="1" applyFill="1" applyBorder="1" applyAlignment="1">
      <alignment horizontal="center" vertical="center"/>
    </xf>
    <xf numFmtId="0" fontId="6" fillId="6" borderId="110" xfId="0" quotePrefix="1" applyFont="1" applyFill="1" applyBorder="1" applyAlignment="1">
      <alignment horizontal="center" vertical="center"/>
    </xf>
    <xf numFmtId="0" fontId="6" fillId="6" borderId="130" xfId="0" quotePrefix="1" applyFont="1" applyFill="1" applyBorder="1" applyAlignment="1">
      <alignment horizontal="center" vertical="center"/>
    </xf>
    <xf numFmtId="0" fontId="6" fillId="4" borderId="108" xfId="0" quotePrefix="1" applyFont="1" applyFill="1" applyBorder="1" applyAlignment="1">
      <alignment vertical="center"/>
    </xf>
    <xf numFmtId="0" fontId="19" fillId="2" borderId="9" xfId="0" applyFont="1" applyFill="1" applyBorder="1" applyAlignment="1">
      <alignment horizontal="center" vertical="center" wrapText="1"/>
    </xf>
    <xf numFmtId="0" fontId="19" fillId="2" borderId="10" xfId="0" applyFont="1" applyFill="1" applyBorder="1" applyAlignment="1">
      <alignment horizontal="center" vertical="center" wrapText="1"/>
    </xf>
    <xf numFmtId="0" fontId="19" fillId="0" borderId="1" xfId="0" applyFont="1" applyBorder="1" applyAlignment="1">
      <alignment vertical="center" wrapText="1"/>
    </xf>
    <xf numFmtId="3" fontId="0" fillId="24" borderId="46" xfId="0" applyNumberFormat="1" applyFill="1" applyBorder="1" applyAlignment="1">
      <alignment horizontal="center" vertical="center" wrapText="1"/>
    </xf>
    <xf numFmtId="3" fontId="2" fillId="0" borderId="77" xfId="0" applyNumberFormat="1" applyFont="1" applyBorder="1" applyAlignment="1">
      <alignment horizontal="center" vertical="center" wrapText="1"/>
    </xf>
    <xf numFmtId="9" fontId="52" fillId="36" borderId="148" xfId="0" applyNumberFormat="1" applyFont="1" applyFill="1" applyBorder="1" applyAlignment="1">
      <alignment horizontal="center" vertical="center" wrapText="1"/>
    </xf>
    <xf numFmtId="9" fontId="52" fillId="40" borderId="148" xfId="0" applyNumberFormat="1" applyFont="1" applyFill="1" applyBorder="1" applyAlignment="1">
      <alignment horizontal="center" vertical="center" wrapText="1"/>
    </xf>
    <xf numFmtId="9" fontId="52" fillId="40" borderId="10" xfId="0" applyNumberFormat="1" applyFont="1" applyFill="1" applyBorder="1" applyAlignment="1">
      <alignment horizontal="center" vertical="center" wrapText="1"/>
    </xf>
    <xf numFmtId="9" fontId="52" fillId="36" borderId="149" xfId="0" applyNumberFormat="1" applyFont="1" applyFill="1" applyBorder="1" applyAlignment="1">
      <alignment horizontal="center" vertical="center" wrapText="1"/>
    </xf>
    <xf numFmtId="9" fontId="52" fillId="40" borderId="149" xfId="0" applyNumberFormat="1" applyFont="1" applyFill="1" applyBorder="1" applyAlignment="1">
      <alignment horizontal="center" vertical="center" wrapText="1"/>
    </xf>
    <xf numFmtId="9" fontId="52" fillId="40" borderId="150" xfId="0" applyNumberFormat="1" applyFont="1" applyFill="1" applyBorder="1" applyAlignment="1">
      <alignment horizontal="center" vertical="center" wrapText="1"/>
    </xf>
    <xf numFmtId="9" fontId="52" fillId="36" borderId="154" xfId="0" applyNumberFormat="1" applyFont="1" applyFill="1" applyBorder="1" applyAlignment="1">
      <alignment horizontal="center" vertical="center" wrapText="1"/>
    </xf>
    <xf numFmtId="0" fontId="18" fillId="0" borderId="39" xfId="0" applyFont="1" applyBorder="1" applyAlignment="1">
      <alignment vertical="center" wrapText="1"/>
    </xf>
    <xf numFmtId="0" fontId="18" fillId="2" borderId="8" xfId="0" applyFont="1" applyFill="1" applyBorder="1" applyAlignment="1">
      <alignment vertical="center" wrapText="1"/>
    </xf>
    <xf numFmtId="9" fontId="9" fillId="2" borderId="128" xfId="2" applyFont="1" applyFill="1" applyBorder="1" applyAlignment="1" applyProtection="1">
      <alignment horizontal="center" vertical="center"/>
      <protection locked="0"/>
    </xf>
    <xf numFmtId="9" fontId="9" fillId="2" borderId="155" xfId="2" applyFont="1" applyFill="1" applyBorder="1" applyAlignment="1" applyProtection="1">
      <alignment horizontal="center" vertical="center"/>
      <protection locked="0"/>
    </xf>
    <xf numFmtId="9" fontId="9" fillId="2" borderId="156" xfId="2" applyFont="1" applyFill="1" applyBorder="1" applyAlignment="1" applyProtection="1">
      <alignment horizontal="center" vertical="center"/>
      <protection locked="0"/>
    </xf>
    <xf numFmtId="0" fontId="18" fillId="2" borderId="38" xfId="0" applyFont="1" applyFill="1" applyBorder="1" applyAlignment="1">
      <alignment vertical="center" wrapText="1"/>
    </xf>
    <xf numFmtId="10" fontId="39" fillId="2" borderId="0" xfId="2" applyNumberFormat="1" applyFont="1" applyFill="1" applyBorder="1" applyAlignment="1" applyProtection="1">
      <alignment horizontal="center" vertical="center"/>
      <protection locked="0"/>
    </xf>
    <xf numFmtId="10" fontId="39" fillId="2" borderId="20" xfId="2" applyNumberFormat="1" applyFont="1" applyFill="1" applyBorder="1" applyAlignment="1" applyProtection="1">
      <alignment horizontal="center" vertical="center"/>
      <protection locked="0"/>
    </xf>
    <xf numFmtId="10" fontId="39" fillId="2" borderId="159" xfId="2" applyNumberFormat="1" applyFont="1" applyFill="1" applyBorder="1" applyAlignment="1" applyProtection="1">
      <alignment horizontal="center" vertical="center"/>
      <protection locked="0"/>
    </xf>
    <xf numFmtId="0" fontId="26" fillId="29" borderId="0" xfId="0" applyFont="1" applyFill="1" applyBorder="1" applyAlignment="1">
      <alignment horizontal="center" vertical="center"/>
    </xf>
    <xf numFmtId="0" fontId="15" fillId="2" borderId="1" xfId="0" applyFont="1" applyFill="1" applyBorder="1"/>
    <xf numFmtId="1" fontId="0" fillId="2" borderId="2" xfId="0" applyNumberFormat="1" applyFill="1" applyBorder="1" applyProtection="1">
      <protection locked="0"/>
    </xf>
    <xf numFmtId="1" fontId="0" fillId="2" borderId="24" xfId="0" applyNumberFormat="1" applyFill="1" applyBorder="1" applyProtection="1">
      <protection locked="0"/>
    </xf>
    <xf numFmtId="0" fontId="0" fillId="2" borderId="16" xfId="0" applyFill="1" applyBorder="1"/>
    <xf numFmtId="0" fontId="0" fillId="2" borderId="89" xfId="0" applyFill="1" applyBorder="1"/>
    <xf numFmtId="0" fontId="38" fillId="0" borderId="132" xfId="0" applyFont="1" applyBorder="1" applyAlignment="1">
      <alignment wrapText="1"/>
    </xf>
    <xf numFmtId="0" fontId="29" fillId="29" borderId="11" xfId="0" applyFont="1" applyFill="1" applyBorder="1" applyAlignment="1">
      <alignment horizontal="left"/>
    </xf>
    <xf numFmtId="0" fontId="1" fillId="35" borderId="0" xfId="0" applyFont="1" applyFill="1"/>
    <xf numFmtId="0" fontId="53" fillId="38" borderId="1" xfId="0" applyFont="1" applyFill="1" applyBorder="1" applyAlignment="1">
      <alignment horizontal="center" vertical="center" wrapText="1"/>
    </xf>
    <xf numFmtId="0" fontId="53" fillId="38" borderId="17" xfId="0" applyFont="1" applyFill="1" applyBorder="1" applyAlignment="1">
      <alignment horizontal="center" vertical="center" wrapText="1"/>
    </xf>
    <xf numFmtId="0" fontId="1" fillId="2" borderId="0" xfId="0" applyFont="1" applyFill="1" applyBorder="1"/>
    <xf numFmtId="0" fontId="1" fillId="2" borderId="0" xfId="0" applyFont="1" applyFill="1"/>
    <xf numFmtId="0" fontId="1" fillId="0" borderId="0" xfId="0" applyFont="1"/>
    <xf numFmtId="0" fontId="1" fillId="0" borderId="1" xfId="0" applyFont="1" applyBorder="1" applyAlignment="1"/>
    <xf numFmtId="0" fontId="1" fillId="0" borderId="1" xfId="0" applyFont="1" applyBorder="1" applyAlignment="1">
      <alignment horizontal="center"/>
    </xf>
    <xf numFmtId="9" fontId="56" fillId="39" borderId="1" xfId="2" applyFont="1" applyFill="1" applyBorder="1" applyAlignment="1">
      <alignment horizontal="center" vertical="center" wrapText="1"/>
    </xf>
    <xf numFmtId="9" fontId="56" fillId="10" borderId="1" xfId="2" applyFont="1" applyFill="1" applyBorder="1" applyAlignment="1">
      <alignment horizontal="center" vertical="center" wrapText="1"/>
    </xf>
    <xf numFmtId="9" fontId="13" fillId="11" borderId="1" xfId="2" applyFont="1" applyFill="1" applyBorder="1" applyAlignment="1">
      <alignment horizontal="center" vertical="center" wrapText="1"/>
    </xf>
    <xf numFmtId="9" fontId="57" fillId="14" borderId="1" xfId="0" applyNumberFormat="1" applyFont="1" applyFill="1" applyBorder="1" applyAlignment="1">
      <alignment horizontal="center" vertical="center" wrapText="1"/>
    </xf>
    <xf numFmtId="9" fontId="58" fillId="13" borderId="1" xfId="2" applyFont="1" applyFill="1" applyBorder="1" applyAlignment="1">
      <alignment horizontal="center" vertical="center" wrapText="1"/>
    </xf>
    <xf numFmtId="9"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pplyProtection="1">
      <alignment horizontal="center" vertical="center"/>
    </xf>
    <xf numFmtId="1" fontId="0" fillId="0" borderId="134" xfId="0" applyNumberFormat="1" applyFill="1" applyBorder="1" applyAlignment="1" applyProtection="1">
      <alignment horizontal="center"/>
    </xf>
    <xf numFmtId="10" fontId="41" fillId="31" borderId="16" xfId="2" applyNumberFormat="1" applyFont="1" applyFill="1" applyBorder="1" applyProtection="1"/>
    <xf numFmtId="1" fontId="0" fillId="0" borderId="101" xfId="0" applyNumberFormat="1" applyFill="1" applyBorder="1" applyAlignment="1" applyProtection="1">
      <alignment horizontal="center"/>
    </xf>
    <xf numFmtId="1" fontId="0" fillId="0" borderId="37" xfId="0" applyNumberFormat="1" applyFill="1" applyBorder="1" applyAlignment="1" applyProtection="1">
      <alignment horizontal="center"/>
    </xf>
    <xf numFmtId="0" fontId="14" fillId="41" borderId="15" xfId="0" applyFont="1" applyFill="1" applyBorder="1" applyAlignment="1">
      <alignment horizontal="center" vertical="center"/>
    </xf>
    <xf numFmtId="1" fontId="0" fillId="0" borderId="1" xfId="0" applyNumberFormat="1" applyFill="1" applyBorder="1" applyAlignment="1" applyProtection="1">
      <alignment horizontal="center"/>
    </xf>
    <xf numFmtId="0" fontId="29" fillId="0" borderId="16" xfId="0" applyFont="1" applyBorder="1" applyAlignment="1">
      <alignment horizontal="center" vertical="center"/>
    </xf>
    <xf numFmtId="0" fontId="29" fillId="0" borderId="164" xfId="0" applyFont="1" applyBorder="1" applyAlignment="1">
      <alignment horizontal="center" vertical="center"/>
    </xf>
    <xf numFmtId="0" fontId="6" fillId="6" borderId="165" xfId="0" quotePrefix="1" applyFont="1" applyFill="1" applyBorder="1" applyAlignment="1">
      <alignment horizontal="center" vertical="center"/>
    </xf>
    <xf numFmtId="0" fontId="6" fillId="6" borderId="166" xfId="0" quotePrefix="1" applyFont="1" applyFill="1" applyBorder="1" applyAlignment="1">
      <alignment horizontal="center" vertical="center"/>
    </xf>
    <xf numFmtId="0" fontId="6" fillId="6" borderId="167" xfId="0" quotePrefix="1" applyFont="1" applyFill="1" applyBorder="1" applyAlignment="1">
      <alignment horizontal="center" vertical="center"/>
    </xf>
    <xf numFmtId="0" fontId="6" fillId="4" borderId="163" xfId="0" quotePrefix="1" applyFont="1" applyFill="1" applyBorder="1" applyAlignment="1">
      <alignment vertical="center"/>
    </xf>
    <xf numFmtId="0" fontId="6" fillId="4" borderId="131" xfId="0" quotePrefix="1" applyFont="1" applyFill="1" applyBorder="1" applyAlignment="1">
      <alignment vertical="center"/>
    </xf>
    <xf numFmtId="0" fontId="0" fillId="38" borderId="1" xfId="0" applyFill="1" applyBorder="1" applyAlignment="1">
      <alignment horizontal="center"/>
    </xf>
    <xf numFmtId="0" fontId="13" fillId="38" borderId="1" xfId="0" applyFont="1" applyFill="1" applyBorder="1" applyAlignment="1" applyProtection="1">
      <alignment vertical="center" wrapText="1"/>
    </xf>
    <xf numFmtId="17" fontId="1" fillId="38" borderId="12" xfId="0" quotePrefix="1" applyNumberFormat="1" applyFont="1" applyFill="1" applyBorder="1" applyAlignment="1"/>
    <xf numFmtId="17" fontId="13" fillId="38" borderId="1" xfId="0" quotePrefix="1" applyNumberFormat="1" applyFont="1" applyFill="1" applyBorder="1" applyAlignment="1">
      <alignment horizontal="center" vertical="center" wrapText="1"/>
    </xf>
    <xf numFmtId="17" fontId="13" fillId="38" borderId="1" xfId="0" quotePrefix="1" applyNumberFormat="1" applyFont="1" applyFill="1" applyBorder="1" applyAlignment="1" applyProtection="1">
      <alignment horizontal="center" vertical="center" wrapText="1"/>
    </xf>
    <xf numFmtId="0" fontId="0" fillId="38" borderId="1" xfId="0" applyFill="1" applyBorder="1" applyAlignment="1">
      <alignment horizontal="center" vertical="center"/>
    </xf>
    <xf numFmtId="0" fontId="5" fillId="38" borderId="1" xfId="0" applyFont="1" applyFill="1" applyBorder="1" applyAlignment="1">
      <alignment horizontal="center" vertical="center"/>
    </xf>
    <xf numFmtId="0" fontId="47" fillId="38" borderId="1" xfId="0" applyFont="1" applyFill="1" applyBorder="1" applyAlignment="1" applyProtection="1">
      <alignment horizontal="left" wrapText="1"/>
    </xf>
    <xf numFmtId="0" fontId="1" fillId="0" borderId="1" xfId="0" applyFont="1" applyBorder="1" applyAlignment="1" applyProtection="1">
      <alignment horizontal="center" vertical="center"/>
    </xf>
    <xf numFmtId="168" fontId="47" fillId="24"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5" fillId="7" borderId="1" xfId="0" applyFont="1" applyFill="1" applyBorder="1" applyAlignment="1">
      <alignment horizontal="center" vertical="center"/>
    </xf>
    <xf numFmtId="0" fontId="15" fillId="0" borderId="40"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5" fillId="0" borderId="0" xfId="0" applyFont="1" applyBorder="1" applyAlignment="1">
      <alignment horizontal="center" vertical="center" textRotation="90" wrapText="1"/>
    </xf>
    <xf numFmtId="0" fontId="15" fillId="2" borderId="6" xfId="0" applyFont="1" applyFill="1" applyBorder="1"/>
    <xf numFmtId="0" fontId="0" fillId="23" borderId="36" xfId="0" applyFill="1" applyBorder="1" applyAlignment="1">
      <alignment vertical="center" wrapText="1"/>
    </xf>
    <xf numFmtId="0" fontId="19" fillId="9" borderId="36" xfId="0" applyFont="1" applyFill="1" applyBorder="1" applyAlignment="1">
      <alignment vertical="center" wrapText="1"/>
    </xf>
    <xf numFmtId="0" fontId="18" fillId="0" borderId="1" xfId="0" applyFont="1" applyBorder="1" applyAlignment="1">
      <alignment horizontal="left" vertical="center" wrapText="1"/>
    </xf>
    <xf numFmtId="1" fontId="0" fillId="38" borderId="15" xfId="0" applyNumberFormat="1" applyFill="1" applyBorder="1" applyAlignment="1" applyProtection="1">
      <alignment horizontal="center"/>
      <protection locked="0"/>
    </xf>
    <xf numFmtId="0" fontId="19" fillId="9" borderId="9" xfId="0" applyFont="1" applyFill="1" applyBorder="1" applyAlignment="1">
      <alignment vertical="center" wrapText="1"/>
    </xf>
    <xf numFmtId="0" fontId="40" fillId="17" borderId="156" xfId="0" applyNumberFormat="1" applyFont="1" applyFill="1" applyBorder="1" applyAlignment="1" applyProtection="1">
      <alignment vertical="center" wrapText="1"/>
      <protection locked="0"/>
    </xf>
    <xf numFmtId="0" fontId="40" fillId="17" borderId="157" xfId="0" applyNumberFormat="1" applyFont="1" applyFill="1" applyBorder="1" applyAlignment="1" applyProtection="1">
      <alignment vertical="center" wrapText="1"/>
      <protection locked="0"/>
    </xf>
    <xf numFmtId="0" fontId="40" fillId="17" borderId="158" xfId="0" applyNumberFormat="1" applyFont="1" applyFill="1" applyBorder="1" applyAlignment="1" applyProtection="1">
      <alignment vertical="center" wrapText="1"/>
      <protection locked="0"/>
    </xf>
    <xf numFmtId="1" fontId="40" fillId="17" borderId="159" xfId="0" applyNumberFormat="1" applyFont="1" applyFill="1" applyBorder="1" applyAlignment="1" applyProtection="1">
      <alignment vertical="center" wrapText="1"/>
      <protection locked="0"/>
    </xf>
    <xf numFmtId="1" fontId="40" fillId="17" borderId="7" xfId="0" applyNumberFormat="1" applyFont="1" applyFill="1" applyBorder="1" applyAlignment="1" applyProtection="1">
      <alignment vertical="center" wrapText="1"/>
      <protection locked="0"/>
    </xf>
    <xf numFmtId="1" fontId="40" fillId="17" borderId="10" xfId="0" applyNumberFormat="1" applyFont="1" applyFill="1" applyBorder="1" applyAlignment="1" applyProtection="1">
      <alignment vertical="center" wrapText="1"/>
      <protection locked="0"/>
    </xf>
    <xf numFmtId="0" fontId="18" fillId="0" borderId="12" xfId="0" applyFont="1" applyBorder="1" applyAlignment="1">
      <alignment vertical="center" wrapText="1"/>
    </xf>
    <xf numFmtId="0" fontId="19" fillId="0" borderId="0" xfId="0" applyFont="1" applyBorder="1" applyAlignment="1">
      <alignment horizontal="center" vertical="center" wrapText="1"/>
    </xf>
    <xf numFmtId="0" fontId="18" fillId="0" borderId="17" xfId="0" applyFont="1" applyBorder="1" applyAlignment="1">
      <alignment horizontal="left" vertical="center" wrapText="1"/>
    </xf>
    <xf numFmtId="0" fontId="18" fillId="0" borderId="168" xfId="0" applyFont="1" applyBorder="1" applyAlignment="1">
      <alignment vertical="center" wrapText="1"/>
    </xf>
    <xf numFmtId="168" fontId="9" fillId="38" borderId="149" xfId="2" applyNumberFormat="1" applyFont="1" applyFill="1" applyBorder="1" applyAlignment="1">
      <alignment horizontal="center" vertical="center"/>
    </xf>
    <xf numFmtId="168" fontId="9" fillId="38" borderId="150" xfId="2" applyNumberFormat="1" applyFont="1" applyFill="1" applyBorder="1" applyAlignment="1">
      <alignment horizontal="center" vertical="center"/>
    </xf>
    <xf numFmtId="0" fontId="42" fillId="0" borderId="1" xfId="0" applyFont="1" applyBorder="1" applyAlignment="1">
      <alignment vertical="center" wrapText="1"/>
    </xf>
    <xf numFmtId="169" fontId="9" fillId="24" borderId="1" xfId="2" applyNumberFormat="1" applyFont="1" applyFill="1" applyBorder="1" applyAlignment="1">
      <alignment horizontal="center"/>
    </xf>
    <xf numFmtId="168" fontId="9" fillId="24" borderId="1" xfId="2" applyNumberFormat="1" applyFont="1" applyFill="1" applyBorder="1" applyAlignment="1">
      <alignment horizontal="center" vertical="center"/>
    </xf>
    <xf numFmtId="168" fontId="0" fillId="24" borderId="1" xfId="2" applyNumberFormat="1" applyFont="1" applyFill="1" applyBorder="1" applyAlignment="1">
      <alignment horizontal="center" vertical="center"/>
    </xf>
    <xf numFmtId="168"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lignment horizontal="center"/>
    </xf>
    <xf numFmtId="1" fontId="0" fillId="0" borderId="0" xfId="0" applyNumberFormat="1" applyAlignment="1">
      <alignment horizontal="center"/>
    </xf>
    <xf numFmtId="0" fontId="20" fillId="13" borderId="0" xfId="0" applyFont="1" applyFill="1" applyBorder="1" applyAlignment="1">
      <alignment horizontal="center" vertical="center" wrapText="1"/>
    </xf>
    <xf numFmtId="0" fontId="0" fillId="0" borderId="0" xfId="0" applyProtection="1">
      <protection locked="0"/>
    </xf>
    <xf numFmtId="0" fontId="32" fillId="29" borderId="3" xfId="0" applyFont="1" applyFill="1" applyBorder="1" applyAlignment="1" applyProtection="1">
      <protection locked="0"/>
    </xf>
    <xf numFmtId="0" fontId="25" fillId="29" borderId="4" xfId="0" applyFont="1" applyFill="1" applyBorder="1" applyAlignment="1" applyProtection="1">
      <protection locked="0"/>
    </xf>
    <xf numFmtId="0" fontId="0" fillId="38" borderId="12" xfId="0" applyFont="1" applyFill="1" applyBorder="1" applyAlignment="1" applyProtection="1">
      <protection locked="0"/>
    </xf>
    <xf numFmtId="0" fontId="25" fillId="29" borderId="5" xfId="0" applyFont="1" applyFill="1" applyBorder="1" applyAlignment="1" applyProtection="1">
      <protection locked="0"/>
    </xf>
    <xf numFmtId="0" fontId="25" fillId="29" borderId="6" xfId="0" applyFont="1" applyFill="1" applyBorder="1" applyAlignment="1" applyProtection="1">
      <protection locked="0"/>
    </xf>
    <xf numFmtId="0" fontId="25" fillId="29" borderId="0" xfId="0" applyFont="1" applyFill="1" applyBorder="1" applyAlignment="1" applyProtection="1">
      <protection locked="0"/>
    </xf>
    <xf numFmtId="0" fontId="12" fillId="29" borderId="6" xfId="0" applyFont="1" applyFill="1" applyBorder="1" applyProtection="1">
      <protection locked="0"/>
    </xf>
    <xf numFmtId="0" fontId="12" fillId="29" borderId="0" xfId="0" applyFont="1" applyFill="1" applyBorder="1" applyProtection="1">
      <protection locked="0"/>
    </xf>
    <xf numFmtId="0" fontId="27" fillId="26" borderId="3" xfId="0" applyFont="1" applyFill="1" applyBorder="1" applyAlignment="1" applyProtection="1">
      <alignment vertical="top"/>
      <protection locked="0"/>
    </xf>
    <xf numFmtId="0" fontId="12" fillId="26" borderId="4" xfId="0" applyFont="1" applyFill="1" applyBorder="1" applyAlignment="1" applyProtection="1">
      <alignment vertical="top"/>
      <protection locked="0"/>
    </xf>
    <xf numFmtId="0" fontId="12" fillId="26" borderId="5" xfId="0" applyFont="1" applyFill="1" applyBorder="1" applyAlignment="1" applyProtection="1">
      <alignment vertical="top"/>
      <protection locked="0"/>
    </xf>
    <xf numFmtId="0" fontId="12" fillId="29" borderId="12" xfId="0" applyFont="1" applyFill="1" applyBorder="1" applyAlignment="1" applyProtection="1">
      <protection locked="0"/>
    </xf>
    <xf numFmtId="0" fontId="12" fillId="29" borderId="0" xfId="0" applyFont="1" applyFill="1" applyBorder="1" applyAlignment="1" applyProtection="1">
      <protection locked="0"/>
    </xf>
    <xf numFmtId="0" fontId="12" fillId="29" borderId="81" xfId="0" applyFont="1" applyFill="1" applyBorder="1" applyAlignment="1" applyProtection="1">
      <protection locked="0"/>
    </xf>
    <xf numFmtId="0" fontId="12" fillId="26" borderId="6" xfId="0" applyFont="1" applyFill="1" applyBorder="1" applyAlignment="1" applyProtection="1">
      <alignment vertical="top"/>
      <protection locked="0"/>
    </xf>
    <xf numFmtId="0" fontId="12" fillId="26" borderId="0" xfId="0" applyFont="1" applyFill="1" applyBorder="1" applyAlignment="1" applyProtection="1">
      <alignment vertical="top"/>
      <protection locked="0"/>
    </xf>
    <xf numFmtId="0" fontId="12" fillId="26" borderId="7" xfId="0" applyFont="1" applyFill="1" applyBorder="1" applyAlignment="1" applyProtection="1">
      <alignment vertical="top"/>
      <protection locked="0"/>
    </xf>
    <xf numFmtId="0" fontId="12" fillId="29" borderId="14" xfId="0" applyFont="1" applyFill="1" applyBorder="1" applyAlignment="1" applyProtection="1">
      <protection locked="0"/>
    </xf>
    <xf numFmtId="165" fontId="0" fillId="38" borderId="12" xfId="1" applyNumberFormat="1" applyFont="1" applyFill="1" applyBorder="1" applyAlignment="1" applyProtection="1">
      <protection locked="0"/>
    </xf>
    <xf numFmtId="0" fontId="0" fillId="38" borderId="80" xfId="0" applyFont="1" applyFill="1" applyBorder="1" applyAlignment="1" applyProtection="1">
      <alignment vertical="top" wrapText="1"/>
      <protection locked="0"/>
    </xf>
    <xf numFmtId="0" fontId="12" fillId="29" borderId="86" xfId="0" applyFont="1" applyFill="1" applyBorder="1" applyAlignment="1" applyProtection="1">
      <protection locked="0"/>
    </xf>
    <xf numFmtId="0" fontId="0" fillId="38" borderId="80" xfId="0" applyFont="1" applyFill="1" applyBorder="1" applyAlignment="1" applyProtection="1">
      <alignment vertical="top"/>
      <protection locked="0"/>
    </xf>
    <xf numFmtId="0" fontId="12" fillId="29" borderId="6" xfId="0" applyFont="1" applyFill="1" applyBorder="1" applyAlignment="1" applyProtection="1">
      <alignment horizontal="left"/>
      <protection locked="0"/>
    </xf>
    <xf numFmtId="0" fontId="12" fillId="29" borderId="0" xfId="0" applyFont="1" applyFill="1" applyBorder="1" applyAlignment="1" applyProtection="1">
      <alignment horizontal="left"/>
      <protection locked="0"/>
    </xf>
    <xf numFmtId="0" fontId="12" fillId="29" borderId="83" xfId="0" applyFont="1" applyFill="1" applyBorder="1" applyAlignment="1" applyProtection="1">
      <alignment horizontal="left"/>
      <protection locked="0"/>
    </xf>
    <xf numFmtId="0" fontId="12" fillId="29" borderId="85" xfId="0" applyFont="1" applyFill="1" applyBorder="1" applyAlignment="1" applyProtection="1">
      <alignment horizontal="left"/>
      <protection locked="0"/>
    </xf>
    <xf numFmtId="0" fontId="12" fillId="29" borderId="84" xfId="0" applyFont="1" applyFill="1" applyBorder="1" applyAlignment="1" applyProtection="1">
      <alignment horizontal="left"/>
      <protection locked="0"/>
    </xf>
    <xf numFmtId="0" fontId="35" fillId="24" borderId="87" xfId="0" applyFont="1" applyFill="1" applyBorder="1" applyAlignment="1" applyProtection="1">
      <protection locked="0"/>
    </xf>
    <xf numFmtId="0" fontId="35" fillId="33" borderId="1" xfId="0" applyFont="1" applyFill="1" applyBorder="1" applyAlignment="1" applyProtection="1">
      <alignment horizontal="center"/>
      <protection locked="0"/>
    </xf>
    <xf numFmtId="0" fontId="4" fillId="0" borderId="0" xfId="0" applyFont="1" applyAlignment="1" applyProtection="1">
      <alignment horizontal="center" vertical="center"/>
      <protection locked="0"/>
    </xf>
    <xf numFmtId="0" fontId="0" fillId="0" borderId="0" xfId="0" applyFont="1" applyProtection="1">
      <protection locked="0"/>
    </xf>
    <xf numFmtId="0" fontId="36" fillId="0" borderId="0" xfId="0" applyFont="1" applyProtection="1">
      <protection locked="0"/>
    </xf>
    <xf numFmtId="0" fontId="0" fillId="0" borderId="1" xfId="0" applyBorder="1" applyProtection="1">
      <protection locked="0"/>
    </xf>
    <xf numFmtId="0" fontId="0" fillId="2" borderId="1" xfId="0" applyFill="1" applyBorder="1" applyProtection="1">
      <protection locked="0"/>
    </xf>
    <xf numFmtId="0" fontId="2" fillId="24" borderId="12" xfId="0" applyFont="1" applyFill="1" applyBorder="1" applyAlignment="1" applyProtection="1"/>
    <xf numFmtId="17" fontId="0" fillId="38" borderId="12" xfId="0" quotePrefix="1" applyNumberFormat="1" applyFont="1" applyFill="1" applyBorder="1" applyAlignment="1" applyProtection="1"/>
    <xf numFmtId="9" fontId="13" fillId="38" borderId="1" xfId="2" applyFont="1" applyFill="1" applyBorder="1" applyAlignment="1">
      <alignment horizontal="center" vertical="center"/>
    </xf>
    <xf numFmtId="9" fontId="13" fillId="38" borderId="1" xfId="2" applyFont="1" applyFill="1" applyBorder="1" applyAlignment="1" applyProtection="1">
      <alignment horizontal="center" vertical="center"/>
    </xf>
    <xf numFmtId="168" fontId="13" fillId="38" borderId="1" xfId="2" applyNumberFormat="1" applyFont="1" applyFill="1" applyBorder="1" applyAlignment="1">
      <alignment horizontal="center" vertical="center"/>
    </xf>
    <xf numFmtId="0" fontId="21" fillId="37" borderId="0" xfId="0" applyFont="1" applyFill="1" applyBorder="1" applyAlignment="1">
      <alignment horizontal="center" vertical="center" wrapText="1"/>
    </xf>
    <xf numFmtId="0" fontId="15" fillId="0" borderId="0" xfId="0" applyFont="1" applyFill="1"/>
    <xf numFmtId="0" fontId="6" fillId="18" borderId="121" xfId="0" applyFont="1" applyFill="1" applyBorder="1" applyAlignment="1">
      <alignment vertical="center" wrapText="1"/>
    </xf>
    <xf numFmtId="0" fontId="19" fillId="0" borderId="94" xfId="0" applyFont="1" applyFill="1" applyBorder="1" applyAlignment="1">
      <alignment vertical="center" wrapText="1"/>
    </xf>
    <xf numFmtId="0" fontId="1" fillId="38" borderId="1" xfId="0" applyFont="1" applyFill="1" applyBorder="1" applyAlignment="1">
      <alignment horizontal="center" vertical="center"/>
    </xf>
    <xf numFmtId="0" fontId="19" fillId="9" borderId="8" xfId="0" applyFont="1" applyFill="1" applyBorder="1" applyAlignment="1">
      <alignment vertical="center" wrapText="1"/>
    </xf>
    <xf numFmtId="0" fontId="19" fillId="9" borderId="0" xfId="0" applyFont="1" applyFill="1" applyAlignment="1">
      <alignment vertical="center" wrapText="1"/>
    </xf>
    <xf numFmtId="0" fontId="4" fillId="20" borderId="66" xfId="0" applyFont="1" applyFill="1" applyBorder="1" applyAlignment="1">
      <alignment horizontal="center" vertical="center" wrapText="1"/>
    </xf>
    <xf numFmtId="0" fontId="60" fillId="42" borderId="11" xfId="0" applyFont="1" applyFill="1" applyBorder="1"/>
    <xf numFmtId="0" fontId="60" fillId="42" borderId="13" xfId="0" applyFont="1" applyFill="1" applyBorder="1"/>
    <xf numFmtId="0" fontId="61" fillId="42" borderId="11" xfId="0" applyFont="1" applyFill="1" applyBorder="1"/>
    <xf numFmtId="0" fontId="12" fillId="26" borderId="6" xfId="0" applyFont="1" applyFill="1" applyBorder="1" applyAlignment="1">
      <alignment vertical="top"/>
    </xf>
    <xf numFmtId="0" fontId="12" fillId="26" borderId="0" xfId="0" applyFont="1" applyFill="1" applyAlignment="1">
      <alignment vertical="top"/>
    </xf>
    <xf numFmtId="0" fontId="35" fillId="24" borderId="1" xfId="0" applyFont="1" applyFill="1" applyBorder="1" applyAlignment="1">
      <alignment horizontal="center" vertical="top"/>
    </xf>
    <xf numFmtId="0" fontId="35" fillId="24" borderId="80" xfId="0" applyFont="1" applyFill="1" applyBorder="1"/>
    <xf numFmtId="0" fontId="35" fillId="24" borderId="82" xfId="0" applyFont="1" applyFill="1" applyBorder="1"/>
    <xf numFmtId="0" fontId="35" fillId="24" borderId="0" xfId="0" applyFont="1" applyFill="1"/>
    <xf numFmtId="0" fontId="43" fillId="43" borderId="2" xfId="0" applyFont="1" applyFill="1" applyBorder="1" applyAlignment="1">
      <alignment horizontal="center" vertical="center" wrapText="1"/>
    </xf>
    <xf numFmtId="0" fontId="45" fillId="44" borderId="1" xfId="0" applyFont="1" applyFill="1" applyBorder="1" applyAlignment="1">
      <alignment horizontal="center" vertical="center"/>
    </xf>
    <xf numFmtId="0" fontId="62" fillId="44" borderId="1" xfId="0" applyFont="1" applyFill="1" applyBorder="1"/>
    <xf numFmtId="0" fontId="62" fillId="44" borderId="1" xfId="0" applyFont="1" applyFill="1" applyBorder="1" applyAlignment="1">
      <alignment horizontal="center" vertical="center"/>
    </xf>
    <xf numFmtId="0" fontId="45" fillId="45" borderId="1" xfId="0" applyFont="1" applyFill="1" applyBorder="1" applyAlignment="1">
      <alignment horizontal="center" vertical="center"/>
    </xf>
    <xf numFmtId="0" fontId="62" fillId="46" borderId="1" xfId="0" applyFont="1" applyFill="1" applyBorder="1"/>
    <xf numFmtId="0" fontId="63" fillId="43" borderId="2" xfId="0" applyFont="1" applyFill="1" applyBorder="1" applyAlignment="1">
      <alignment horizontal="center" vertical="center"/>
    </xf>
    <xf numFmtId="0" fontId="63" fillId="43" borderId="2" xfId="0" applyFont="1" applyFill="1" applyBorder="1" applyAlignment="1">
      <alignment horizontal="center" vertical="center" wrapText="1"/>
    </xf>
    <xf numFmtId="0" fontId="63" fillId="43" borderId="18" xfId="0" applyFont="1" applyFill="1" applyBorder="1" applyAlignment="1">
      <alignment horizontal="center" vertical="center" wrapText="1"/>
    </xf>
    <xf numFmtId="0" fontId="60" fillId="42" borderId="6" xfId="0" applyFont="1" applyFill="1" applyBorder="1"/>
    <xf numFmtId="0" fontId="65" fillId="43" borderId="1" xfId="0" applyFont="1" applyFill="1" applyBorder="1" applyAlignment="1">
      <alignment horizontal="center" vertical="center" wrapText="1"/>
    </xf>
    <xf numFmtId="0" fontId="51" fillId="2" borderId="2" xfId="0" applyFont="1" applyFill="1" applyBorder="1" applyAlignment="1">
      <alignment horizontal="center" vertical="center"/>
    </xf>
    <xf numFmtId="0" fontId="0" fillId="35" borderId="0" xfId="0" applyFill="1" applyAlignment="1">
      <alignment horizontal="center"/>
    </xf>
    <xf numFmtId="0" fontId="9" fillId="17" borderId="1" xfId="0" applyFont="1" applyFill="1" applyBorder="1" applyAlignment="1">
      <alignment horizontal="center" wrapText="1"/>
    </xf>
    <xf numFmtId="0" fontId="2" fillId="17" borderId="16" xfId="0" applyFont="1" applyFill="1" applyBorder="1" applyAlignment="1">
      <alignment horizontal="center"/>
    </xf>
    <xf numFmtId="0" fontId="2" fillId="17" borderId="1" xfId="0" applyFont="1" applyFill="1" applyBorder="1" applyAlignment="1">
      <alignment horizontal="center"/>
    </xf>
    <xf numFmtId="0" fontId="14" fillId="0" borderId="1" xfId="0" applyFont="1" applyBorder="1" applyAlignment="1">
      <alignment horizontal="center" vertical="center"/>
    </xf>
    <xf numFmtId="0" fontId="66" fillId="0" borderId="1" xfId="0" applyFont="1" applyBorder="1"/>
    <xf numFmtId="0" fontId="67" fillId="47" borderId="1" xfId="0" applyFont="1" applyFill="1" applyBorder="1"/>
    <xf numFmtId="0" fontId="1" fillId="3" borderId="2" xfId="0" applyFont="1" applyFill="1" applyBorder="1" applyAlignment="1">
      <alignment horizontal="center" vertical="center"/>
    </xf>
    <xf numFmtId="0" fontId="1" fillId="7" borderId="2" xfId="0" applyFont="1" applyFill="1" applyBorder="1" applyAlignment="1">
      <alignment vertical="center" wrapText="1"/>
    </xf>
    <xf numFmtId="0" fontId="3" fillId="7" borderId="0" xfId="0" applyFont="1" applyFill="1" applyAlignment="1">
      <alignment horizontal="center" vertical="center"/>
    </xf>
    <xf numFmtId="0" fontId="67" fillId="49" borderId="1" xfId="0" applyFont="1" applyFill="1" applyBorder="1" applyAlignment="1">
      <alignment horizontal="left" wrapText="1"/>
    </xf>
    <xf numFmtId="0" fontId="67" fillId="50" borderId="1" xfId="0" applyFont="1" applyFill="1" applyBorder="1" applyAlignment="1">
      <alignment horizontal="center"/>
    </xf>
    <xf numFmtId="0" fontId="34" fillId="29" borderId="11" xfId="0" applyFont="1" applyFill="1" applyBorder="1"/>
    <xf numFmtId="0" fontId="69" fillId="50" borderId="8" xfId="0" applyFont="1" applyFill="1" applyBorder="1" applyAlignment="1">
      <alignment vertical="center" wrapText="1"/>
    </xf>
    <xf numFmtId="0" fontId="69" fillId="50" borderId="38" xfId="0" applyFont="1" applyFill="1" applyBorder="1" applyAlignment="1">
      <alignment vertical="center" wrapText="1"/>
    </xf>
    <xf numFmtId="0" fontId="19" fillId="0" borderId="174" xfId="0" applyFont="1" applyBorder="1" applyAlignment="1">
      <alignment vertical="center" wrapText="1"/>
    </xf>
    <xf numFmtId="0" fontId="19" fillId="0" borderId="95" xfId="0" applyFont="1" applyBorder="1" applyAlignment="1">
      <alignment horizontal="center" vertical="center" wrapText="1"/>
    </xf>
    <xf numFmtId="0" fontId="70" fillId="42" borderId="11" xfId="0" applyFont="1" applyFill="1" applyBorder="1"/>
    <xf numFmtId="0" fontId="61" fillId="42" borderId="0" xfId="0" applyFont="1" applyFill="1"/>
    <xf numFmtId="0" fontId="68" fillId="52" borderId="43" xfId="0" applyFont="1" applyFill="1" applyBorder="1" applyAlignment="1">
      <alignment horizontal="center" vertical="center" wrapText="1"/>
    </xf>
    <xf numFmtId="0" fontId="64" fillId="0" borderId="0" xfId="0" applyFont="1"/>
    <xf numFmtId="0" fontId="1" fillId="0" borderId="15" xfId="0" applyFont="1" applyBorder="1" applyAlignment="1">
      <alignment horizontal="center"/>
    </xf>
    <xf numFmtId="16" fontId="0" fillId="38" borderId="12" xfId="0" applyNumberFormat="1" applyFont="1" applyFill="1" applyBorder="1" applyAlignment="1" applyProtection="1">
      <protection locked="0"/>
    </xf>
    <xf numFmtId="9" fontId="64" fillId="44" borderId="1" xfId="0" applyNumberFormat="1" applyFont="1" applyFill="1" applyBorder="1" applyAlignment="1">
      <alignment horizontal="center" vertical="center"/>
    </xf>
    <xf numFmtId="0" fontId="64" fillId="44" borderId="1" xfId="0" applyFont="1" applyFill="1" applyBorder="1" applyAlignment="1">
      <alignment horizontal="center" vertical="center"/>
    </xf>
    <xf numFmtId="0" fontId="64" fillId="44" borderId="1" xfId="0" applyFont="1" applyFill="1" applyBorder="1" applyAlignment="1">
      <alignment horizontal="center" vertical="center" wrapText="1"/>
    </xf>
    <xf numFmtId="10" fontId="47" fillId="38" borderId="1" xfId="0" applyNumberFormat="1" applyFont="1" applyFill="1" applyBorder="1" applyAlignment="1">
      <alignment horizontal="left" vertical="center" wrapText="1"/>
    </xf>
    <xf numFmtId="0" fontId="33" fillId="29" borderId="3" xfId="0" applyFont="1" applyFill="1" applyBorder="1" applyAlignment="1">
      <alignment horizontal="left"/>
    </xf>
    <xf numFmtId="0" fontId="33" fillId="29" borderId="4" xfId="0" applyFont="1" applyFill="1" applyBorder="1" applyAlignment="1">
      <alignment horizontal="left"/>
    </xf>
    <xf numFmtId="0" fontId="62" fillId="44" borderId="15" xfId="0" applyFont="1" applyFill="1" applyBorder="1" applyAlignment="1">
      <alignment horizontal="left" vertical="top" wrapText="1"/>
    </xf>
    <xf numFmtId="0" fontId="62" fillId="44" borderId="14" xfId="0" applyFont="1" applyFill="1" applyBorder="1" applyAlignment="1">
      <alignment horizontal="left" vertical="top" wrapText="1"/>
    </xf>
    <xf numFmtId="0" fontId="62" fillId="44" borderId="16" xfId="0" applyFont="1" applyFill="1" applyBorder="1" applyAlignment="1">
      <alignment horizontal="left" vertical="top" wrapText="1"/>
    </xf>
    <xf numFmtId="0" fontId="62" fillId="44" borderId="15" xfId="0" applyFont="1" applyFill="1" applyBorder="1" applyAlignment="1">
      <alignment horizontal="center" vertical="center"/>
    </xf>
    <xf numFmtId="0" fontId="62" fillId="44" borderId="14" xfId="0" applyFont="1" applyFill="1" applyBorder="1" applyAlignment="1">
      <alignment horizontal="center" vertical="center"/>
    </xf>
    <xf numFmtId="0" fontId="62" fillId="44" borderId="16" xfId="0" applyFont="1" applyFill="1" applyBorder="1" applyAlignment="1">
      <alignment horizontal="center" vertical="center"/>
    </xf>
    <xf numFmtId="0" fontId="62" fillId="45" borderId="15" xfId="0" applyFont="1" applyFill="1" applyBorder="1" applyAlignment="1">
      <alignment horizontal="left" vertical="top" wrapText="1"/>
    </xf>
    <xf numFmtId="0" fontId="62" fillId="45" borderId="14" xfId="0" applyFont="1" applyFill="1" applyBorder="1" applyAlignment="1">
      <alignment horizontal="left" vertical="top" wrapText="1"/>
    </xf>
    <xf numFmtId="0" fontId="62" fillId="45" borderId="16" xfId="0" applyFont="1" applyFill="1" applyBorder="1" applyAlignment="1">
      <alignment horizontal="left" vertical="top" wrapText="1"/>
    </xf>
    <xf numFmtId="0" fontId="64" fillId="44" borderId="15" xfId="0" applyFont="1" applyFill="1" applyBorder="1" applyAlignment="1">
      <alignment horizontal="center" vertical="center" wrapText="1"/>
    </xf>
    <xf numFmtId="0" fontId="64" fillId="44" borderId="14" xfId="0" applyFont="1" applyFill="1" applyBorder="1" applyAlignment="1">
      <alignment horizontal="center" vertical="center" wrapText="1"/>
    </xf>
    <xf numFmtId="0" fontId="64" fillId="44" borderId="16" xfId="0" applyFont="1" applyFill="1" applyBorder="1" applyAlignment="1">
      <alignment horizontal="center" vertical="center" wrapText="1"/>
    </xf>
    <xf numFmtId="0" fontId="0" fillId="38" borderId="0" xfId="0" quotePrefix="1" applyFill="1" applyBorder="1" applyAlignment="1" applyProtection="1">
      <alignment horizontal="center" vertical="top" wrapText="1"/>
      <protection locked="0"/>
    </xf>
    <xf numFmtId="0" fontId="0" fillId="38" borderId="0" xfId="0" applyFont="1" applyFill="1" applyBorder="1" applyAlignment="1" applyProtection="1">
      <alignment horizontal="center" vertical="top"/>
      <protection locked="0"/>
    </xf>
    <xf numFmtId="0" fontId="0" fillId="38" borderId="12" xfId="0" applyFont="1" applyFill="1" applyBorder="1" applyAlignment="1" applyProtection="1">
      <alignment horizontal="center" vertical="top"/>
      <protection locked="0"/>
    </xf>
    <xf numFmtId="0" fontId="35" fillId="24" borderId="0" xfId="0" applyFont="1" applyFill="1" applyAlignment="1">
      <alignment horizontal="center"/>
    </xf>
    <xf numFmtId="0" fontId="43" fillId="43" borderId="32" xfId="0" applyFont="1" applyFill="1" applyBorder="1" applyAlignment="1">
      <alignment horizontal="center" vertical="center" wrapText="1"/>
    </xf>
    <xf numFmtId="0" fontId="43" fillId="43" borderId="2" xfId="0" applyFont="1" applyFill="1" applyBorder="1" applyAlignment="1">
      <alignment horizontal="center" vertical="center" wrapText="1"/>
    </xf>
    <xf numFmtId="0" fontId="43" fillId="43" borderId="32" xfId="0" applyFont="1" applyFill="1" applyBorder="1" applyAlignment="1">
      <alignment horizontal="center" vertical="center"/>
    </xf>
    <xf numFmtId="0" fontId="43" fillId="43" borderId="2" xfId="0" applyFont="1" applyFill="1" applyBorder="1" applyAlignment="1">
      <alignment horizontal="center" vertical="center"/>
    </xf>
    <xf numFmtId="0" fontId="43" fillId="43" borderId="26" xfId="0" applyFont="1" applyFill="1" applyBorder="1" applyAlignment="1">
      <alignment horizontal="center" vertical="center" wrapText="1"/>
    </xf>
    <xf numFmtId="0" fontId="43" fillId="43" borderId="27" xfId="0" applyFont="1" applyFill="1" applyBorder="1" applyAlignment="1">
      <alignment horizontal="center" vertical="center" wrapText="1"/>
    </xf>
    <xf numFmtId="0" fontId="43" fillId="43" borderId="28" xfId="0" applyFont="1" applyFill="1" applyBorder="1" applyAlignment="1">
      <alignment horizontal="center" vertical="center" wrapText="1"/>
    </xf>
    <xf numFmtId="0" fontId="28" fillId="29" borderId="8" xfId="0" applyFont="1" applyFill="1" applyBorder="1" applyAlignment="1" applyProtection="1">
      <alignment horizontal="center" vertical="center"/>
      <protection locked="0"/>
    </xf>
    <xf numFmtId="0" fontId="28" fillId="29" borderId="9" xfId="0" applyFont="1" applyFill="1" applyBorder="1" applyAlignment="1" applyProtection="1">
      <alignment horizontal="center" vertical="center"/>
      <protection locked="0"/>
    </xf>
    <xf numFmtId="0" fontId="28" fillId="29" borderId="10" xfId="0" applyFont="1" applyFill="1" applyBorder="1" applyAlignment="1" applyProtection="1">
      <alignment horizontal="center" vertical="center"/>
      <protection locked="0"/>
    </xf>
    <xf numFmtId="0" fontId="12" fillId="26" borderId="8" xfId="0" applyFont="1" applyFill="1" applyBorder="1" applyAlignment="1">
      <alignment horizontal="left" vertical="top" wrapText="1"/>
    </xf>
    <xf numFmtId="0" fontId="12" fillId="26" borderId="172" xfId="0" applyFont="1" applyFill="1" applyBorder="1" applyAlignment="1">
      <alignment horizontal="left" vertical="top" wrapText="1"/>
    </xf>
    <xf numFmtId="0" fontId="2" fillId="0" borderId="17" xfId="0" applyFont="1" applyBorder="1" applyAlignment="1" applyProtection="1">
      <alignment horizontal="center" vertical="center" textRotation="90" wrapText="1"/>
      <protection locked="0"/>
    </xf>
    <xf numFmtId="0" fontId="2" fillId="0" borderId="18" xfId="0" applyFont="1" applyBorder="1" applyAlignment="1" applyProtection="1">
      <alignment horizontal="center" vertical="center" textRotation="90" wrapText="1"/>
      <protection locked="0"/>
    </xf>
    <xf numFmtId="0" fontId="43" fillId="43" borderId="30" xfId="0" applyFont="1" applyFill="1" applyBorder="1" applyAlignment="1">
      <alignment horizontal="center" vertical="center" wrapText="1"/>
    </xf>
    <xf numFmtId="0" fontId="43" fillId="43" borderId="4" xfId="0" applyFont="1" applyFill="1" applyBorder="1" applyAlignment="1">
      <alignment horizontal="center" vertical="center" wrapText="1"/>
    </xf>
    <xf numFmtId="0" fontId="43" fillId="43" borderId="31" xfId="0" applyFont="1" applyFill="1" applyBorder="1" applyAlignment="1">
      <alignment horizontal="center" vertical="center" wrapText="1"/>
    </xf>
    <xf numFmtId="0" fontId="43" fillId="43" borderId="24" xfId="0" applyFont="1" applyFill="1" applyBorder="1" applyAlignment="1">
      <alignment horizontal="center" vertical="center" wrapText="1"/>
    </xf>
    <xf numFmtId="0" fontId="43" fillId="43" borderId="12" xfId="0" applyFont="1" applyFill="1" applyBorder="1" applyAlignment="1">
      <alignment horizontal="center" vertical="center" wrapText="1"/>
    </xf>
    <xf numFmtId="0" fontId="43" fillId="43" borderId="25" xfId="0" applyFont="1" applyFill="1" applyBorder="1" applyAlignment="1">
      <alignment horizontal="center" vertical="center" wrapText="1"/>
    </xf>
    <xf numFmtId="0" fontId="47" fillId="24" borderId="15" xfId="0" applyFont="1" applyFill="1" applyBorder="1" applyAlignment="1">
      <alignment horizontal="center" vertical="center" wrapText="1"/>
    </xf>
    <xf numFmtId="0" fontId="47" fillId="24" borderId="16" xfId="0" applyFont="1" applyFill="1" applyBorder="1" applyAlignment="1">
      <alignment horizontal="center" vertical="center" wrapText="1"/>
    </xf>
    <xf numFmtId="0" fontId="47" fillId="24" borderId="14" xfId="0" applyFont="1" applyFill="1" applyBorder="1" applyAlignment="1">
      <alignment horizontal="center" vertical="center" wrapText="1"/>
    </xf>
    <xf numFmtId="0" fontId="1" fillId="0" borderId="17" xfId="0" applyFont="1" applyBorder="1" applyAlignment="1">
      <alignment horizontal="center" vertical="center" textRotation="90"/>
    </xf>
    <xf numFmtId="0" fontId="1" fillId="0" borderId="18" xfId="0" applyFont="1" applyBorder="1" applyAlignment="1">
      <alignment horizontal="center" vertical="center" textRotation="90"/>
    </xf>
    <xf numFmtId="0" fontId="1" fillId="0" borderId="2" xfId="0" applyFont="1" applyBorder="1" applyAlignment="1">
      <alignment horizontal="center" vertical="center" textRotation="90"/>
    </xf>
    <xf numFmtId="0" fontId="63" fillId="43" borderId="26" xfId="0" applyFont="1" applyFill="1" applyBorder="1" applyAlignment="1">
      <alignment horizontal="center" vertical="center" wrapText="1"/>
    </xf>
    <xf numFmtId="0" fontId="63" fillId="43" borderId="27" xfId="0" applyFont="1" applyFill="1" applyBorder="1" applyAlignment="1">
      <alignment horizontal="center" vertical="center" wrapText="1"/>
    </xf>
    <xf numFmtId="0" fontId="63" fillId="43" borderId="28" xfId="0" applyFont="1" applyFill="1" applyBorder="1" applyAlignment="1">
      <alignment horizontal="center" vertical="center" wrapText="1"/>
    </xf>
    <xf numFmtId="0" fontId="1" fillId="0" borderId="17" xfId="0" applyFont="1" applyBorder="1" applyAlignment="1">
      <alignment horizontal="center" vertical="top" textRotation="90"/>
    </xf>
    <xf numFmtId="0" fontId="1" fillId="0" borderId="18" xfId="0" applyFont="1" applyBorder="1" applyAlignment="1">
      <alignment horizontal="center" vertical="top" textRotation="90"/>
    </xf>
    <xf numFmtId="0" fontId="1" fillId="0" borderId="2" xfId="0" applyFont="1" applyBorder="1" applyAlignment="1">
      <alignment horizontal="center" vertical="top" textRotation="90"/>
    </xf>
    <xf numFmtId="0" fontId="33" fillId="29" borderId="5" xfId="0" applyFont="1" applyFill="1" applyBorder="1" applyAlignment="1">
      <alignment horizontal="left"/>
    </xf>
    <xf numFmtId="0" fontId="48" fillId="29" borderId="8" xfId="0" applyFont="1" applyFill="1" applyBorder="1" applyAlignment="1">
      <alignment horizontal="center" vertical="center"/>
    </xf>
    <xf numFmtId="0" fontId="48" fillId="29" borderId="9" xfId="0" applyFont="1" applyFill="1" applyBorder="1" applyAlignment="1">
      <alignment horizontal="center" vertical="center"/>
    </xf>
    <xf numFmtId="0" fontId="48" fillId="29" borderId="10" xfId="0" applyFont="1" applyFill="1" applyBorder="1" applyAlignment="1">
      <alignment horizontal="center" vertical="center"/>
    </xf>
    <xf numFmtId="0" fontId="6" fillId="24" borderId="12" xfId="0" applyFont="1" applyFill="1" applyBorder="1" applyAlignment="1">
      <alignment horizontal="center"/>
    </xf>
    <xf numFmtId="0" fontId="1" fillId="24" borderId="14" xfId="0" applyFont="1" applyFill="1" applyBorder="1" applyAlignment="1">
      <alignment horizontal="center"/>
    </xf>
    <xf numFmtId="166" fontId="1" fillId="24" borderId="12" xfId="0" applyNumberFormat="1" applyFont="1" applyFill="1" applyBorder="1" applyAlignment="1">
      <alignment horizontal="center"/>
    </xf>
    <xf numFmtId="0" fontId="47" fillId="24" borderId="15" xfId="0" applyFont="1" applyFill="1" applyBorder="1" applyAlignment="1" applyProtection="1">
      <alignment horizontal="center" vertical="center" wrapText="1"/>
    </xf>
    <xf numFmtId="0" fontId="47" fillId="24" borderId="16" xfId="0" applyFont="1" applyFill="1" applyBorder="1" applyAlignment="1" applyProtection="1">
      <alignment horizontal="center" vertical="center" wrapText="1"/>
    </xf>
    <xf numFmtId="0" fontId="47" fillId="24" borderId="14" xfId="0" applyFont="1" applyFill="1" applyBorder="1" applyAlignment="1" applyProtection="1">
      <alignment horizontal="center" vertical="center" wrapText="1"/>
    </xf>
    <xf numFmtId="0" fontId="47" fillId="37" borderId="15" xfId="0" applyFont="1" applyFill="1" applyBorder="1" applyAlignment="1">
      <alignment horizontal="center" vertical="center" wrapText="1"/>
    </xf>
    <xf numFmtId="0" fontId="47" fillId="37" borderId="16" xfId="0" applyFont="1" applyFill="1" applyBorder="1" applyAlignment="1">
      <alignment horizontal="center" vertical="center" wrapText="1"/>
    </xf>
    <xf numFmtId="0" fontId="47" fillId="37" borderId="14" xfId="0" applyFont="1" applyFill="1" applyBorder="1" applyAlignment="1">
      <alignment horizontal="center" vertical="center" wrapText="1"/>
    </xf>
    <xf numFmtId="0" fontId="64" fillId="43" borderId="1" xfId="0" applyFont="1" applyFill="1" applyBorder="1" applyAlignment="1">
      <alignment horizontal="center" vertical="center" wrapText="1"/>
    </xf>
    <xf numFmtId="0" fontId="6" fillId="36" borderId="16" xfId="0" applyFont="1" applyFill="1" applyBorder="1" applyAlignment="1">
      <alignment horizontal="center"/>
    </xf>
    <xf numFmtId="0" fontId="6" fillId="36" borderId="16" xfId="0" applyFont="1" applyFill="1" applyBorder="1" applyAlignment="1">
      <alignment horizontal="center" vertical="top"/>
    </xf>
    <xf numFmtId="0" fontId="65" fillId="43" borderId="1" xfId="0" applyFont="1" applyFill="1" applyBorder="1" applyAlignment="1">
      <alignment horizontal="center" vertical="center" wrapText="1"/>
    </xf>
    <xf numFmtId="0" fontId="64" fillId="43" borderId="17" xfId="0" applyFont="1" applyFill="1" applyBorder="1" applyAlignment="1">
      <alignment horizontal="center" vertical="center" wrapText="1"/>
    </xf>
    <xf numFmtId="0" fontId="64" fillId="43" borderId="2" xfId="0" applyFont="1" applyFill="1" applyBorder="1" applyAlignment="1">
      <alignment horizontal="center" vertical="center" wrapText="1"/>
    </xf>
    <xf numFmtId="0" fontId="0" fillId="24" borderId="17" xfId="0" applyFill="1" applyBorder="1" applyAlignment="1">
      <alignment horizontal="center" wrapText="1"/>
    </xf>
    <xf numFmtId="0" fontId="0" fillId="24" borderId="2" xfId="0" applyFill="1" applyBorder="1" applyAlignment="1">
      <alignment horizontal="center" wrapText="1"/>
    </xf>
    <xf numFmtId="9" fontId="13" fillId="38" borderId="15" xfId="2" applyFont="1" applyFill="1" applyBorder="1" applyAlignment="1">
      <alignment horizontal="center" vertical="center"/>
    </xf>
    <xf numFmtId="9" fontId="13" fillId="38" borderId="16" xfId="2" applyFont="1" applyFill="1" applyBorder="1" applyAlignment="1">
      <alignment horizontal="center" vertical="center"/>
    </xf>
    <xf numFmtId="0" fontId="0" fillId="24" borderId="1" xfId="0" applyFill="1" applyBorder="1" applyAlignment="1">
      <alignment horizontal="center" wrapText="1"/>
    </xf>
    <xf numFmtId="168" fontId="13" fillId="38" borderId="15" xfId="2" applyNumberFormat="1" applyFont="1" applyFill="1" applyBorder="1" applyAlignment="1">
      <alignment horizontal="center" vertical="center"/>
    </xf>
    <xf numFmtId="168" fontId="13" fillId="38" borderId="16" xfId="2" applyNumberFormat="1" applyFont="1" applyFill="1" applyBorder="1" applyAlignment="1">
      <alignment horizontal="center" vertical="center"/>
    </xf>
    <xf numFmtId="168" fontId="13" fillId="38" borderId="14" xfId="2" applyNumberFormat="1" applyFont="1" applyFill="1" applyBorder="1" applyAlignment="1">
      <alignment horizontal="center" vertical="center"/>
    </xf>
    <xf numFmtId="0" fontId="33" fillId="29" borderId="6" xfId="0" applyFont="1" applyFill="1" applyBorder="1" applyAlignment="1">
      <alignment horizontal="center"/>
    </xf>
    <xf numFmtId="0" fontId="33" fillId="29" borderId="0" xfId="0" applyFont="1" applyFill="1" applyBorder="1" applyAlignment="1">
      <alignment horizontal="center"/>
    </xf>
    <xf numFmtId="0" fontId="48" fillId="29" borderId="6" xfId="0" applyFont="1" applyFill="1" applyBorder="1" applyAlignment="1">
      <alignment horizontal="center" vertical="center"/>
    </xf>
    <xf numFmtId="0" fontId="48" fillId="29" borderId="0" xfId="0" applyFont="1" applyFill="1" applyBorder="1" applyAlignment="1">
      <alignment horizontal="center" vertical="center"/>
    </xf>
    <xf numFmtId="0" fontId="0" fillId="24" borderId="1" xfId="0" applyFill="1" applyBorder="1" applyAlignment="1">
      <alignment horizontal="center" vertical="center"/>
    </xf>
    <xf numFmtId="0" fontId="0" fillId="24" borderId="1" xfId="0" applyFill="1" applyBorder="1" applyAlignment="1">
      <alignment horizontal="center" vertical="center" wrapText="1"/>
    </xf>
    <xf numFmtId="0" fontId="68" fillId="48" borderId="1" xfId="0" applyFont="1" applyFill="1" applyBorder="1" applyAlignment="1">
      <alignment horizontal="center" vertical="center" wrapText="1"/>
    </xf>
    <xf numFmtId="0" fontId="13" fillId="17" borderId="15" xfId="0" applyFont="1" applyFill="1" applyBorder="1" applyAlignment="1">
      <alignment horizontal="center"/>
    </xf>
    <xf numFmtId="0" fontId="13" fillId="17" borderId="16" xfId="0" applyFont="1" applyFill="1" applyBorder="1" applyAlignment="1">
      <alignment horizontal="center"/>
    </xf>
    <xf numFmtId="0" fontId="64" fillId="43" borderId="1" xfId="0" applyFont="1" applyFill="1" applyBorder="1" applyAlignment="1">
      <alignment horizontal="center" vertical="center"/>
    </xf>
    <xf numFmtId="0" fontId="0" fillId="38" borderId="17" xfId="0" applyFill="1" applyBorder="1" applyAlignment="1">
      <alignment horizontal="center" vertical="center"/>
    </xf>
    <xf numFmtId="0" fontId="0" fillId="38" borderId="2" xfId="0" applyFill="1" applyBorder="1" applyAlignment="1">
      <alignment horizontal="center" vertical="center"/>
    </xf>
    <xf numFmtId="0" fontId="0" fillId="24" borderId="19" xfId="0" applyFill="1" applyBorder="1" applyAlignment="1">
      <alignment horizontal="center" wrapText="1"/>
    </xf>
    <xf numFmtId="0" fontId="0" fillId="24" borderId="21" xfId="0" applyFill="1" applyBorder="1" applyAlignment="1">
      <alignment horizontal="center" wrapText="1"/>
    </xf>
    <xf numFmtId="0" fontId="0" fillId="24" borderId="24" xfId="0" applyFill="1" applyBorder="1" applyAlignment="1">
      <alignment horizontal="center" wrapText="1"/>
    </xf>
    <xf numFmtId="0" fontId="0" fillId="24" borderId="25" xfId="0" applyFill="1" applyBorder="1" applyAlignment="1">
      <alignment horizontal="center" wrapText="1"/>
    </xf>
    <xf numFmtId="0" fontId="1" fillId="0" borderId="1" xfId="0" applyFont="1" applyBorder="1" applyAlignment="1">
      <alignment horizontal="center" vertical="center" textRotation="90"/>
    </xf>
    <xf numFmtId="0" fontId="0" fillId="38" borderId="1" xfId="0" applyFill="1" applyBorder="1" applyAlignment="1">
      <alignment horizontal="center" vertical="center"/>
    </xf>
    <xf numFmtId="0" fontId="0" fillId="24" borderId="17" xfId="0" applyFill="1" applyBorder="1" applyAlignment="1">
      <alignment horizontal="center" vertical="center" wrapText="1"/>
    </xf>
    <xf numFmtId="0" fontId="0" fillId="24" borderId="2" xfId="0" applyFill="1" applyBorder="1" applyAlignment="1">
      <alignment horizontal="center" vertical="center" wrapText="1"/>
    </xf>
    <xf numFmtId="0" fontId="0" fillId="24" borderId="19" xfId="0" applyFill="1" applyBorder="1" applyAlignment="1">
      <alignment horizontal="center" vertical="center" wrapText="1"/>
    </xf>
    <xf numFmtId="0" fontId="0" fillId="24" borderId="21" xfId="0" applyFill="1" applyBorder="1" applyAlignment="1">
      <alignment horizontal="center" vertical="center" wrapText="1"/>
    </xf>
    <xf numFmtId="0" fontId="0" fillId="24" borderId="24" xfId="0" applyFill="1" applyBorder="1" applyAlignment="1">
      <alignment horizontal="center" vertical="center" wrapText="1"/>
    </xf>
    <xf numFmtId="0" fontId="0" fillId="24" borderId="25" xfId="0" applyFill="1" applyBorder="1" applyAlignment="1">
      <alignment horizontal="center" vertical="center" wrapText="1"/>
    </xf>
    <xf numFmtId="0" fontId="1" fillId="38" borderId="1" xfId="0" applyFont="1" applyFill="1" applyBorder="1" applyAlignment="1">
      <alignment horizontal="center" vertical="center"/>
    </xf>
    <xf numFmtId="0" fontId="53" fillId="38" borderId="17" xfId="0" applyFont="1" applyFill="1" applyBorder="1" applyAlignment="1">
      <alignment horizontal="center" vertical="center" wrapText="1"/>
    </xf>
    <xf numFmtId="0" fontId="53" fillId="38" borderId="2" xfId="0" applyFont="1" applyFill="1" applyBorder="1" applyAlignment="1">
      <alignment horizontal="center" vertical="center" wrapText="1"/>
    </xf>
    <xf numFmtId="0" fontId="4" fillId="24" borderId="1" xfId="0" applyFont="1" applyFill="1" applyBorder="1" applyAlignment="1">
      <alignment horizontal="center" vertical="center"/>
    </xf>
    <xf numFmtId="0" fontId="53" fillId="38" borderId="1" xfId="0" applyFont="1" applyFill="1" applyBorder="1" applyAlignment="1">
      <alignment horizontal="center" vertical="center" wrapText="1"/>
    </xf>
    <xf numFmtId="0" fontId="67" fillId="47" borderId="1" xfId="0" applyFont="1" applyFill="1" applyBorder="1" applyAlignment="1">
      <alignment horizontal="center"/>
    </xf>
    <xf numFmtId="0" fontId="6" fillId="36" borderId="1" xfId="0" applyFont="1" applyFill="1" applyBorder="1" applyAlignment="1">
      <alignment horizontal="center" vertical="center"/>
    </xf>
    <xf numFmtId="0" fontId="0" fillId="24" borderId="20" xfId="0" applyFill="1" applyBorder="1" applyAlignment="1">
      <alignment horizontal="center" wrapText="1"/>
    </xf>
    <xf numFmtId="0" fontId="0" fillId="24" borderId="12" xfId="0" applyFill="1" applyBorder="1" applyAlignment="1">
      <alignment horizontal="center" wrapText="1"/>
    </xf>
    <xf numFmtId="0" fontId="1" fillId="0" borderId="17" xfId="0" applyFont="1" applyBorder="1" applyAlignment="1">
      <alignment horizontal="center" vertical="center" textRotation="90" wrapText="1"/>
    </xf>
    <xf numFmtId="0" fontId="1" fillId="0" borderId="18"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5" fillId="38" borderId="20" xfId="0" applyFont="1" applyFill="1" applyBorder="1" applyAlignment="1">
      <alignment horizontal="left" vertical="top"/>
    </xf>
    <xf numFmtId="0" fontId="5" fillId="38" borderId="21" xfId="0" applyFont="1" applyFill="1" applyBorder="1" applyAlignment="1">
      <alignment horizontal="left" vertical="top"/>
    </xf>
    <xf numFmtId="0" fontId="5" fillId="24" borderId="15" xfId="0" applyFont="1" applyFill="1" applyBorder="1" applyAlignment="1">
      <alignment horizontal="left" vertical="top"/>
    </xf>
    <xf numFmtId="0" fontId="5" fillId="24" borderId="14" xfId="0" applyFont="1" applyFill="1" applyBorder="1" applyAlignment="1">
      <alignment horizontal="left" vertical="top"/>
    </xf>
    <xf numFmtId="0" fontId="5" fillId="24" borderId="16" xfId="0" applyFont="1" applyFill="1" applyBorder="1" applyAlignment="1">
      <alignment horizontal="left" vertical="top"/>
    </xf>
    <xf numFmtId="0" fontId="1" fillId="38" borderId="20" xfId="0" applyFont="1" applyFill="1" applyBorder="1" applyAlignment="1">
      <alignment horizontal="left" vertical="top"/>
    </xf>
    <xf numFmtId="0" fontId="6" fillId="4" borderId="125" xfId="0" applyFont="1" applyFill="1" applyBorder="1" applyAlignment="1">
      <alignment horizontal="center"/>
    </xf>
    <xf numFmtId="0" fontId="6" fillId="4" borderId="14" xfId="0" applyFont="1" applyFill="1" applyBorder="1" applyAlignment="1">
      <alignment horizontal="center"/>
    </xf>
    <xf numFmtId="0" fontId="6" fillId="4" borderId="16" xfId="0" applyFont="1" applyFill="1" applyBorder="1" applyAlignment="1">
      <alignment horizontal="center"/>
    </xf>
    <xf numFmtId="0" fontId="6" fillId="4" borderId="126" xfId="0" applyFont="1" applyFill="1" applyBorder="1" applyAlignment="1">
      <alignment horizontal="center"/>
    </xf>
    <xf numFmtId="0" fontId="6" fillId="4" borderId="27" xfId="0" applyFont="1" applyFill="1" applyBorder="1" applyAlignment="1">
      <alignment horizontal="center"/>
    </xf>
    <xf numFmtId="0" fontId="6" fillId="4" borderId="127" xfId="0" applyFont="1" applyFill="1" applyBorder="1" applyAlignment="1">
      <alignment horizontal="center"/>
    </xf>
    <xf numFmtId="0" fontId="31" fillId="29" borderId="0" xfId="0" applyFont="1" applyFill="1" applyBorder="1" applyAlignment="1">
      <alignment horizontal="left" vertical="center" wrapText="1"/>
    </xf>
    <xf numFmtId="0" fontId="63" fillId="43" borderId="24" xfId="0" applyFont="1" applyFill="1" applyBorder="1" applyAlignment="1">
      <alignment horizontal="center" vertical="center" wrapText="1"/>
    </xf>
    <xf numFmtId="0" fontId="63" fillId="43" borderId="12" xfId="0" applyFont="1" applyFill="1" applyBorder="1" applyAlignment="1">
      <alignment horizontal="center" vertical="center" wrapText="1"/>
    </xf>
    <xf numFmtId="0" fontId="63" fillId="43" borderId="25" xfId="0" applyFont="1" applyFill="1" applyBorder="1" applyAlignment="1">
      <alignment horizontal="center" vertical="center" wrapText="1"/>
    </xf>
    <xf numFmtId="0" fontId="67" fillId="49" borderId="15" xfId="0" applyFont="1" applyFill="1" applyBorder="1" applyAlignment="1">
      <alignment horizontal="center" vertical="center" wrapText="1"/>
    </xf>
    <xf numFmtId="0" fontId="67" fillId="49" borderId="16" xfId="0" applyFont="1" applyFill="1" applyBorder="1" applyAlignment="1">
      <alignment horizontal="center" vertical="center" wrapText="1"/>
    </xf>
    <xf numFmtId="0" fontId="28" fillId="29" borderId="8" xfId="0" applyFont="1" applyFill="1" applyBorder="1" applyAlignment="1">
      <alignment horizontal="center" vertical="center"/>
    </xf>
    <xf numFmtId="0" fontId="28" fillId="29" borderId="9" xfId="0" applyFont="1" applyFill="1" applyBorder="1" applyAlignment="1">
      <alignment horizontal="center" vertical="center"/>
    </xf>
    <xf numFmtId="0" fontId="28" fillId="29" borderId="10" xfId="0" applyFont="1" applyFill="1" applyBorder="1" applyAlignment="1">
      <alignment horizontal="center" vertical="center"/>
    </xf>
    <xf numFmtId="0" fontId="1" fillId="3" borderId="22" xfId="0" applyFont="1" applyFill="1" applyBorder="1" applyAlignment="1">
      <alignment horizontal="center" vertical="center" wrapText="1"/>
    </xf>
    <xf numFmtId="0" fontId="1" fillId="3" borderId="23" xfId="0" applyFont="1" applyFill="1" applyBorder="1" applyAlignment="1">
      <alignment horizontal="center" vertical="center" wrapText="1"/>
    </xf>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18" xfId="0" applyFont="1" applyBorder="1" applyAlignment="1">
      <alignment horizontal="center" vertical="center" textRotation="90" wrapText="1"/>
    </xf>
    <xf numFmtId="0" fontId="5" fillId="0" borderId="2" xfId="0" applyFont="1" applyBorder="1" applyAlignment="1">
      <alignment horizontal="center" vertical="center" textRotation="90" wrapText="1"/>
    </xf>
    <xf numFmtId="0" fontId="13" fillId="0" borderId="1" xfId="0" applyFont="1" applyBorder="1" applyAlignment="1">
      <alignment horizontal="left" vertical="center" wrapText="1"/>
    </xf>
    <xf numFmtId="0" fontId="6" fillId="6" borderId="15" xfId="0" applyFont="1" applyFill="1" applyBorder="1" applyAlignment="1">
      <alignment horizontal="center"/>
    </xf>
    <xf numFmtId="0" fontId="6" fillId="6" borderId="14" xfId="0" applyFont="1" applyFill="1" applyBorder="1" applyAlignment="1">
      <alignment horizontal="center"/>
    </xf>
    <xf numFmtId="0" fontId="6" fillId="6" borderId="173" xfId="0" applyFont="1" applyFill="1" applyBorder="1" applyAlignment="1">
      <alignment horizontal="center"/>
    </xf>
    <xf numFmtId="0" fontId="5" fillId="38" borderId="20" xfId="0" applyFont="1" applyFill="1" applyBorder="1" applyAlignment="1">
      <alignment horizontal="center" vertical="top"/>
    </xf>
    <xf numFmtId="0" fontId="5" fillId="38" borderId="21" xfId="0" applyFont="1" applyFill="1" applyBorder="1" applyAlignment="1">
      <alignment horizontal="center"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6" fillId="6" borderId="33" xfId="0" applyFont="1" applyFill="1" applyBorder="1" applyAlignment="1">
      <alignment horizontal="center"/>
    </xf>
    <xf numFmtId="0" fontId="6" fillId="6" borderId="27" xfId="0" applyFont="1" applyFill="1" applyBorder="1" applyAlignment="1">
      <alignment horizontal="center"/>
    </xf>
    <xf numFmtId="0" fontId="68" fillId="0" borderId="4" xfId="0" applyFont="1" applyBorder="1" applyAlignment="1">
      <alignment horizontal="center" vertical="center"/>
    </xf>
    <xf numFmtId="0" fontId="3" fillId="0" borderId="4" xfId="0" applyFont="1" applyBorder="1" applyAlignment="1">
      <alignment horizontal="left" vertical="center"/>
    </xf>
    <xf numFmtId="0" fontId="1" fillId="3" borderId="22"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23" xfId="0" applyFont="1" applyFill="1" applyBorder="1" applyAlignment="1">
      <alignment horizontal="left" vertical="center" wrapText="1"/>
    </xf>
    <xf numFmtId="0" fontId="5" fillId="24" borderId="13" xfId="0" applyFont="1" applyFill="1" applyBorder="1" applyAlignment="1">
      <alignment horizontal="left" vertical="top" wrapText="1"/>
    </xf>
    <xf numFmtId="0" fontId="5" fillId="24" borderId="14" xfId="0" applyFont="1" applyFill="1" applyBorder="1" applyAlignment="1">
      <alignment horizontal="left" vertical="top" wrapText="1"/>
    </xf>
    <xf numFmtId="0" fontId="5" fillId="0" borderId="17" xfId="0" applyFont="1" applyBorder="1" applyAlignment="1">
      <alignment horizontal="center" vertical="center" textRotation="90"/>
    </xf>
    <xf numFmtId="0" fontId="5" fillId="0" borderId="18" xfId="0" applyFont="1" applyBorder="1" applyAlignment="1">
      <alignment horizontal="center" vertical="center" textRotation="90"/>
    </xf>
    <xf numFmtId="0" fontId="5" fillId="0" borderId="2" xfId="0" applyFont="1" applyBorder="1" applyAlignment="1">
      <alignment horizontal="center" vertical="center" textRotation="90"/>
    </xf>
    <xf numFmtId="0" fontId="5" fillId="0" borderId="22" xfId="0" applyFont="1" applyBorder="1" applyAlignment="1">
      <alignment horizontal="center" vertical="center" textRotation="90"/>
    </xf>
    <xf numFmtId="0" fontId="5" fillId="0" borderId="23" xfId="0" applyFont="1" applyBorder="1" applyAlignment="1">
      <alignment horizontal="center" vertical="center" textRotation="90"/>
    </xf>
    <xf numFmtId="0" fontId="1" fillId="38" borderId="19" xfId="0" applyFont="1" applyFill="1" applyBorder="1" applyAlignment="1">
      <alignment horizontal="left" vertical="top" wrapText="1"/>
    </xf>
    <xf numFmtId="0" fontId="5" fillId="38" borderId="20" xfId="0" applyFont="1" applyFill="1" applyBorder="1" applyAlignment="1">
      <alignment horizontal="left" vertical="top" wrapText="1"/>
    </xf>
    <xf numFmtId="0" fontId="5" fillId="38" borderId="22" xfId="0" applyFont="1" applyFill="1" applyBorder="1" applyAlignment="1">
      <alignment horizontal="left" vertical="top" wrapText="1"/>
    </xf>
    <xf numFmtId="0" fontId="5" fillId="38" borderId="0" xfId="0" applyFont="1" applyFill="1" applyBorder="1" applyAlignment="1">
      <alignment horizontal="left" vertical="top" wrapText="1"/>
    </xf>
    <xf numFmtId="0" fontId="1" fillId="38" borderId="20" xfId="0" applyFont="1" applyFill="1" applyBorder="1" applyAlignment="1">
      <alignment horizontal="left" vertical="top" wrapText="1"/>
    </xf>
    <xf numFmtId="0" fontId="5" fillId="38" borderId="21" xfId="0" applyFont="1" applyFill="1" applyBorder="1" applyAlignment="1">
      <alignment horizontal="left" vertical="top" wrapText="1"/>
    </xf>
    <xf numFmtId="0" fontId="5" fillId="38" borderId="23" xfId="0" applyFont="1" applyFill="1" applyBorder="1" applyAlignment="1">
      <alignment horizontal="left" vertical="top" wrapText="1"/>
    </xf>
    <xf numFmtId="0" fontId="5" fillId="38" borderId="9" xfId="0" applyFont="1" applyFill="1" applyBorder="1" applyAlignment="1">
      <alignment horizontal="left" vertical="top" wrapText="1"/>
    </xf>
    <xf numFmtId="0" fontId="5" fillId="38" borderId="34" xfId="0" applyFont="1" applyFill="1" applyBorder="1" applyAlignment="1">
      <alignment horizontal="left" vertical="top" wrapText="1"/>
    </xf>
    <xf numFmtId="0" fontId="5" fillId="0" borderId="20" xfId="0" applyFont="1" applyBorder="1" applyAlignment="1">
      <alignment horizontal="left" vertical="top"/>
    </xf>
    <xf numFmtId="0" fontId="5" fillId="0" borderId="21" xfId="0" applyFont="1" applyBorder="1" applyAlignment="1">
      <alignment horizontal="left" vertical="top"/>
    </xf>
    <xf numFmtId="0" fontId="5" fillId="0" borderId="15" xfId="0" applyFont="1" applyBorder="1" applyAlignment="1">
      <alignment horizontal="center" vertical="top"/>
    </xf>
    <xf numFmtId="0" fontId="5" fillId="0" borderId="14" xfId="0" applyFont="1" applyBorder="1" applyAlignment="1">
      <alignment horizontal="center" vertical="top"/>
    </xf>
    <xf numFmtId="0" fontId="5" fillId="0" borderId="19" xfId="0" applyFont="1" applyBorder="1" applyAlignment="1">
      <alignment horizontal="left" vertical="top" textRotation="90"/>
    </xf>
    <xf numFmtId="0" fontId="5" fillId="0" borderId="20" xfId="0" applyFont="1" applyBorder="1" applyAlignment="1">
      <alignment horizontal="left" vertical="top" textRotation="90"/>
    </xf>
    <xf numFmtId="0" fontId="1" fillId="0" borderId="17" xfId="0" applyFont="1" applyBorder="1" applyAlignment="1">
      <alignment horizontal="center" vertical="center"/>
    </xf>
    <xf numFmtId="0" fontId="5" fillId="0" borderId="18" xfId="0" applyFont="1" applyBorder="1" applyAlignment="1">
      <alignment horizontal="center" vertical="center"/>
    </xf>
    <xf numFmtId="0" fontId="5" fillId="0" borderId="2" xfId="0" applyFont="1" applyBorder="1" applyAlignment="1">
      <alignment horizontal="center" vertical="center"/>
    </xf>
    <xf numFmtId="0" fontId="1" fillId="38" borderId="20" xfId="0" applyFont="1" applyFill="1" applyBorder="1" applyAlignment="1">
      <alignment horizontal="center" vertical="top" wrapText="1"/>
    </xf>
    <xf numFmtId="0" fontId="5" fillId="38" borderId="20" xfId="0" applyFont="1" applyFill="1" applyBorder="1" applyAlignment="1">
      <alignment horizontal="center" vertical="top" wrapText="1"/>
    </xf>
    <xf numFmtId="0" fontId="5" fillId="38" borderId="21" xfId="0" applyFont="1" applyFill="1" applyBorder="1" applyAlignment="1">
      <alignment horizontal="center" vertical="top" wrapText="1"/>
    </xf>
    <xf numFmtId="0" fontId="5" fillId="38" borderId="0" xfId="0" applyFont="1" applyFill="1" applyBorder="1" applyAlignment="1">
      <alignment horizontal="center" vertical="top" wrapText="1"/>
    </xf>
    <xf numFmtId="0" fontId="5" fillId="38" borderId="23" xfId="0" applyFont="1" applyFill="1" applyBorder="1" applyAlignment="1">
      <alignment horizontal="center" vertical="top" wrapText="1"/>
    </xf>
    <xf numFmtId="0" fontId="5" fillId="38" borderId="9" xfId="0" applyFont="1" applyFill="1" applyBorder="1" applyAlignment="1">
      <alignment horizontal="center" vertical="top" wrapText="1"/>
    </xf>
    <xf numFmtId="0" fontId="5" fillId="38" borderId="34" xfId="0" applyFont="1" applyFill="1" applyBorder="1" applyAlignment="1">
      <alignment horizontal="center" vertical="top" wrapText="1"/>
    </xf>
    <xf numFmtId="0" fontId="1" fillId="0" borderId="22" xfId="0" applyFont="1" applyBorder="1" applyAlignment="1">
      <alignment horizontal="center" vertical="center" textRotation="90"/>
    </xf>
    <xf numFmtId="0" fontId="1" fillId="0" borderId="7" xfId="0" applyFont="1" applyBorder="1" applyAlignment="1">
      <alignment horizontal="center" vertical="center" textRotation="90"/>
    </xf>
    <xf numFmtId="0" fontId="1" fillId="0" borderId="19" xfId="0" applyFont="1" applyBorder="1" applyAlignment="1">
      <alignment horizontal="center" vertical="center" textRotation="90"/>
    </xf>
    <xf numFmtId="0" fontId="5" fillId="0" borderId="21" xfId="0" applyFont="1" applyBorder="1" applyAlignment="1">
      <alignment horizontal="center" vertical="center" textRotation="90"/>
    </xf>
    <xf numFmtId="0" fontId="5" fillId="0" borderId="1" xfId="0" applyFont="1" applyBorder="1" applyAlignment="1">
      <alignment horizontal="left" vertical="top"/>
    </xf>
    <xf numFmtId="0" fontId="1" fillId="38" borderId="19" xfId="0" applyFont="1" applyFill="1" applyBorder="1" applyAlignment="1">
      <alignment horizontal="center" vertical="top" wrapText="1"/>
    </xf>
    <xf numFmtId="0" fontId="5" fillId="38" borderId="22" xfId="0" applyFont="1" applyFill="1" applyBorder="1" applyAlignment="1">
      <alignment horizontal="center" vertical="top" wrapText="1"/>
    </xf>
    <xf numFmtId="0" fontId="5" fillId="38" borderId="24" xfId="0" applyFont="1" applyFill="1" applyBorder="1" applyAlignment="1">
      <alignment horizontal="center" vertical="top" wrapText="1"/>
    </xf>
    <xf numFmtId="0" fontId="5" fillId="38" borderId="12" xfId="0" applyFont="1" applyFill="1" applyBorder="1" applyAlignment="1">
      <alignment horizontal="center" vertical="top" wrapText="1"/>
    </xf>
    <xf numFmtId="0" fontId="5" fillId="38" borderId="25" xfId="0" applyFont="1" applyFill="1" applyBorder="1" applyAlignment="1">
      <alignment horizontal="center" vertical="top" wrapText="1"/>
    </xf>
    <xf numFmtId="0" fontId="5" fillId="24" borderId="15" xfId="0" applyFont="1" applyFill="1" applyBorder="1" applyAlignment="1">
      <alignment horizontal="left" vertical="top" wrapText="1"/>
    </xf>
    <xf numFmtId="0" fontId="5" fillId="24" borderId="16" xfId="0" applyFont="1" applyFill="1" applyBorder="1" applyAlignment="1">
      <alignment horizontal="left" vertical="top" wrapText="1"/>
    </xf>
    <xf numFmtId="0" fontId="1" fillId="38" borderId="20" xfId="0" applyFont="1" applyFill="1" applyBorder="1" applyAlignment="1">
      <alignment horizontal="center" vertical="top"/>
    </xf>
    <xf numFmtId="0" fontId="1"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5" fillId="0" borderId="15" xfId="0" applyFont="1" applyBorder="1" applyAlignment="1">
      <alignment horizontal="left"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1" fillId="0" borderId="19" xfId="0" applyFont="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1" fillId="0" borderId="3" xfId="0" applyFont="1" applyBorder="1" applyAlignment="1">
      <alignment horizontal="left" vertical="top"/>
    </xf>
    <xf numFmtId="0" fontId="5" fillId="0" borderId="4" xfId="0" applyFont="1" applyBorder="1" applyAlignment="1">
      <alignment horizontal="left" vertical="top"/>
    </xf>
    <xf numFmtId="0" fontId="5" fillId="0" borderId="5" xfId="0" applyFont="1" applyBorder="1" applyAlignment="1">
      <alignment horizontal="left" vertical="top"/>
    </xf>
    <xf numFmtId="0" fontId="1" fillId="38" borderId="14" xfId="0" applyFont="1" applyFill="1" applyBorder="1" applyAlignment="1">
      <alignment horizontal="center" vertical="center" wrapText="1"/>
    </xf>
    <xf numFmtId="0" fontId="5" fillId="38" borderId="14" xfId="0" applyFont="1" applyFill="1" applyBorder="1" applyAlignment="1">
      <alignment horizontal="center" vertical="center" wrapText="1"/>
    </xf>
    <xf numFmtId="0" fontId="5" fillId="38" borderId="16" xfId="0" applyFont="1" applyFill="1" applyBorder="1" applyAlignment="1">
      <alignment horizontal="center" vertical="center" wrapText="1"/>
    </xf>
    <xf numFmtId="0" fontId="1" fillId="38" borderId="15" xfId="0" applyFont="1" applyFill="1" applyBorder="1" applyAlignment="1">
      <alignment horizontal="left" vertical="top" wrapText="1"/>
    </xf>
    <xf numFmtId="0" fontId="5" fillId="38" borderId="14" xfId="0" applyFont="1" applyFill="1" applyBorder="1" applyAlignment="1">
      <alignment horizontal="left" vertical="top" wrapText="1"/>
    </xf>
    <xf numFmtId="0" fontId="5" fillId="38" borderId="16" xfId="0" applyFont="1" applyFill="1" applyBorder="1" applyAlignment="1">
      <alignment horizontal="left" vertical="top" wrapText="1"/>
    </xf>
    <xf numFmtId="0" fontId="1" fillId="38" borderId="15" xfId="0" applyFont="1" applyFill="1" applyBorder="1" applyAlignment="1" applyProtection="1">
      <alignment horizontal="left" vertical="top"/>
    </xf>
    <xf numFmtId="0" fontId="5" fillId="38" borderId="14" xfId="0" applyFont="1" applyFill="1" applyBorder="1" applyAlignment="1" applyProtection="1">
      <alignment horizontal="left" vertical="top"/>
    </xf>
    <xf numFmtId="0" fontId="5" fillId="38" borderId="16" xfId="0" applyFont="1" applyFill="1" applyBorder="1" applyAlignment="1" applyProtection="1">
      <alignment horizontal="left" vertical="top"/>
    </xf>
    <xf numFmtId="0" fontId="1" fillId="38" borderId="15" xfId="0" applyFont="1" applyFill="1" applyBorder="1" applyAlignment="1" applyProtection="1">
      <alignment horizontal="left" vertical="top" wrapText="1"/>
    </xf>
    <xf numFmtId="0" fontId="5" fillId="38" borderId="14" xfId="0" applyFont="1" applyFill="1" applyBorder="1" applyAlignment="1" applyProtection="1">
      <alignment horizontal="left" vertical="top" wrapText="1"/>
    </xf>
    <xf numFmtId="0" fontId="5" fillId="38" borderId="16" xfId="0" applyFont="1" applyFill="1" applyBorder="1" applyAlignment="1" applyProtection="1">
      <alignment horizontal="left" vertical="top" wrapText="1"/>
    </xf>
    <xf numFmtId="0" fontId="5" fillId="0" borderId="15" xfId="0" applyFont="1" applyBorder="1" applyAlignment="1">
      <alignment horizontal="left" vertical="top" textRotation="90"/>
    </xf>
    <xf numFmtId="0" fontId="5" fillId="0" borderId="14" xfId="0" applyFont="1" applyBorder="1" applyAlignment="1">
      <alignment horizontal="left" vertical="top" textRotation="90"/>
    </xf>
    <xf numFmtId="0" fontId="5" fillId="0" borderId="16" xfId="0" applyFont="1" applyBorder="1" applyAlignment="1">
      <alignment horizontal="left" vertical="top" textRotation="90"/>
    </xf>
    <xf numFmtId="0" fontId="5" fillId="38" borderId="15" xfId="0" applyFont="1" applyFill="1" applyBorder="1" applyAlignment="1">
      <alignment horizontal="left" vertical="top"/>
    </xf>
    <xf numFmtId="0" fontId="1" fillId="0" borderId="17" xfId="0" applyFont="1" applyBorder="1" applyAlignment="1">
      <alignment horizontal="left"/>
    </xf>
    <xf numFmtId="0" fontId="5" fillId="0" borderId="18" xfId="0" applyFont="1" applyBorder="1" applyAlignment="1">
      <alignment horizontal="left"/>
    </xf>
    <xf numFmtId="0" fontId="5" fillId="0" borderId="2" xfId="0" applyFont="1" applyBorder="1" applyAlignment="1">
      <alignment horizontal="left"/>
    </xf>
    <xf numFmtId="0" fontId="1" fillId="0" borderId="19" xfId="0" applyFont="1" applyBorder="1" applyAlignment="1">
      <alignment horizontal="center" vertical="center"/>
    </xf>
    <xf numFmtId="0" fontId="5" fillId="0" borderId="21" xfId="0" applyFont="1" applyBorder="1" applyAlignment="1">
      <alignment horizontal="center" vertical="center"/>
    </xf>
    <xf numFmtId="0" fontId="5" fillId="0" borderId="24" xfId="0" applyFont="1" applyBorder="1" applyAlignment="1">
      <alignment horizontal="center" vertical="center"/>
    </xf>
    <xf numFmtId="0" fontId="5" fillId="0" borderId="25" xfId="0" applyFont="1" applyBorder="1" applyAlignment="1">
      <alignment horizontal="center" vertical="center"/>
    </xf>
    <xf numFmtId="0" fontId="5" fillId="0" borderId="19" xfId="0" applyFont="1" applyBorder="1" applyAlignment="1">
      <alignment horizontal="center"/>
    </xf>
    <xf numFmtId="0" fontId="21" fillId="17" borderId="29" xfId="0" applyFont="1" applyFill="1" applyBorder="1" applyAlignment="1">
      <alignment horizontal="center" vertical="center" wrapText="1"/>
    </xf>
    <xf numFmtId="0" fontId="21" fillId="17" borderId="36" xfId="0" applyFont="1" applyFill="1" applyBorder="1" applyAlignment="1">
      <alignment horizontal="center" vertical="center" wrapText="1"/>
    </xf>
    <xf numFmtId="0" fontId="21" fillId="17" borderId="37" xfId="0" applyFont="1" applyFill="1" applyBorder="1" applyAlignment="1">
      <alignment horizontal="center" vertical="center" wrapText="1"/>
    </xf>
    <xf numFmtId="0" fontId="16" fillId="17" borderId="3"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6" fillId="17" borderId="5" xfId="0" applyFont="1" applyFill="1" applyBorder="1" applyAlignment="1">
      <alignment horizontal="center" vertical="center" wrapText="1"/>
    </xf>
    <xf numFmtId="0" fontId="16" fillId="17" borderId="29" xfId="0" applyFont="1" applyFill="1" applyBorder="1" applyAlignment="1">
      <alignment horizontal="center" vertical="center" wrapText="1"/>
    </xf>
    <xf numFmtId="0" fontId="16" fillId="17" borderId="36"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9" fillId="9" borderId="6" xfId="0" applyFont="1" applyFill="1" applyBorder="1" applyAlignment="1">
      <alignment horizontal="left" vertical="center" wrapText="1"/>
    </xf>
    <xf numFmtId="0" fontId="19" fillId="9" borderId="0" xfId="0" applyFont="1" applyFill="1" applyBorder="1" applyAlignment="1">
      <alignment horizontal="left" vertical="center" wrapText="1"/>
    </xf>
    <xf numFmtId="0" fontId="19" fillId="9" borderId="7" xfId="0" applyFont="1" applyFill="1" applyBorder="1" applyAlignment="1">
      <alignment horizontal="left" vertical="center" wrapText="1"/>
    </xf>
    <xf numFmtId="0" fontId="19" fillId="0" borderId="11" xfId="0" applyFont="1" applyBorder="1" applyAlignment="1">
      <alignment horizontal="center" vertical="center" wrapText="1"/>
    </xf>
    <xf numFmtId="0" fontId="19" fillId="0" borderId="12"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4" xfId="0" applyFont="1" applyBorder="1" applyAlignment="1">
      <alignment horizontal="center" vertical="center" wrapText="1"/>
    </xf>
    <xf numFmtId="170" fontId="4" fillId="24" borderId="14" xfId="0" applyNumberFormat="1" applyFont="1" applyFill="1" applyBorder="1" applyAlignment="1">
      <alignment horizontal="center"/>
    </xf>
    <xf numFmtId="0" fontId="26" fillId="29" borderId="6" xfId="0" applyFont="1" applyFill="1" applyBorder="1" applyAlignment="1">
      <alignment horizontal="center" vertical="center"/>
    </xf>
    <xf numFmtId="0" fontId="26" fillId="29" borderId="0" xfId="0" applyFont="1" applyFill="1" applyBorder="1" applyAlignment="1">
      <alignment horizontal="center" vertical="center"/>
    </xf>
    <xf numFmtId="0" fontId="19" fillId="9" borderId="8" xfId="0" applyFont="1" applyFill="1" applyBorder="1" applyAlignment="1">
      <alignment horizontal="left" vertical="center" wrapText="1"/>
    </xf>
    <xf numFmtId="0" fontId="19" fillId="9" borderId="9" xfId="0" applyFont="1" applyFill="1" applyBorder="1" applyAlignment="1">
      <alignment horizontal="left" vertical="center" wrapText="1"/>
    </xf>
    <xf numFmtId="1" fontId="0" fillId="37" borderId="138" xfId="0" applyNumberFormat="1" applyFill="1" applyBorder="1" applyAlignment="1" applyProtection="1">
      <alignment horizontal="center"/>
      <protection locked="0"/>
    </xf>
    <xf numFmtId="1" fontId="0" fillId="37" borderId="139" xfId="0" applyNumberFormat="1" applyFill="1" applyBorder="1" applyAlignment="1" applyProtection="1">
      <alignment horizontal="center"/>
      <protection locked="0"/>
    </xf>
    <xf numFmtId="1" fontId="0" fillId="37" borderId="140" xfId="0" applyNumberFormat="1" applyFill="1" applyBorder="1" applyAlignment="1" applyProtection="1">
      <alignment horizontal="center"/>
      <protection locked="0"/>
    </xf>
    <xf numFmtId="0" fontId="0" fillId="35" borderId="93" xfId="0" applyFill="1" applyBorder="1" applyAlignment="1">
      <alignment horizontal="center"/>
    </xf>
    <xf numFmtId="0" fontId="0" fillId="35" borderId="36" xfId="0" applyFill="1" applyBorder="1" applyAlignment="1">
      <alignment horizontal="center"/>
    </xf>
    <xf numFmtId="0" fontId="0" fillId="35" borderId="101" xfId="0" applyFill="1" applyBorder="1" applyAlignment="1">
      <alignment horizontal="center"/>
    </xf>
    <xf numFmtId="0" fontId="19" fillId="9" borderId="3" xfId="0" applyFont="1" applyFill="1" applyBorder="1" applyAlignment="1">
      <alignment horizontal="left" vertical="center" wrapText="1"/>
    </xf>
    <xf numFmtId="0" fontId="19" fillId="9" borderId="4" xfId="0" applyFont="1" applyFill="1" applyBorder="1" applyAlignment="1">
      <alignment horizontal="left" vertical="center" wrapText="1"/>
    </xf>
    <xf numFmtId="0" fontId="19" fillId="9" borderId="5" xfId="0" applyFont="1" applyFill="1" applyBorder="1" applyAlignment="1">
      <alignment horizontal="left" vertical="center" wrapText="1"/>
    </xf>
    <xf numFmtId="0" fontId="49" fillId="17" borderId="29" xfId="0" applyFont="1" applyFill="1" applyBorder="1" applyAlignment="1">
      <alignment horizontal="center" vertical="center" wrapText="1"/>
    </xf>
    <xf numFmtId="0" fontId="49" fillId="17" borderId="36" xfId="0" applyFont="1" applyFill="1" applyBorder="1" applyAlignment="1">
      <alignment horizontal="center" vertical="center" wrapText="1"/>
    </xf>
    <xf numFmtId="0" fontId="19" fillId="39" borderId="1" xfId="0" applyFont="1" applyFill="1" applyBorder="1" applyAlignment="1">
      <alignment horizontal="center" vertical="center" wrapText="1"/>
    </xf>
    <xf numFmtId="1" fontId="0" fillId="38" borderId="15" xfId="0" applyNumberFormat="1" applyFill="1" applyBorder="1" applyAlignment="1" applyProtection="1">
      <alignment horizontal="center"/>
      <protection locked="0"/>
    </xf>
    <xf numFmtId="1" fontId="0" fillId="38" borderId="14" xfId="0" applyNumberFormat="1" applyFill="1" applyBorder="1" applyAlignment="1" applyProtection="1">
      <alignment horizontal="center"/>
      <protection locked="0"/>
    </xf>
    <xf numFmtId="1" fontId="0" fillId="38" borderId="16" xfId="0" applyNumberFormat="1" applyFill="1" applyBorder="1" applyAlignment="1" applyProtection="1">
      <alignment horizontal="center"/>
      <protection locked="0"/>
    </xf>
    <xf numFmtId="0" fontId="19" fillId="9" borderId="29" xfId="0" applyFont="1" applyFill="1" applyBorder="1" applyAlignment="1">
      <alignment horizontal="center" vertical="center" wrapText="1"/>
    </xf>
    <xf numFmtId="0" fontId="19" fillId="9" borderId="36" xfId="0" applyFont="1" applyFill="1" applyBorder="1" applyAlignment="1">
      <alignment horizontal="center" vertical="center" wrapText="1"/>
    </xf>
    <xf numFmtId="0" fontId="19" fillId="9" borderId="37" xfId="0" applyFont="1" applyFill="1" applyBorder="1" applyAlignment="1">
      <alignment horizontal="center" vertical="center" wrapText="1"/>
    </xf>
    <xf numFmtId="0" fontId="18" fillId="0" borderId="134" xfId="0" applyFont="1" applyBorder="1" applyAlignment="1">
      <alignment horizontal="left" vertical="center" wrapText="1"/>
    </xf>
    <xf numFmtId="0" fontId="18" fillId="0" borderId="135" xfId="0" applyFont="1" applyBorder="1" applyAlignment="1">
      <alignment horizontal="left" vertical="center" wrapText="1"/>
    </xf>
    <xf numFmtId="0" fontId="19" fillId="9" borderId="29" xfId="0" applyFont="1" applyFill="1" applyBorder="1" applyAlignment="1">
      <alignment horizontal="left" vertical="center" wrapText="1"/>
    </xf>
    <xf numFmtId="0" fontId="19" fillId="9" borderId="36" xfId="0" applyFont="1" applyFill="1" applyBorder="1" applyAlignment="1">
      <alignment horizontal="left" vertical="center" wrapText="1"/>
    </xf>
    <xf numFmtId="0" fontId="15" fillId="38" borderId="3" xfId="0" applyFont="1" applyFill="1" applyBorder="1" applyAlignment="1" applyProtection="1">
      <alignment horizontal="center" vertical="center" wrapText="1"/>
    </xf>
    <xf numFmtId="0" fontId="15" fillId="38" borderId="4" xfId="0" applyFont="1" applyFill="1" applyBorder="1" applyAlignment="1" applyProtection="1">
      <alignment horizontal="center" vertical="center" wrapText="1"/>
    </xf>
    <xf numFmtId="0" fontId="15" fillId="38" borderId="5" xfId="0" applyFont="1" applyFill="1" applyBorder="1" applyAlignment="1" applyProtection="1">
      <alignment horizontal="center" vertical="center" wrapText="1"/>
    </xf>
    <xf numFmtId="0" fontId="15" fillId="38" borderId="6" xfId="0" applyFont="1" applyFill="1" applyBorder="1" applyAlignment="1" applyProtection="1">
      <alignment horizontal="center" vertical="center" wrapText="1"/>
    </xf>
    <xf numFmtId="0" fontId="15" fillId="38" borderId="0" xfId="0" applyFont="1" applyFill="1" applyBorder="1" applyAlignment="1" applyProtection="1">
      <alignment horizontal="center" vertical="center" wrapText="1"/>
    </xf>
    <xf numFmtId="0" fontId="15" fillId="38" borderId="7" xfId="0" applyFont="1" applyFill="1" applyBorder="1" applyAlignment="1" applyProtection="1">
      <alignment horizontal="center" vertical="center" wrapText="1"/>
    </xf>
    <xf numFmtId="0" fontId="15" fillId="38" borderId="8" xfId="0" applyFont="1" applyFill="1" applyBorder="1" applyAlignment="1" applyProtection="1">
      <alignment horizontal="center" vertical="center" wrapText="1"/>
    </xf>
    <xf numFmtId="0" fontId="15" fillId="38" borderId="9" xfId="0" applyFont="1" applyFill="1" applyBorder="1" applyAlignment="1" applyProtection="1">
      <alignment horizontal="center" vertical="center" wrapText="1"/>
    </xf>
    <xf numFmtId="0" fontId="15" fillId="38" borderId="10" xfId="0" applyFont="1" applyFill="1" applyBorder="1" applyAlignment="1" applyProtection="1">
      <alignment horizontal="center" vertical="center" wrapText="1"/>
    </xf>
    <xf numFmtId="0" fontId="56" fillId="38" borderId="3" xfId="0" applyFont="1" applyFill="1" applyBorder="1" applyAlignment="1" applyProtection="1">
      <alignment horizontal="center" vertical="center" wrapText="1"/>
    </xf>
    <xf numFmtId="0" fontId="56" fillId="38" borderId="4" xfId="0" applyFont="1" applyFill="1" applyBorder="1" applyAlignment="1" applyProtection="1">
      <alignment horizontal="center" vertical="center" wrapText="1"/>
    </xf>
    <xf numFmtId="0" fontId="56" fillId="38" borderId="5" xfId="0" applyFont="1" applyFill="1" applyBorder="1" applyAlignment="1" applyProtection="1">
      <alignment horizontal="center" vertical="center" wrapText="1"/>
    </xf>
    <xf numFmtId="0" fontId="56" fillId="38" borderId="6" xfId="0" applyFont="1" applyFill="1" applyBorder="1" applyAlignment="1" applyProtection="1">
      <alignment horizontal="center" vertical="center" wrapText="1"/>
    </xf>
    <xf numFmtId="0" fontId="56" fillId="38" borderId="0" xfId="0" applyFont="1" applyFill="1" applyBorder="1" applyAlignment="1" applyProtection="1">
      <alignment horizontal="center" vertical="center" wrapText="1"/>
    </xf>
    <xf numFmtId="0" fontId="56" fillId="38" borderId="7" xfId="0" applyFont="1" applyFill="1" applyBorder="1" applyAlignment="1" applyProtection="1">
      <alignment horizontal="center" vertical="center" wrapText="1"/>
    </xf>
    <xf numFmtId="0" fontId="17" fillId="38" borderId="0" xfId="0" applyFont="1" applyFill="1" applyBorder="1" applyAlignment="1" applyProtection="1">
      <alignment horizontal="center" vertical="center" wrapText="1"/>
    </xf>
    <xf numFmtId="0" fontId="17" fillId="38" borderId="6" xfId="0" applyFont="1" applyFill="1" applyBorder="1" applyAlignment="1" applyProtection="1">
      <alignment horizontal="center" vertical="center" wrapText="1"/>
    </xf>
    <xf numFmtId="0" fontId="17" fillId="38" borderId="8" xfId="0" applyFont="1" applyFill="1" applyBorder="1" applyAlignment="1" applyProtection="1">
      <alignment horizontal="center" vertical="center" wrapText="1"/>
    </xf>
    <xf numFmtId="0" fontId="17" fillId="38" borderId="9" xfId="0" applyFont="1" applyFill="1" applyBorder="1" applyAlignment="1" applyProtection="1">
      <alignment horizontal="center" vertical="center" wrapText="1"/>
    </xf>
    <xf numFmtId="0" fontId="17" fillId="38" borderId="7" xfId="0" applyFont="1" applyFill="1" applyBorder="1" applyAlignment="1" applyProtection="1">
      <alignment horizontal="center" vertical="center" wrapText="1"/>
    </xf>
    <xf numFmtId="0" fontId="17" fillId="38" borderId="10" xfId="0" applyFont="1" applyFill="1" applyBorder="1" applyAlignment="1" applyProtection="1">
      <alignment horizontal="center" vertical="center" wrapText="1"/>
    </xf>
    <xf numFmtId="0" fontId="15" fillId="38" borderId="0" xfId="0" applyFont="1" applyFill="1" applyBorder="1" applyAlignment="1" applyProtection="1">
      <alignment horizontal="center" wrapText="1"/>
    </xf>
    <xf numFmtId="0" fontId="15" fillId="38" borderId="7" xfId="0" applyFont="1" applyFill="1" applyBorder="1" applyAlignment="1" applyProtection="1">
      <alignment horizontal="center" wrapText="1"/>
    </xf>
    <xf numFmtId="0" fontId="13" fillId="17" borderId="5" xfId="0" applyFont="1" applyFill="1" applyBorder="1" applyAlignment="1">
      <alignment horizontal="center"/>
    </xf>
    <xf numFmtId="0" fontId="13" fillId="17" borderId="10" xfId="0" applyFont="1" applyFill="1" applyBorder="1" applyAlignment="1">
      <alignment horizontal="center"/>
    </xf>
    <xf numFmtId="0" fontId="2" fillId="0" borderId="88" xfId="0" applyFont="1" applyBorder="1" applyAlignment="1">
      <alignment horizontal="center" vertical="center"/>
    </xf>
    <xf numFmtId="0" fontId="2" fillId="0" borderId="169" xfId="0" applyFont="1" applyBorder="1" applyAlignment="1">
      <alignment horizontal="center" vertical="center"/>
    </xf>
    <xf numFmtId="0" fontId="2" fillId="0" borderId="170" xfId="0" applyFont="1" applyBorder="1" applyAlignment="1">
      <alignment horizontal="center" vertical="center"/>
    </xf>
    <xf numFmtId="0" fontId="2" fillId="18" borderId="1" xfId="0" applyFont="1" applyFill="1" applyBorder="1" applyAlignment="1">
      <alignment horizontal="center" vertical="center" wrapText="1"/>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15" fillId="0" borderId="0" xfId="0" applyFont="1" applyBorder="1" applyAlignment="1">
      <alignment horizontal="center" vertical="center" textRotation="90"/>
    </xf>
    <xf numFmtId="0" fontId="15" fillId="0" borderId="7" xfId="0" applyFont="1" applyBorder="1" applyAlignment="1">
      <alignment horizontal="center" vertical="center" textRotation="90"/>
    </xf>
    <xf numFmtId="0" fontId="19" fillId="0" borderId="6" xfId="0" applyFont="1" applyBorder="1" applyAlignment="1">
      <alignment horizontal="center" vertical="center" wrapText="1"/>
    </xf>
    <xf numFmtId="0" fontId="19" fillId="0" borderId="7" xfId="0" applyFont="1" applyBorder="1" applyAlignment="1">
      <alignment horizontal="center" vertical="center" wrapText="1"/>
    </xf>
    <xf numFmtId="0" fontId="15" fillId="0" borderId="7" xfId="0" applyFont="1" applyBorder="1" applyAlignment="1">
      <alignment horizontal="center" vertical="top" textRotation="90"/>
    </xf>
    <xf numFmtId="0" fontId="15" fillId="0" borderId="0" xfId="0" applyFont="1" applyBorder="1" applyAlignment="1">
      <alignment horizontal="center" vertical="top" textRotation="90"/>
    </xf>
    <xf numFmtId="0" fontId="18" fillId="0" borderId="6" xfId="0" applyFont="1" applyBorder="1" applyAlignment="1">
      <alignment horizontal="left" vertical="center" wrapText="1"/>
    </xf>
    <xf numFmtId="0" fontId="18" fillId="0" borderId="0" xfId="0" applyFont="1" applyBorder="1" applyAlignment="1">
      <alignment horizontal="left" vertical="center" wrapText="1"/>
    </xf>
    <xf numFmtId="0" fontId="18" fillId="0" borderId="8" xfId="0" applyFont="1" applyBorder="1" applyAlignment="1">
      <alignment horizontal="left" vertical="center" wrapText="1"/>
    </xf>
    <xf numFmtId="0" fontId="18" fillId="0" borderId="9" xfId="0" applyFont="1" applyBorder="1" applyAlignment="1">
      <alignment horizontal="left" vertical="center" wrapText="1"/>
    </xf>
    <xf numFmtId="0" fontId="18" fillId="0" borderId="3" xfId="0" applyFont="1" applyBorder="1" applyAlignment="1">
      <alignment horizontal="left" vertical="center" wrapText="1"/>
    </xf>
    <xf numFmtId="0" fontId="18" fillId="0" borderId="5" xfId="0" applyFont="1" applyBorder="1" applyAlignment="1">
      <alignment horizontal="left" vertical="center" wrapText="1"/>
    </xf>
    <xf numFmtId="0" fontId="18" fillId="0" borderId="10" xfId="0" applyFont="1" applyBorder="1" applyAlignment="1">
      <alignment horizontal="left" vertical="center" wrapText="1"/>
    </xf>
    <xf numFmtId="0" fontId="18" fillId="0" borderId="7" xfId="0" applyFont="1" applyBorder="1" applyAlignment="1">
      <alignment horizontal="left" vertical="center" wrapText="1"/>
    </xf>
    <xf numFmtId="0" fontId="9" fillId="0" borderId="6" xfId="0" applyFont="1" applyBorder="1" applyAlignment="1">
      <alignment horizontal="left" vertical="center" wrapText="1"/>
    </xf>
    <xf numFmtId="0" fontId="9" fillId="0" borderId="0"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19" fillId="9" borderId="6" xfId="0" applyFont="1" applyFill="1" applyBorder="1" applyAlignment="1">
      <alignment horizontal="center" vertical="center" wrapText="1"/>
    </xf>
    <xf numFmtId="0" fontId="19" fillId="9" borderId="0" xfId="0" applyFont="1" applyFill="1" applyBorder="1" applyAlignment="1">
      <alignment horizontal="center" vertical="center" wrapText="1"/>
    </xf>
    <xf numFmtId="0" fontId="19" fillId="9" borderId="7" xfId="0" applyFont="1" applyFill="1" applyBorder="1" applyAlignment="1">
      <alignment horizontal="center" vertical="center" wrapText="1"/>
    </xf>
    <xf numFmtId="0" fontId="49" fillId="17" borderId="6" xfId="0" applyFont="1" applyFill="1" applyBorder="1" applyAlignment="1">
      <alignment horizontal="center" vertical="center" wrapText="1"/>
    </xf>
    <xf numFmtId="0" fontId="49" fillId="17" borderId="0" xfId="0" applyFont="1" applyFill="1" applyBorder="1" applyAlignment="1">
      <alignment horizontal="center" vertical="center" wrapText="1"/>
    </xf>
    <xf numFmtId="0" fontId="49" fillId="17" borderId="7" xfId="0" applyFont="1" applyFill="1" applyBorder="1" applyAlignment="1">
      <alignment horizontal="center" vertical="center" wrapText="1"/>
    </xf>
    <xf numFmtId="0" fontId="17" fillId="38" borderId="4" xfId="0" applyFont="1" applyFill="1" applyBorder="1" applyAlignment="1" applyProtection="1">
      <alignment horizontal="center" vertical="center" wrapText="1"/>
    </xf>
    <xf numFmtId="0" fontId="17" fillId="38" borderId="5" xfId="0" applyFont="1" applyFill="1" applyBorder="1" applyAlignment="1" applyProtection="1">
      <alignment horizontal="center" vertical="center" wrapText="1"/>
    </xf>
    <xf numFmtId="0" fontId="19" fillId="9" borderId="37" xfId="0" applyFont="1" applyFill="1" applyBorder="1" applyAlignment="1">
      <alignment horizontal="left" vertical="center" wrapText="1"/>
    </xf>
    <xf numFmtId="0" fontId="21" fillId="37" borderId="29" xfId="0" applyFont="1" applyFill="1" applyBorder="1" applyAlignment="1">
      <alignment horizontal="left" vertical="center" wrapText="1"/>
    </xf>
    <xf numFmtId="0" fontId="21" fillId="37" borderId="36" xfId="0" applyFont="1" applyFill="1" applyBorder="1" applyAlignment="1">
      <alignment horizontal="left" vertical="center" wrapText="1"/>
    </xf>
    <xf numFmtId="0" fontId="21" fillId="37" borderId="37" xfId="0" applyFont="1" applyFill="1" applyBorder="1" applyAlignment="1">
      <alignment horizontal="left" vertical="center" wrapText="1"/>
    </xf>
    <xf numFmtId="0" fontId="18" fillId="0" borderId="132" xfId="0" applyFont="1" applyBorder="1" applyAlignment="1">
      <alignment horizontal="left" vertical="center" wrapText="1"/>
    </xf>
    <xf numFmtId="0" fontId="18" fillId="0" borderId="1" xfId="0" applyFont="1" applyBorder="1" applyAlignment="1">
      <alignment horizontal="left" vertical="center" wrapText="1"/>
    </xf>
    <xf numFmtId="0" fontId="18" fillId="0" borderId="102" xfId="0" applyFont="1" applyBorder="1" applyAlignment="1">
      <alignment horizontal="left" vertical="center" wrapText="1"/>
    </xf>
    <xf numFmtId="0" fontId="18" fillId="0" borderId="91" xfId="0" applyFont="1" applyBorder="1" applyAlignment="1">
      <alignment horizontal="left" vertical="center" wrapText="1"/>
    </xf>
    <xf numFmtId="0" fontId="56" fillId="38" borderId="8" xfId="0" applyFont="1" applyFill="1" applyBorder="1" applyAlignment="1" applyProtection="1">
      <alignment horizontal="center" vertical="center" wrapText="1"/>
    </xf>
    <xf numFmtId="0" fontId="56" fillId="38" borderId="9" xfId="0" applyFont="1" applyFill="1" applyBorder="1" applyAlignment="1" applyProtection="1">
      <alignment horizontal="center" vertical="center" wrapText="1"/>
    </xf>
    <xf numFmtId="0" fontId="56" fillId="38" borderId="10" xfId="0" applyFont="1" applyFill="1" applyBorder="1" applyAlignment="1" applyProtection="1">
      <alignment horizontal="center" vertical="center" wrapText="1"/>
    </xf>
    <xf numFmtId="1" fontId="0" fillId="37" borderId="17" xfId="0" applyNumberFormat="1" applyFill="1" applyBorder="1" applyAlignment="1" applyProtection="1">
      <alignment horizontal="center"/>
      <protection locked="0"/>
    </xf>
    <xf numFmtId="1" fontId="0" fillId="37" borderId="18" xfId="0" applyNumberFormat="1" applyFill="1" applyBorder="1" applyAlignment="1" applyProtection="1">
      <alignment horizontal="center"/>
      <protection locked="0"/>
    </xf>
    <xf numFmtId="1" fontId="0" fillId="37" borderId="2" xfId="0" applyNumberFormat="1" applyFill="1" applyBorder="1" applyAlignment="1" applyProtection="1">
      <alignment horizontal="center"/>
      <protection locked="0"/>
    </xf>
    <xf numFmtId="0" fontId="21" fillId="37" borderId="29" xfId="0" applyFont="1" applyFill="1" applyBorder="1" applyAlignment="1">
      <alignment horizontal="center" vertical="center" wrapText="1"/>
    </xf>
    <xf numFmtId="0" fontId="21" fillId="37" borderId="36" xfId="0" applyFont="1" applyFill="1" applyBorder="1" applyAlignment="1">
      <alignment horizontal="center" vertical="center" wrapText="1"/>
    </xf>
    <xf numFmtId="0" fontId="18" fillId="0" borderId="4" xfId="0" applyFont="1" applyBorder="1" applyAlignment="1">
      <alignment horizontal="left" vertical="center" wrapText="1"/>
    </xf>
    <xf numFmtId="0" fontId="15" fillId="38" borderId="3" xfId="0" applyFont="1" applyFill="1" applyBorder="1" applyAlignment="1" applyProtection="1">
      <alignment horizontal="center" wrapText="1"/>
    </xf>
    <xf numFmtId="0" fontId="15" fillId="38" borderId="4" xfId="0" applyFont="1" applyFill="1" applyBorder="1" applyAlignment="1" applyProtection="1">
      <alignment horizontal="center" wrapText="1"/>
    </xf>
    <xf numFmtId="0" fontId="15" fillId="38" borderId="5" xfId="0" applyFont="1" applyFill="1" applyBorder="1" applyAlignment="1" applyProtection="1">
      <alignment horizontal="center" wrapText="1"/>
    </xf>
    <xf numFmtId="0" fontId="15" fillId="38" borderId="8" xfId="0" applyFont="1" applyFill="1" applyBorder="1" applyAlignment="1" applyProtection="1">
      <alignment horizontal="center" wrapText="1"/>
    </xf>
    <xf numFmtId="0" fontId="15" fillId="38" borderId="9" xfId="0" applyFont="1" applyFill="1" applyBorder="1" applyAlignment="1" applyProtection="1">
      <alignment horizontal="center" wrapText="1"/>
    </xf>
    <xf numFmtId="0" fontId="15" fillId="38" borderId="10" xfId="0" applyFont="1" applyFill="1" applyBorder="1" applyAlignment="1" applyProtection="1">
      <alignment horizontal="center" wrapText="1"/>
    </xf>
    <xf numFmtId="0" fontId="59" fillId="38" borderId="4" xfId="0" applyFont="1" applyFill="1" applyBorder="1" applyAlignment="1" applyProtection="1">
      <alignment horizontal="center" vertical="center" wrapText="1"/>
    </xf>
    <xf numFmtId="0" fontId="59" fillId="38" borderId="5" xfId="0" applyFont="1" applyFill="1" applyBorder="1" applyAlignment="1" applyProtection="1">
      <alignment horizontal="center" vertical="center" wrapText="1"/>
    </xf>
    <xf numFmtId="0" fontId="59" fillId="38" borderId="6" xfId="0" applyFont="1" applyFill="1" applyBorder="1" applyAlignment="1" applyProtection="1">
      <alignment horizontal="center" vertical="center" wrapText="1"/>
    </xf>
    <xf numFmtId="0" fontId="59" fillId="38" borderId="0" xfId="0" applyFont="1" applyFill="1" applyBorder="1" applyAlignment="1" applyProtection="1">
      <alignment horizontal="center" vertical="center" wrapText="1"/>
    </xf>
    <xf numFmtId="0" fontId="59" fillId="38" borderId="7" xfId="0" applyFont="1" applyFill="1" applyBorder="1" applyAlignment="1" applyProtection="1">
      <alignment horizontal="center" vertical="center" wrapText="1"/>
    </xf>
    <xf numFmtId="0" fontId="59" fillId="38" borderId="8" xfId="0" applyFont="1" applyFill="1" applyBorder="1" applyAlignment="1" applyProtection="1">
      <alignment horizontal="center" vertical="center" wrapText="1"/>
    </xf>
    <xf numFmtId="0" fontId="59" fillId="38" borderId="9" xfId="0" applyFont="1" applyFill="1" applyBorder="1" applyAlignment="1" applyProtection="1">
      <alignment horizontal="center" vertical="center" wrapText="1"/>
    </xf>
    <xf numFmtId="0" fontId="59" fillId="38" borderId="10" xfId="0" applyFont="1" applyFill="1" applyBorder="1" applyAlignment="1" applyProtection="1">
      <alignment horizontal="center" vertical="center" wrapText="1"/>
    </xf>
    <xf numFmtId="0" fontId="19" fillId="9" borderId="137" xfId="0" applyFont="1" applyFill="1" applyBorder="1" applyAlignment="1">
      <alignment horizontal="left" vertical="center" wrapText="1"/>
    </xf>
    <xf numFmtId="0" fontId="19" fillId="9" borderId="136" xfId="0" applyFont="1" applyFill="1" applyBorder="1" applyAlignment="1">
      <alignment horizontal="left" vertical="center" wrapText="1"/>
    </xf>
    <xf numFmtId="0" fontId="56" fillId="38" borderId="3" xfId="0" quotePrefix="1" applyFont="1" applyFill="1" applyBorder="1" applyAlignment="1" applyProtection="1">
      <alignment horizontal="center" vertical="center" wrapText="1"/>
    </xf>
    <xf numFmtId="0" fontId="21" fillId="37" borderId="6" xfId="0" applyFont="1" applyFill="1" applyBorder="1" applyAlignment="1">
      <alignment horizontal="left" vertical="center" wrapText="1"/>
    </xf>
    <xf numFmtId="0" fontId="21" fillId="37" borderId="0" xfId="0" applyFont="1" applyFill="1" applyBorder="1" applyAlignment="1">
      <alignment horizontal="left" vertical="center" wrapText="1"/>
    </xf>
    <xf numFmtId="0" fontId="21" fillId="37" borderId="7" xfId="0" applyFont="1" applyFill="1" applyBorder="1" applyAlignment="1">
      <alignment horizontal="left" vertical="center" wrapText="1"/>
    </xf>
    <xf numFmtId="0" fontId="2" fillId="0" borderId="137" xfId="0" applyFont="1" applyBorder="1" applyAlignment="1">
      <alignment horizontal="center" vertical="center"/>
    </xf>
    <xf numFmtId="0" fontId="18" fillId="37" borderId="0" xfId="0" applyFont="1" applyFill="1" applyBorder="1" applyAlignment="1">
      <alignment horizontal="center" vertical="center" wrapText="1"/>
    </xf>
    <xf numFmtId="0" fontId="18" fillId="37" borderId="23" xfId="0" applyFont="1" applyFill="1" applyBorder="1" applyAlignment="1">
      <alignment horizontal="center" vertical="center" wrapText="1"/>
    </xf>
    <xf numFmtId="0" fontId="19" fillId="37" borderId="3" xfId="0" applyFont="1" applyFill="1" applyBorder="1" applyAlignment="1">
      <alignment horizontal="center" vertical="center" wrapText="1"/>
    </xf>
    <xf numFmtId="0" fontId="19" fillId="37" borderId="4" xfId="0" applyFont="1" applyFill="1" applyBorder="1" applyAlignment="1">
      <alignment horizontal="center" vertical="center" wrapText="1"/>
    </xf>
    <xf numFmtId="0" fontId="19" fillId="37" borderId="6" xfId="0" applyFont="1" applyFill="1" applyBorder="1" applyAlignment="1">
      <alignment horizontal="center" vertical="center" wrapText="1"/>
    </xf>
    <xf numFmtId="0" fontId="19" fillId="37" borderId="0" xfId="0" applyFont="1" applyFill="1" applyBorder="1" applyAlignment="1">
      <alignment horizontal="center" vertical="center" wrapText="1"/>
    </xf>
    <xf numFmtId="0" fontId="19" fillId="37" borderId="8" xfId="0" applyFont="1" applyFill="1" applyBorder="1" applyAlignment="1">
      <alignment horizontal="center" vertical="center" wrapText="1"/>
    </xf>
    <xf numFmtId="0" fontId="19" fillId="37" borderId="9" xfId="0" applyFont="1" applyFill="1" applyBorder="1" applyAlignment="1">
      <alignment horizontal="center" vertical="center" wrapText="1"/>
    </xf>
    <xf numFmtId="0" fontId="19" fillId="37" borderId="12" xfId="0" applyFont="1" applyFill="1" applyBorder="1" applyAlignment="1">
      <alignment horizontal="center" vertical="center" wrapText="1"/>
    </xf>
    <xf numFmtId="0" fontId="18" fillId="37" borderId="93" xfId="0" applyFont="1" applyFill="1" applyBorder="1" applyAlignment="1">
      <alignment horizontal="center" vertical="center" wrapText="1"/>
    </xf>
    <xf numFmtId="0" fontId="18" fillId="37" borderId="36" xfId="0" applyFont="1" applyFill="1" applyBorder="1" applyAlignment="1">
      <alignment horizontal="center" vertical="center" wrapText="1"/>
    </xf>
    <xf numFmtId="0" fontId="18" fillId="37" borderId="101" xfId="0" applyFont="1" applyFill="1" applyBorder="1" applyAlignment="1">
      <alignment horizontal="center" vertical="center" wrapText="1"/>
    </xf>
    <xf numFmtId="0" fontId="18" fillId="37" borderId="4" xfId="0" applyFont="1" applyFill="1" applyBorder="1" applyAlignment="1">
      <alignment horizontal="center" vertical="center" wrapText="1"/>
    </xf>
    <xf numFmtId="0" fontId="21" fillId="37" borderId="6" xfId="0" applyFont="1" applyFill="1" applyBorder="1" applyAlignment="1">
      <alignment horizontal="center" vertical="center" wrapText="1"/>
    </xf>
    <xf numFmtId="0" fontId="21" fillId="37" borderId="0" xfId="0" applyFont="1" applyFill="1" applyBorder="1" applyAlignment="1">
      <alignment horizontal="center" vertical="center" wrapText="1"/>
    </xf>
    <xf numFmtId="0" fontId="18" fillId="37" borderId="171" xfId="0" applyFont="1" applyFill="1" applyBorder="1" applyAlignment="1">
      <alignment horizontal="center" vertical="center" wrapText="1"/>
    </xf>
    <xf numFmtId="0" fontId="18" fillId="37" borderId="20" xfId="0" applyFont="1" applyFill="1" applyBorder="1" applyAlignment="1">
      <alignment horizontal="center" vertical="center" wrapText="1"/>
    </xf>
    <xf numFmtId="0" fontId="18" fillId="37" borderId="21" xfId="0" applyFont="1" applyFill="1" applyBorder="1" applyAlignment="1">
      <alignment horizontal="center" vertical="center" wrapText="1"/>
    </xf>
    <xf numFmtId="0" fontId="18" fillId="37" borderId="6" xfId="0" applyFont="1" applyFill="1" applyBorder="1" applyAlignment="1">
      <alignment horizontal="center" vertical="center" wrapText="1"/>
    </xf>
    <xf numFmtId="0" fontId="18" fillId="37" borderId="11" xfId="0" applyFont="1" applyFill="1" applyBorder="1" applyAlignment="1">
      <alignment horizontal="center" vertical="center" wrapText="1"/>
    </xf>
    <xf numFmtId="0" fontId="18" fillId="37" borderId="12" xfId="0" applyFont="1" applyFill="1" applyBorder="1" applyAlignment="1">
      <alignment horizontal="center" vertical="center" wrapText="1"/>
    </xf>
    <xf numFmtId="0" fontId="18" fillId="37" borderId="25" xfId="0" applyFont="1" applyFill="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8" fillId="0" borderId="88" xfId="0" applyFont="1" applyBorder="1" applyAlignment="1">
      <alignment horizontal="center" vertical="center" wrapText="1"/>
    </xf>
    <xf numFmtId="0" fontId="18" fillId="0" borderId="136" xfId="0" applyFont="1" applyBorder="1" applyAlignment="1">
      <alignment horizontal="center" vertical="center" wrapText="1"/>
    </xf>
    <xf numFmtId="0" fontId="18" fillId="0" borderId="169" xfId="0" applyFont="1" applyBorder="1" applyAlignment="1">
      <alignment horizontal="center" vertical="center" wrapText="1"/>
    </xf>
    <xf numFmtId="0" fontId="18" fillId="37" borderId="5" xfId="0" applyFont="1" applyFill="1" applyBorder="1" applyAlignment="1">
      <alignment horizontal="center" vertical="center" wrapText="1"/>
    </xf>
    <xf numFmtId="0" fontId="18" fillId="37" borderId="7" xfId="0" applyFont="1" applyFill="1" applyBorder="1" applyAlignment="1">
      <alignment horizontal="center" vertical="center" wrapText="1"/>
    </xf>
    <xf numFmtId="0" fontId="4" fillId="24" borderId="14" xfId="0" applyNumberFormat="1" applyFont="1" applyFill="1" applyBorder="1" applyAlignment="1">
      <alignment horizontal="center"/>
    </xf>
    <xf numFmtId="167" fontId="4" fillId="24" borderId="14" xfId="0" applyNumberFormat="1" applyFont="1" applyFill="1" applyBorder="1" applyAlignment="1">
      <alignment horizontal="center"/>
    </xf>
    <xf numFmtId="0" fontId="68" fillId="52" borderId="52" xfId="0" applyFont="1" applyFill="1" applyBorder="1" applyAlignment="1">
      <alignment horizontal="center" vertical="center" wrapText="1"/>
    </xf>
    <xf numFmtId="0" fontId="68" fillId="52" borderId="48" xfId="0" applyFont="1" applyFill="1" applyBorder="1" applyAlignment="1">
      <alignment horizontal="center" vertical="center" wrapText="1"/>
    </xf>
    <xf numFmtId="0" fontId="68" fillId="52" borderId="49" xfId="0" applyFont="1" applyFill="1" applyBorder="1" applyAlignment="1">
      <alignment horizontal="center" vertical="center" wrapText="1"/>
    </xf>
    <xf numFmtId="0" fontId="68" fillId="52" borderId="53" xfId="0" applyFont="1" applyFill="1" applyBorder="1" applyAlignment="1">
      <alignment horizontal="center" vertical="center" wrapText="1"/>
    </xf>
    <xf numFmtId="0" fontId="68" fillId="52" borderId="54" xfId="0" applyFont="1" applyFill="1" applyBorder="1" applyAlignment="1">
      <alignment horizontal="center" vertical="center" wrapText="1"/>
    </xf>
    <xf numFmtId="17" fontId="4" fillId="24" borderId="14" xfId="0" applyNumberFormat="1" applyFont="1" applyFill="1" applyBorder="1" applyAlignment="1">
      <alignment horizontal="center"/>
    </xf>
    <xf numFmtId="0" fontId="68" fillId="51" borderId="41" xfId="0" applyFont="1" applyFill="1" applyBorder="1" applyAlignment="1">
      <alignment horizontal="center" vertical="center" wrapText="1"/>
    </xf>
    <xf numFmtId="0" fontId="68" fillId="51" borderId="42" xfId="0" applyFont="1" applyFill="1" applyBorder="1" applyAlignment="1">
      <alignment horizontal="center" vertical="center" wrapText="1"/>
    </xf>
    <xf numFmtId="0" fontId="68" fillId="51" borderId="47" xfId="0" applyFont="1" applyFill="1" applyBorder="1" applyAlignment="1">
      <alignment horizontal="center" vertical="center" wrapText="1"/>
    </xf>
    <xf numFmtId="0" fontId="68" fillId="51" borderId="48" xfId="0" applyFont="1" applyFill="1" applyBorder="1" applyAlignment="1">
      <alignment horizontal="center" vertical="center" wrapText="1"/>
    </xf>
    <xf numFmtId="0" fontId="68" fillId="52" borderId="50" xfId="0" applyFont="1" applyFill="1" applyBorder="1" applyAlignment="1">
      <alignment horizontal="center" vertical="center" wrapText="1"/>
    </xf>
    <xf numFmtId="0" fontId="68" fillId="52" borderId="45" xfId="0" applyFont="1" applyFill="1" applyBorder="1" applyAlignment="1">
      <alignment horizontal="center" vertical="center" wrapText="1"/>
    </xf>
    <xf numFmtId="0" fontId="68" fillId="52" borderId="44" xfId="0" applyFont="1" applyFill="1" applyBorder="1" applyAlignment="1">
      <alignment horizontal="center" vertical="center" wrapText="1"/>
    </xf>
    <xf numFmtId="0" fontId="71" fillId="47" borderId="107" xfId="0" applyFont="1" applyFill="1" applyBorder="1" applyAlignment="1">
      <alignment horizontal="center" vertical="center" wrapText="1"/>
    </xf>
    <xf numFmtId="0" fontId="71" fillId="47" borderId="0" xfId="0" applyFont="1" applyFill="1" applyAlignment="1">
      <alignment horizontal="center" vertical="center" wrapText="1"/>
    </xf>
    <xf numFmtId="0" fontId="71" fillId="47" borderId="122" xfId="0" applyFont="1" applyFill="1" applyBorder="1" applyAlignment="1">
      <alignment horizontal="center" vertical="center" wrapText="1"/>
    </xf>
    <xf numFmtId="0" fontId="68" fillId="47" borderId="113" xfId="0" applyFont="1" applyFill="1" applyBorder="1" applyAlignment="1">
      <alignment horizontal="center" vertical="center" wrapText="1"/>
    </xf>
    <xf numFmtId="0" fontId="68" fillId="47" borderId="114" xfId="0" applyFont="1" applyFill="1" applyBorder="1" applyAlignment="1">
      <alignment horizontal="center" vertical="center" wrapText="1"/>
    </xf>
    <xf numFmtId="0" fontId="68" fillId="47" borderId="119" xfId="0" applyFont="1" applyFill="1" applyBorder="1" applyAlignment="1">
      <alignment horizontal="center" vertical="center" wrapText="1"/>
    </xf>
    <xf numFmtId="0" fontId="68" fillId="47" borderId="121" xfId="0" applyFont="1" applyFill="1" applyBorder="1" applyAlignment="1">
      <alignment horizontal="center" vertical="center" wrapText="1"/>
    </xf>
    <xf numFmtId="0" fontId="68" fillId="47" borderId="0" xfId="0" applyFont="1" applyFill="1" applyAlignment="1">
      <alignment horizontal="center" vertical="center" wrapText="1"/>
    </xf>
    <xf numFmtId="0" fontId="68" fillId="47" borderId="129" xfId="0" applyFont="1" applyFill="1" applyBorder="1" applyAlignment="1">
      <alignment horizontal="center" vertical="center" wrapText="1"/>
    </xf>
    <xf numFmtId="0" fontId="64" fillId="0" borderId="106" xfId="0" applyFont="1" applyBorder="1" applyAlignment="1">
      <alignment horizontal="center"/>
    </xf>
    <xf numFmtId="0" fontId="64" fillId="0" borderId="107" xfId="0" applyFont="1" applyBorder="1" applyAlignment="1">
      <alignment horizontal="center"/>
    </xf>
    <xf numFmtId="0" fontId="68" fillId="47" borderId="116" xfId="0" applyFont="1" applyFill="1" applyBorder="1" applyAlignment="1">
      <alignment horizontal="center" vertical="center" wrapText="1"/>
    </xf>
    <xf numFmtId="0" fontId="68" fillId="47" borderId="117" xfId="0" applyFont="1" applyFill="1" applyBorder="1" applyAlignment="1">
      <alignment horizontal="center" vertical="center" wrapText="1"/>
    </xf>
    <xf numFmtId="0" fontId="68" fillId="47" borderId="120" xfId="0" applyFont="1" applyFill="1" applyBorder="1" applyAlignment="1">
      <alignment horizontal="center" vertical="center" wrapText="1"/>
    </xf>
    <xf numFmtId="0" fontId="5" fillId="18" borderId="108" xfId="0" applyFont="1" applyFill="1" applyBorder="1" applyAlignment="1">
      <alignment horizontal="center" vertical="center" wrapText="1"/>
    </xf>
    <xf numFmtId="0" fontId="6" fillId="18" borderId="108" xfId="0" applyFont="1" applyFill="1" applyBorder="1" applyAlignment="1">
      <alignment horizontal="center" vertical="center" wrapText="1"/>
    </xf>
    <xf numFmtId="0" fontId="68" fillId="47" borderId="115" xfId="0" applyFont="1" applyFill="1" applyBorder="1" applyAlignment="1">
      <alignment horizontal="center" vertical="center" wrapText="1"/>
    </xf>
    <xf numFmtId="0" fontId="68" fillId="47" borderId="118" xfId="0" applyFont="1" applyFill="1" applyBorder="1" applyAlignment="1">
      <alignment horizontal="center" vertical="center" wrapText="1"/>
    </xf>
    <xf numFmtId="0" fontId="5" fillId="34" borderId="108" xfId="0" applyFont="1" applyFill="1" applyBorder="1" applyAlignment="1">
      <alignment horizontal="center" vertical="center" wrapText="1"/>
    </xf>
    <xf numFmtId="0" fontId="68" fillId="53" borderId="51" xfId="0" applyFont="1" applyFill="1" applyBorder="1" applyAlignment="1">
      <alignment horizontal="center" vertical="center" wrapText="1"/>
    </xf>
    <xf numFmtId="0" fontId="68" fillId="53" borderId="123" xfId="0" applyFont="1" applyFill="1" applyBorder="1" applyAlignment="1">
      <alignment horizontal="center" vertical="center" wrapText="1"/>
    </xf>
    <xf numFmtId="1" fontId="0" fillId="34" borderId="141" xfId="0" applyNumberFormat="1" applyFill="1" applyBorder="1" applyAlignment="1" applyProtection="1">
      <alignment horizontal="center"/>
    </xf>
    <xf numFmtId="1" fontId="0" fillId="34" borderId="124" xfId="0" applyNumberFormat="1" applyFill="1" applyBorder="1" applyAlignment="1" applyProtection="1">
      <alignment horizontal="center"/>
    </xf>
    <xf numFmtId="1" fontId="0" fillId="34" borderId="142" xfId="0" applyNumberFormat="1" applyFill="1" applyBorder="1" applyAlignment="1" applyProtection="1">
      <alignment horizontal="center"/>
    </xf>
    <xf numFmtId="0" fontId="0" fillId="38" borderId="19" xfId="0" applyFill="1" applyBorder="1" applyAlignment="1">
      <alignment horizontal="center" vertical="top" wrapText="1"/>
    </xf>
    <xf numFmtId="0" fontId="0" fillId="38" borderId="20" xfId="0" applyFill="1" applyBorder="1" applyAlignment="1">
      <alignment horizontal="center" vertical="top" wrapText="1"/>
    </xf>
    <xf numFmtId="0" fontId="0" fillId="38" borderId="21" xfId="0" applyFill="1" applyBorder="1" applyAlignment="1">
      <alignment horizontal="center" vertical="top" wrapText="1"/>
    </xf>
    <xf numFmtId="0" fontId="0" fillId="38" borderId="24" xfId="0" applyFill="1" applyBorder="1" applyAlignment="1">
      <alignment horizontal="center" vertical="top" wrapText="1"/>
    </xf>
    <xf numFmtId="0" fontId="0" fillId="38" borderId="12" xfId="0" applyFill="1" applyBorder="1" applyAlignment="1">
      <alignment horizontal="center" vertical="top" wrapText="1"/>
    </xf>
    <xf numFmtId="0" fontId="0" fillId="38" borderId="25" xfId="0" applyFill="1" applyBorder="1" applyAlignment="1">
      <alignment horizontal="center" vertical="top" wrapText="1"/>
    </xf>
    <xf numFmtId="0" fontId="0" fillId="38" borderId="19" xfId="0" applyFill="1" applyBorder="1" applyAlignment="1">
      <alignment horizontal="left" vertical="center" wrapText="1"/>
    </xf>
    <xf numFmtId="0" fontId="0" fillId="38" borderId="20" xfId="0" applyFill="1" applyBorder="1" applyAlignment="1">
      <alignment horizontal="left" vertical="center" wrapText="1"/>
    </xf>
    <xf numFmtId="0" fontId="0" fillId="38" borderId="21" xfId="0" applyFill="1" applyBorder="1" applyAlignment="1">
      <alignment horizontal="left" vertical="center" wrapText="1"/>
    </xf>
    <xf numFmtId="0" fontId="0" fillId="38" borderId="24" xfId="0" applyFill="1" applyBorder="1" applyAlignment="1">
      <alignment horizontal="left" vertical="center" wrapText="1"/>
    </xf>
    <xf numFmtId="0" fontId="0" fillId="38" borderId="12" xfId="0" applyFill="1" applyBorder="1" applyAlignment="1">
      <alignment horizontal="left" vertical="center" wrapText="1"/>
    </xf>
    <xf numFmtId="0" fontId="0" fillId="38" borderId="25" xfId="0" applyFill="1" applyBorder="1" applyAlignment="1">
      <alignment horizontal="left" vertical="center" wrapText="1"/>
    </xf>
    <xf numFmtId="0" fontId="6" fillId="9" borderId="41" xfId="0" applyFont="1" applyFill="1" applyBorder="1" applyAlignment="1">
      <alignment horizontal="center" vertical="center" wrapText="1"/>
    </xf>
    <xf numFmtId="0" fontId="6" fillId="9" borderId="42" xfId="0" applyFont="1" applyFill="1" applyBorder="1" applyAlignment="1">
      <alignment horizontal="center" vertical="center" wrapText="1"/>
    </xf>
    <xf numFmtId="0" fontId="6" fillId="9" borderId="47" xfId="0" applyFont="1" applyFill="1" applyBorder="1" applyAlignment="1">
      <alignment horizontal="center" vertical="center" wrapText="1"/>
    </xf>
    <xf numFmtId="0" fontId="6" fillId="9" borderId="48" xfId="0" applyFont="1" applyFill="1" applyBorder="1" applyAlignment="1">
      <alignment horizontal="center" vertical="center" wrapText="1"/>
    </xf>
    <xf numFmtId="1" fontId="0" fillId="38" borderId="141" xfId="0" applyNumberFormat="1" applyFill="1" applyBorder="1" applyAlignment="1" applyProtection="1">
      <alignment horizontal="center"/>
      <protection locked="0"/>
    </xf>
    <xf numFmtId="1" fontId="0" fillId="38" borderId="124" xfId="0" applyNumberFormat="1" applyFill="1" applyBorder="1" applyAlignment="1" applyProtection="1">
      <alignment horizontal="center"/>
      <protection locked="0"/>
    </xf>
    <xf numFmtId="1" fontId="0" fillId="38" borderId="142" xfId="0" applyNumberFormat="1" applyFill="1" applyBorder="1" applyAlignment="1" applyProtection="1">
      <alignment horizontal="center"/>
      <protection locked="0"/>
    </xf>
    <xf numFmtId="0" fontId="64" fillId="0" borderId="106" xfId="0" applyFont="1" applyBorder="1" applyAlignment="1">
      <alignment horizontal="center" vertical="center"/>
    </xf>
    <xf numFmtId="0" fontId="64" fillId="0" borderId="107" xfId="0" applyFont="1" applyBorder="1" applyAlignment="1">
      <alignment horizontal="center" vertical="center"/>
    </xf>
    <xf numFmtId="0" fontId="44" fillId="32" borderId="29" xfId="0" applyFont="1" applyFill="1" applyBorder="1" applyAlignment="1">
      <alignment horizontal="center" vertical="center" wrapText="1"/>
    </xf>
    <xf numFmtId="0" fontId="44" fillId="32" borderId="36" xfId="0" applyFont="1" applyFill="1" applyBorder="1" applyAlignment="1">
      <alignment horizontal="center" vertical="center" wrapText="1"/>
    </xf>
    <xf numFmtId="0" fontId="44" fillId="32" borderId="37" xfId="0" applyFont="1" applyFill="1" applyBorder="1" applyAlignment="1">
      <alignment horizontal="center" vertical="center" wrapText="1"/>
    </xf>
    <xf numFmtId="0" fontId="55" fillId="40" borderId="151" xfId="0" applyFont="1" applyFill="1" applyBorder="1" applyAlignment="1">
      <alignment horizontal="center" vertical="center" wrapText="1"/>
    </xf>
    <xf numFmtId="0" fontId="55" fillId="40" borderId="152" xfId="0" applyFont="1" applyFill="1" applyBorder="1" applyAlignment="1">
      <alignment horizontal="center" vertical="center" wrapText="1"/>
    </xf>
    <xf numFmtId="0" fontId="55" fillId="40" borderId="153" xfId="0" applyFont="1" applyFill="1" applyBorder="1" applyAlignment="1">
      <alignment horizontal="center" vertical="center" wrapText="1"/>
    </xf>
    <xf numFmtId="0" fontId="55" fillId="40" borderId="98" xfId="0" applyFont="1" applyFill="1" applyBorder="1" applyAlignment="1">
      <alignment horizontal="center" vertical="center" wrapText="1"/>
    </xf>
    <xf numFmtId="0" fontId="55" fillId="40" borderId="99" xfId="0" applyFont="1" applyFill="1" applyBorder="1" applyAlignment="1">
      <alignment horizontal="center" vertical="center" wrapText="1"/>
    </xf>
    <xf numFmtId="0" fontId="4" fillId="21" borderId="67" xfId="0" applyFont="1" applyFill="1" applyBorder="1" applyAlignment="1">
      <alignment horizontal="center" vertical="center" wrapText="1"/>
    </xf>
    <xf numFmtId="0" fontId="4" fillId="21" borderId="71" xfId="0" applyFont="1" applyFill="1" applyBorder="1" applyAlignment="1">
      <alignment horizontal="center" vertical="center" wrapText="1"/>
    </xf>
    <xf numFmtId="0" fontId="4" fillId="21" borderId="105" xfId="0" applyFont="1" applyFill="1" applyBorder="1" applyAlignment="1">
      <alignment horizontal="center" vertical="center" wrapText="1"/>
    </xf>
    <xf numFmtId="0" fontId="22" fillId="21" borderId="65" xfId="0" applyFont="1" applyFill="1" applyBorder="1" applyAlignment="1">
      <alignment horizontal="center" vertical="center" wrapText="1"/>
    </xf>
    <xf numFmtId="0" fontId="22" fillId="21" borderId="70" xfId="0" applyFont="1" applyFill="1" applyBorder="1" applyAlignment="1">
      <alignment horizontal="center" vertical="center" wrapText="1"/>
    </xf>
    <xf numFmtId="0" fontId="22" fillId="21" borderId="104" xfId="0" applyFont="1" applyFill="1" applyBorder="1" applyAlignment="1">
      <alignment horizontal="center" vertical="center" wrapText="1"/>
    </xf>
    <xf numFmtId="0" fontId="6" fillId="20" borderId="60" xfId="0" applyFont="1" applyFill="1" applyBorder="1" applyAlignment="1">
      <alignment horizontal="center" vertical="center" wrapText="1"/>
    </xf>
    <xf numFmtId="0" fontId="6" fillId="20" borderId="58" xfId="0" applyFont="1" applyFill="1" applyBorder="1" applyAlignment="1">
      <alignment horizontal="center" vertical="center" wrapText="1"/>
    </xf>
    <xf numFmtId="0" fontId="4" fillId="20" borderId="62" xfId="0" applyFont="1" applyFill="1" applyBorder="1" applyAlignment="1">
      <alignment horizontal="center" vertical="center" wrapText="1"/>
    </xf>
    <xf numFmtId="0" fontId="4" fillId="20" borderId="63" xfId="0" applyFont="1" applyFill="1" applyBorder="1" applyAlignment="1">
      <alignment horizontal="center" vertical="center" wrapText="1"/>
    </xf>
    <xf numFmtId="0" fontId="4" fillId="20" borderId="64" xfId="0" applyFont="1" applyFill="1" applyBorder="1" applyAlignment="1">
      <alignment horizontal="center" vertical="center" wrapText="1"/>
    </xf>
    <xf numFmtId="0" fontId="4" fillId="20" borderId="69" xfId="0" applyFont="1" applyFill="1" applyBorder="1" applyAlignment="1">
      <alignment horizontal="center" vertical="center" wrapText="1"/>
    </xf>
    <xf numFmtId="0" fontId="4" fillId="20" borderId="0" xfId="0" applyFont="1" applyFill="1" applyBorder="1" applyAlignment="1">
      <alignment horizontal="center" vertical="center" wrapText="1"/>
    </xf>
    <xf numFmtId="0" fontId="4" fillId="20" borderId="66" xfId="0" applyFont="1" applyFill="1" applyBorder="1" applyAlignment="1">
      <alignment horizontal="center" vertical="center" wrapText="1"/>
    </xf>
    <xf numFmtId="0" fontId="44" fillId="51" borderId="55" xfId="0" applyFont="1" applyFill="1" applyBorder="1" applyAlignment="1">
      <alignment horizontal="center" vertical="center" wrapText="1"/>
    </xf>
    <xf numFmtId="0" fontId="44" fillId="51" borderId="56" xfId="0" applyFont="1" applyFill="1" applyBorder="1" applyAlignment="1">
      <alignment horizontal="center" vertical="center" wrapText="1"/>
    </xf>
    <xf numFmtId="0" fontId="6" fillId="19" borderId="57" xfId="0" applyFont="1" applyFill="1" applyBorder="1" applyAlignment="1">
      <alignment horizontal="center" vertical="center" wrapText="1"/>
    </xf>
    <xf numFmtId="0" fontId="6" fillId="19" borderId="58" xfId="0" applyFont="1" applyFill="1" applyBorder="1" applyAlignment="1">
      <alignment horizontal="center" vertical="center" wrapText="1"/>
    </xf>
    <xf numFmtId="0" fontId="6" fillId="19" borderId="59" xfId="0" applyFont="1" applyFill="1" applyBorder="1" applyAlignment="1">
      <alignment horizontal="center" vertical="center" wrapText="1"/>
    </xf>
    <xf numFmtId="0" fontId="4" fillId="19" borderId="69" xfId="0" applyFont="1" applyFill="1" applyBorder="1" applyAlignment="1">
      <alignment horizontal="center" vertical="center" wrapText="1"/>
    </xf>
    <xf numFmtId="0" fontId="4" fillId="19" borderId="0" xfId="0" applyFont="1" applyFill="1" applyAlignment="1">
      <alignment horizontal="center" vertical="center" wrapText="1"/>
    </xf>
    <xf numFmtId="0" fontId="4" fillId="19" borderId="66" xfId="0" applyFont="1" applyFill="1" applyBorder="1" applyAlignment="1">
      <alignment horizontal="center" vertical="center" wrapText="1"/>
    </xf>
    <xf numFmtId="0" fontId="4" fillId="19" borderId="61" xfId="0" applyFont="1" applyFill="1" applyBorder="1" applyAlignment="1">
      <alignment horizontal="center" vertical="center" wrapText="1"/>
    </xf>
    <xf numFmtId="0" fontId="4" fillId="19" borderId="68" xfId="0" applyFont="1" applyFill="1" applyBorder="1" applyAlignment="1">
      <alignment horizontal="center" vertical="center" wrapText="1"/>
    </xf>
    <xf numFmtId="0" fontId="4" fillId="19" borderId="72" xfId="0" applyFont="1" applyFill="1" applyBorder="1" applyAlignment="1">
      <alignment horizontal="center" vertical="center" wrapText="1"/>
    </xf>
    <xf numFmtId="0" fontId="4" fillId="19" borderId="62" xfId="0" applyFont="1" applyFill="1" applyBorder="1" applyAlignment="1">
      <alignment horizontal="center" vertical="center" wrapText="1"/>
    </xf>
    <xf numFmtId="0" fontId="4" fillId="19" borderId="63" xfId="0" applyFont="1" applyFill="1" applyBorder="1" applyAlignment="1">
      <alignment horizontal="center" vertical="center" wrapText="1"/>
    </xf>
    <xf numFmtId="0" fontId="4" fillId="19" borderId="64" xfId="0" applyFont="1" applyFill="1" applyBorder="1" applyAlignment="1">
      <alignment horizontal="center" vertical="center" wrapText="1"/>
    </xf>
    <xf numFmtId="0" fontId="4" fillId="21" borderId="64" xfId="0" applyFont="1" applyFill="1" applyBorder="1" applyAlignment="1">
      <alignment horizontal="center" vertical="center" wrapText="1"/>
    </xf>
    <xf numFmtId="0" fontId="4" fillId="21" borderId="66" xfId="0" applyFont="1" applyFill="1" applyBorder="1" applyAlignment="1">
      <alignment horizontal="center" vertical="center" wrapText="1"/>
    </xf>
    <xf numFmtId="0" fontId="4" fillId="21" borderId="103" xfId="0" applyFont="1" applyFill="1" applyBorder="1" applyAlignment="1">
      <alignment horizontal="center" vertical="center" wrapText="1"/>
    </xf>
    <xf numFmtId="0" fontId="4" fillId="9" borderId="55" xfId="0" applyFont="1" applyFill="1" applyBorder="1" applyAlignment="1">
      <alignment horizontal="center" vertical="center" wrapText="1"/>
    </xf>
    <xf numFmtId="0" fontId="45" fillId="32" borderId="29" xfId="0" applyFont="1" applyFill="1" applyBorder="1" applyAlignment="1">
      <alignment horizontal="center" vertical="center" wrapText="1"/>
    </xf>
    <xf numFmtId="0" fontId="45" fillId="32" borderId="36" xfId="0" applyFont="1" applyFill="1" applyBorder="1" applyAlignment="1">
      <alignment horizontal="center" vertical="center" wrapText="1"/>
    </xf>
    <xf numFmtId="0" fontId="45" fillId="32" borderId="37" xfId="0" applyFont="1" applyFill="1" applyBorder="1" applyAlignment="1">
      <alignment horizontal="center" vertical="center" wrapText="1"/>
    </xf>
    <xf numFmtId="0" fontId="11" fillId="0" borderId="29" xfId="0" applyFont="1" applyBorder="1" applyAlignment="1">
      <alignment horizontal="center" vertical="center" wrapText="1"/>
    </xf>
    <xf numFmtId="0" fontId="11" fillId="0" borderId="37" xfId="0" applyFont="1" applyBorder="1" applyAlignment="1">
      <alignment horizontal="center" vertical="center" wrapText="1"/>
    </xf>
    <xf numFmtId="0" fontId="45" fillId="32" borderId="8" xfId="0" applyFont="1" applyFill="1" applyBorder="1" applyAlignment="1">
      <alignment horizontal="center" vertical="center" wrapText="1"/>
    </xf>
    <xf numFmtId="0" fontId="45" fillId="32"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44" fillId="32" borderId="3" xfId="0" applyFont="1" applyFill="1" applyBorder="1" applyAlignment="1">
      <alignment horizontal="center" vertical="center" wrapText="1"/>
    </xf>
    <xf numFmtId="0" fontId="44" fillId="32" borderId="5" xfId="0" applyFont="1" applyFill="1" applyBorder="1" applyAlignment="1">
      <alignment horizontal="center" vertical="center" wrapText="1"/>
    </xf>
    <xf numFmtId="0" fontId="55" fillId="40" borderId="146" xfId="0" applyFont="1" applyFill="1" applyBorder="1" applyAlignment="1">
      <alignment horizontal="center" vertical="center" wrapText="1"/>
    </xf>
    <xf numFmtId="0" fontId="55" fillId="40" borderId="147" xfId="0" applyFont="1" applyFill="1" applyBorder="1" applyAlignment="1">
      <alignment horizontal="center" vertical="center" wrapText="1"/>
    </xf>
    <xf numFmtId="0" fontId="43" fillId="32" borderId="3" xfId="0" applyFont="1" applyFill="1" applyBorder="1" applyAlignment="1">
      <alignment horizontal="center" vertical="center" wrapText="1"/>
    </xf>
    <xf numFmtId="0" fontId="43" fillId="32" borderId="4" xfId="0" applyFont="1" applyFill="1" applyBorder="1" applyAlignment="1">
      <alignment horizontal="center" vertical="center" wrapText="1"/>
    </xf>
    <xf numFmtId="0" fontId="43" fillId="32" borderId="5" xfId="0" applyFont="1" applyFill="1" applyBorder="1" applyAlignment="1">
      <alignment horizontal="center" vertical="center" wrapText="1"/>
    </xf>
    <xf numFmtId="0" fontId="54" fillId="40" borderId="96" xfId="0" applyFont="1" applyFill="1" applyBorder="1" applyAlignment="1">
      <alignment horizontal="center" vertical="center" wrapText="1"/>
    </xf>
    <xf numFmtId="0" fontId="54" fillId="40" borderId="97" xfId="0" applyFont="1" applyFill="1" applyBorder="1" applyAlignment="1">
      <alignment horizontal="center" vertical="center" wrapText="1"/>
    </xf>
    <xf numFmtId="0" fontId="19" fillId="9" borderId="37" xfId="0" applyFont="1" applyFill="1" applyBorder="1" applyAlignment="1">
      <alignment vertical="center" wrapText="1"/>
    </xf>
    <xf numFmtId="0" fontId="15" fillId="0" borderId="40" xfId="0" applyFont="1" applyBorder="1" applyAlignment="1">
      <alignment horizontal="center" vertical="center" textRotation="90"/>
    </xf>
    <xf numFmtId="0" fontId="15" fillId="0" borderId="38" xfId="0" applyFont="1" applyBorder="1" applyAlignment="1">
      <alignment horizontal="center" vertical="center" textRotation="90"/>
    </xf>
    <xf numFmtId="10" fontId="39" fillId="17" borderId="15" xfId="2" applyNumberFormat="1" applyFont="1" applyFill="1" applyBorder="1" applyAlignment="1" applyProtection="1">
      <alignment horizontal="center" vertical="center"/>
      <protection locked="0"/>
    </xf>
    <xf numFmtId="10" fontId="39" fillId="17" borderId="14" xfId="2" applyNumberFormat="1" applyFont="1" applyFill="1" applyBorder="1" applyAlignment="1" applyProtection="1">
      <alignment horizontal="center" vertical="center"/>
      <protection locked="0"/>
    </xf>
    <xf numFmtId="10" fontId="39" fillId="17" borderId="90" xfId="2" applyNumberFormat="1" applyFont="1" applyFill="1" applyBorder="1" applyAlignment="1" applyProtection="1">
      <alignment horizontal="center" vertical="center"/>
      <protection locked="0"/>
    </xf>
    <xf numFmtId="0" fontId="19" fillId="9" borderId="9" xfId="0" applyFont="1" applyFill="1" applyBorder="1" applyAlignment="1">
      <alignment vertical="center" wrapText="1"/>
    </xf>
    <xf numFmtId="168" fontId="9" fillId="24" borderId="160" xfId="2" applyNumberFormat="1" applyFont="1" applyFill="1" applyBorder="1" applyAlignment="1" applyProtection="1">
      <alignment horizontal="center" vertical="center"/>
    </xf>
    <xf numFmtId="168" fontId="9" fillId="24" borderId="161" xfId="2" applyNumberFormat="1" applyFont="1" applyFill="1" applyBorder="1" applyAlignment="1" applyProtection="1">
      <alignment horizontal="center" vertical="center"/>
    </xf>
    <xf numFmtId="168" fontId="9" fillId="24" borderId="162" xfId="2" applyNumberFormat="1" applyFont="1" applyFill="1" applyBorder="1" applyAlignment="1" applyProtection="1">
      <alignment horizontal="center" vertical="center"/>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9" fillId="9" borderId="0" xfId="0" applyFont="1" applyFill="1" applyAlignment="1">
      <alignment vertical="center" wrapText="1"/>
    </xf>
    <xf numFmtId="0" fontId="19" fillId="9" borderId="7" xfId="0" applyFont="1" applyFill="1" applyBorder="1" applyAlignment="1">
      <alignment vertical="center" wrapText="1"/>
    </xf>
    <xf numFmtId="17" fontId="4" fillId="24" borderId="14" xfId="0" applyNumberFormat="1" applyFont="1" applyFill="1" applyBorder="1" applyAlignment="1">
      <alignment horizontal="left"/>
    </xf>
    <xf numFmtId="167" fontId="4" fillId="24" borderId="14" xfId="0" applyNumberFormat="1" applyFont="1" applyFill="1" applyBorder="1" applyAlignment="1">
      <alignment horizontal="left"/>
    </xf>
    <xf numFmtId="168" fontId="9" fillId="24" borderId="128" xfId="2" applyNumberFormat="1" applyFont="1" applyFill="1" applyBorder="1" applyAlignment="1" applyProtection="1">
      <alignment horizontal="center" vertical="center"/>
    </xf>
    <xf numFmtId="0" fontId="8" fillId="30" borderId="0" xfId="0" applyFont="1" applyFill="1" applyAlignment="1">
      <alignment horizontal="center"/>
    </xf>
    <xf numFmtId="0" fontId="16" fillId="17" borderId="37" xfId="0" applyFont="1" applyFill="1" applyBorder="1" applyAlignment="1">
      <alignment horizontal="center" vertical="center" wrapText="1"/>
    </xf>
    <xf numFmtId="0" fontId="15" fillId="0" borderId="39"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8" xfId="0" applyFont="1" applyBorder="1" applyAlignment="1">
      <alignment horizontal="center" vertical="center" textRotation="90"/>
    </xf>
    <xf numFmtId="0" fontId="19" fillId="9" borderId="8" xfId="0" applyFont="1" applyFill="1" applyBorder="1" applyAlignment="1">
      <alignment vertical="center" wrapText="1"/>
    </xf>
    <xf numFmtId="0" fontId="19" fillId="9" borderId="10" xfId="0" applyFont="1" applyFill="1" applyBorder="1" applyAlignment="1">
      <alignment vertical="center" wrapText="1"/>
    </xf>
    <xf numFmtId="10" fontId="39" fillId="17" borderId="11" xfId="2" applyNumberFormat="1" applyFont="1" applyFill="1" applyBorder="1" applyAlignment="1" applyProtection="1">
      <alignment horizontal="center" vertical="center"/>
      <protection locked="0"/>
    </xf>
    <xf numFmtId="10" fontId="39" fillId="17" borderId="25" xfId="2" applyNumberFormat="1" applyFont="1" applyFill="1" applyBorder="1" applyAlignment="1" applyProtection="1">
      <alignment horizontal="center" vertical="center"/>
      <protection locked="0"/>
    </xf>
    <xf numFmtId="173" fontId="29" fillId="29" borderId="0" xfId="0" applyNumberFormat="1" applyFont="1" applyFill="1" applyBorder="1" applyAlignment="1">
      <alignment vertical="top"/>
    </xf>
    <xf numFmtId="173" fontId="29" fillId="29" borderId="0" xfId="0" applyNumberFormat="1" applyFont="1" applyFill="1" applyBorder="1"/>
    <xf numFmtId="173" fontId="64" fillId="43" borderId="1" xfId="0" applyNumberFormat="1" applyFont="1" applyFill="1" applyBorder="1" applyAlignment="1">
      <alignment horizontal="center" vertical="center" wrapText="1"/>
    </xf>
    <xf numFmtId="173" fontId="0" fillId="24" borderId="17" xfId="0" applyNumberFormat="1" applyFill="1" applyBorder="1" applyAlignment="1">
      <alignment horizontal="center" wrapText="1"/>
    </xf>
    <xf numFmtId="173" fontId="0" fillId="24" borderId="2" xfId="0" applyNumberFormat="1" applyFill="1" applyBorder="1" applyAlignment="1">
      <alignment horizontal="center" wrapText="1"/>
    </xf>
    <xf numFmtId="173" fontId="0" fillId="35" borderId="0" xfId="0" applyNumberFormat="1" applyFill="1"/>
    <xf numFmtId="173" fontId="0" fillId="24" borderId="1" xfId="0" applyNumberFormat="1" applyFill="1" applyBorder="1" applyAlignment="1">
      <alignment wrapText="1"/>
    </xf>
    <xf numFmtId="173" fontId="0" fillId="24" borderId="1" xfId="0" applyNumberFormat="1" applyFill="1" applyBorder="1" applyAlignment="1">
      <alignment horizontal="center" vertical="center"/>
    </xf>
    <xf numFmtId="173" fontId="0" fillId="24" borderId="1" xfId="0" applyNumberFormat="1" applyFill="1" applyBorder="1" applyAlignment="1">
      <alignment vertical="center"/>
    </xf>
    <xf numFmtId="173" fontId="0" fillId="2" borderId="0" xfId="0" applyNumberFormat="1" applyFill="1" applyBorder="1"/>
    <xf numFmtId="173" fontId="0" fillId="24" borderId="17" xfId="0" applyNumberFormat="1" applyFill="1" applyBorder="1" applyAlignment="1">
      <alignment horizontal="center" vertical="center" wrapText="1"/>
    </xf>
    <xf numFmtId="173" fontId="0" fillId="24" borderId="2" xfId="0" applyNumberFormat="1" applyFill="1" applyBorder="1" applyAlignment="1">
      <alignment horizontal="center" vertical="center" wrapText="1"/>
    </xf>
    <xf numFmtId="173" fontId="0" fillId="2" borderId="0" xfId="0" applyNumberFormat="1" applyFill="1"/>
    <xf numFmtId="173" fontId="0" fillId="24" borderId="1" xfId="0" applyNumberFormat="1" applyFill="1" applyBorder="1"/>
    <xf numFmtId="173" fontId="1" fillId="2" borderId="2" xfId="0" applyNumberFormat="1" applyFont="1" applyFill="1" applyBorder="1" applyAlignment="1">
      <alignment vertical="center" textRotation="90" wrapText="1"/>
    </xf>
    <xf numFmtId="173" fontId="0" fillId="0" borderId="0" xfId="0" applyNumberFormat="1"/>
    <xf numFmtId="168" fontId="0" fillId="38" borderId="1" xfId="0" applyNumberFormat="1" applyFill="1" applyBorder="1" applyAlignment="1">
      <alignment horizontal="center" vertical="center"/>
    </xf>
    <xf numFmtId="168" fontId="0" fillId="38" borderId="15" xfId="0" applyNumberFormat="1" applyFill="1" applyBorder="1" applyAlignment="1">
      <alignment horizontal="center" vertical="center"/>
    </xf>
    <xf numFmtId="168" fontId="0" fillId="38" borderId="14" xfId="0" applyNumberFormat="1" applyFill="1" applyBorder="1" applyAlignment="1">
      <alignment horizontal="center" vertical="center"/>
    </xf>
    <xf numFmtId="168" fontId="0" fillId="38" borderId="16" xfId="0" applyNumberFormat="1" applyFill="1" applyBorder="1" applyAlignment="1">
      <alignment horizontal="center" vertical="center"/>
    </xf>
    <xf numFmtId="0" fontId="13" fillId="38" borderId="1" xfId="0" applyFont="1" applyFill="1" applyBorder="1" applyAlignment="1">
      <alignment horizontal="left" wrapText="1"/>
    </xf>
    <xf numFmtId="0" fontId="13" fillId="38" borderId="1" xfId="0" applyFont="1" applyFill="1" applyBorder="1" applyAlignment="1">
      <alignment horizontal="left" vertical="center" wrapText="1"/>
    </xf>
    <xf numFmtId="0" fontId="1" fillId="38" borderId="1" xfId="0" applyFont="1" applyFill="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cellXfs>
  <cellStyles count="3">
    <cellStyle name="Comma" xfId="1" builtinId="3"/>
    <cellStyle name="Normal" xfId="0" builtinId="0"/>
    <cellStyle name="Percent" xfId="2" builtinId="5"/>
  </cellStyles>
  <dxfs count="983">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ill>
        <patternFill>
          <bgColor rgb="FFFFFF00"/>
        </patternFill>
      </fill>
    </dxf>
    <dxf>
      <fill>
        <patternFill>
          <bgColor rgb="FFFFC000"/>
        </patternFill>
      </fill>
    </dxf>
    <dxf>
      <fill>
        <patternFill>
          <bgColor rgb="FFFF0000"/>
        </patternFill>
      </fill>
    </dxf>
    <dxf>
      <fill>
        <patternFill>
          <bgColor rgb="FFC00000"/>
        </patternFill>
      </fill>
    </dxf>
    <dxf>
      <fill>
        <patternFill>
          <bgColor rgb="FFFFC000"/>
        </patternFill>
      </fill>
    </dxf>
    <dxf>
      <fill>
        <patternFill>
          <bgColor theme="0" tint="-0.24994659260841701"/>
        </patternFill>
      </fill>
    </dxf>
    <dxf>
      <fill>
        <gradientFill>
          <stop position="0">
            <color rgb="FFFFC000"/>
          </stop>
          <stop position="1">
            <color rgb="FFC00000"/>
          </stop>
        </gradientFill>
      </fill>
    </dxf>
    <dxf>
      <fill>
        <patternFill>
          <bgColor rgb="FFFFFF00"/>
        </patternFill>
      </fill>
    </dxf>
    <dxf>
      <font>
        <color rgb="FFC80000"/>
      </font>
      <fill>
        <patternFill patternType="none">
          <bgColor auto="1"/>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theme="0"/>
      </font>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ont>
        <color rgb="FF9C0006"/>
      </font>
      <fill>
        <patternFill>
          <bgColor rgb="FFFFC7CE"/>
        </patternFill>
      </fill>
    </dxf>
    <dxf>
      <font>
        <color theme="0"/>
      </font>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0"/>
      </font>
    </dxf>
    <dxf>
      <font>
        <color theme="0"/>
      </font>
    </dxf>
    <dxf>
      <font>
        <color theme="0"/>
      </font>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ill>
        <patternFill>
          <bgColor rgb="FF92D050"/>
        </patternFill>
      </fill>
    </dxf>
    <dxf>
      <font>
        <color theme="0"/>
      </font>
    </dxf>
    <dxf>
      <fill>
        <gradientFill>
          <stop position="0">
            <color rgb="FF92D050"/>
          </stop>
          <stop position="1">
            <color rgb="FFFFFF00"/>
          </stop>
        </gradientFill>
      </fill>
    </dxf>
    <dxf>
      <fill>
        <patternFill>
          <bgColor rgb="FFFFC0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theme="0" tint="-0.24994659260841701"/>
        </patternFill>
      </fill>
    </dxf>
    <dxf>
      <fill>
        <patternFill>
          <bgColor rgb="FFC000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rgb="FFFFC000"/>
        </patternFill>
      </fill>
    </dxf>
    <dxf>
      <fill>
        <patternFill>
          <bgColor rgb="FFFFFF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b/>
        <i val="0"/>
        <color auto="1"/>
      </font>
      <fill>
        <patternFill>
          <bgColor theme="5" tint="-0.24994659260841701"/>
        </patternFill>
      </fill>
    </dxf>
    <dxf>
      <font>
        <b/>
        <i val="0"/>
      </font>
      <fill>
        <patternFill>
          <bgColor theme="5" tint="0.39994506668294322"/>
        </patternFill>
      </fill>
    </dxf>
    <dxf>
      <font>
        <b/>
        <i val="0"/>
      </font>
      <fill>
        <patternFill>
          <bgColor theme="5" tint="0.59996337778862885"/>
        </patternFill>
      </fill>
    </dxf>
    <dxf>
      <font>
        <b/>
        <i val="0"/>
      </font>
      <fill>
        <patternFill>
          <bgColor theme="9" tint="0.59996337778862885"/>
        </patternFill>
      </fill>
    </dxf>
    <dxf>
      <font>
        <b/>
        <i val="0"/>
      </font>
      <fill>
        <patternFill>
          <bgColor theme="9" tint="0.39994506668294322"/>
        </patternFill>
      </fill>
    </dxf>
    <dxf>
      <font>
        <b/>
        <i val="0"/>
      </font>
      <fill>
        <patternFill>
          <bgColor theme="9" tint="-0.24994659260841701"/>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000000"/>
      </font>
      <fill>
        <patternFill>
          <bgColor rgb="FFFCE4D6"/>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auto="1"/>
          <bgColor rgb="FF99FF99"/>
        </patternFill>
      </fill>
    </dxf>
    <dxf>
      <fill>
        <patternFill>
          <bgColor rgb="FFFFFF00"/>
        </patternFill>
      </fill>
    </dxf>
    <dxf>
      <fill>
        <patternFill>
          <fgColor auto="1"/>
          <bgColor rgb="FFFFC000"/>
        </patternFill>
      </fill>
    </dxf>
    <dxf>
      <fill>
        <patternFill>
          <bgColor rgb="FFFF0000"/>
        </patternFill>
      </fill>
    </dxf>
    <dxf>
      <fill>
        <patternFill>
          <bgColor rgb="FFC00000"/>
        </patternFill>
      </fill>
    </dxf>
    <dxf>
      <fill>
        <patternFill>
          <bgColor theme="0" tint="-0.24994659260841701"/>
        </patternFill>
      </fill>
    </dxf>
  </dxfs>
  <tableStyles count="0" defaultTableStyle="TableStyleMedium2" defaultPivotStyle="PivotStyleLight16"/>
  <colors>
    <mruColors>
      <color rgb="FF640000"/>
      <color rgb="FFC80000"/>
      <color rgb="FFE67800"/>
      <color rgb="FFFAE61E"/>
      <color rgb="FFCDFACD"/>
      <color rgb="FF99FF99"/>
      <color rgb="FF8EF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2</xdr:col>
      <xdr:colOff>2487082</xdr:colOff>
      <xdr:row>0</xdr:row>
      <xdr:rowOff>127001</xdr:rowOff>
    </xdr:from>
    <xdr:to>
      <xdr:col>3</xdr:col>
      <xdr:colOff>3206749</xdr:colOff>
      <xdr:row>3</xdr:row>
      <xdr:rowOff>317501</xdr:rowOff>
    </xdr:to>
    <xdr:sp macro="[0]!Cadre_Harmonise" textlink="">
      <xdr:nvSpPr>
        <xdr:cNvPr id="2" name="TextBox 1">
          <a:extLst>
            <a:ext uri="{FF2B5EF4-FFF2-40B4-BE49-F238E27FC236}">
              <a16:creationId xmlns:a16="http://schemas.microsoft.com/office/drawing/2014/main" id="{5EEEDE4C-74E6-41E3-9B87-B6477F2F2E1A}"/>
            </a:ext>
          </a:extLst>
        </xdr:cNvPr>
        <xdr:cNvSpPr txBox="1"/>
      </xdr:nvSpPr>
      <xdr:spPr>
        <a:xfrm>
          <a:off x="6159499" y="127001"/>
          <a:ext cx="3354917" cy="931333"/>
        </a:xfrm>
        <a:prstGeom prst="rect">
          <a:avLst/>
        </a:prstGeom>
        <a:ln/>
        <a:scene3d>
          <a:camera prst="orthographicFront"/>
          <a:lightRig rig="threePt" dir="t"/>
        </a:scene3d>
        <a:sp3d>
          <a:bevelT/>
        </a:sp3d>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pPr algn="ctr"/>
          <a:r>
            <a:rPr lang="fr-FR" sz="2400">
              <a:latin typeface="Times New Roman" panose="02020603050405020304" pitchFamily="18" charset="0"/>
              <a:cs typeface="Times New Roman" panose="02020603050405020304" pitchFamily="18" charset="0"/>
            </a:rPr>
            <a:t>Click Here to Fill Out Automatically</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tint="0.59999389629810485"/>
  </sheetPr>
  <dimension ref="A1:F32"/>
  <sheetViews>
    <sheetView view="pageBreakPreview" zoomScale="90" zoomScaleNormal="115" zoomScaleSheetLayoutView="90" workbookViewId="0">
      <selection activeCell="H5" sqref="H5"/>
    </sheetView>
  </sheetViews>
  <sheetFormatPr defaultColWidth="11.5703125" defaultRowHeight="15" x14ac:dyDescent="0.25"/>
  <cols>
    <col min="1" max="1" width="20.5703125" style="125" customWidth="1"/>
    <col min="2" max="2" width="34.42578125" customWidth="1"/>
    <col min="3" max="3" width="39.5703125" customWidth="1"/>
    <col min="4" max="4" width="52" customWidth="1"/>
    <col min="5" max="5" width="15.85546875" customWidth="1"/>
    <col min="6" max="6" width="13.5703125" customWidth="1"/>
  </cols>
  <sheetData>
    <row r="1" spans="1:6" ht="26.25" x14ac:dyDescent="0.4">
      <c r="A1" s="533" t="s">
        <v>71</v>
      </c>
      <c r="B1" s="534"/>
      <c r="C1" s="534"/>
      <c r="D1" s="534"/>
      <c r="E1" s="534"/>
      <c r="F1" s="534"/>
    </row>
    <row r="2" spans="1:6" ht="15.75" x14ac:dyDescent="0.25">
      <c r="A2" s="122"/>
      <c r="B2" s="59"/>
      <c r="C2" s="59"/>
      <c r="D2" s="59"/>
      <c r="E2" s="61" t="s">
        <v>78</v>
      </c>
      <c r="F2" s="208" t="s">
        <v>338</v>
      </c>
    </row>
    <row r="3" spans="1:6" ht="15.75" x14ac:dyDescent="0.25">
      <c r="A3" s="365" t="s">
        <v>72</v>
      </c>
      <c r="B3" s="62"/>
      <c r="C3" s="62"/>
      <c r="D3" s="70"/>
      <c r="E3" s="61"/>
      <c r="F3" s="61"/>
    </row>
    <row r="4" spans="1:6" ht="28.5" customHeight="1" x14ac:dyDescent="0.25">
      <c r="A4" s="209" t="s">
        <v>73</v>
      </c>
      <c r="B4" s="396" t="s">
        <v>367</v>
      </c>
      <c r="C4" s="63"/>
      <c r="D4" s="70"/>
      <c r="E4" s="61"/>
      <c r="F4" s="61"/>
    </row>
    <row r="5" spans="1:6" ht="63.95" customHeight="1" thickBot="1" x14ac:dyDescent="0.3">
      <c r="A5" s="123" t="s">
        <v>74</v>
      </c>
      <c r="B5" s="72" t="s">
        <v>75</v>
      </c>
      <c r="C5" s="72" t="s">
        <v>1</v>
      </c>
      <c r="D5" s="121" t="s">
        <v>76</v>
      </c>
      <c r="E5" s="71" t="s">
        <v>77</v>
      </c>
      <c r="F5" s="71" t="s">
        <v>79</v>
      </c>
    </row>
    <row r="6" spans="1:6" ht="108" x14ac:dyDescent="0.25">
      <c r="A6" s="196">
        <v>1</v>
      </c>
      <c r="B6" s="395" t="s">
        <v>281</v>
      </c>
      <c r="C6" s="197" t="s">
        <v>282</v>
      </c>
      <c r="D6" s="197" t="s">
        <v>283</v>
      </c>
      <c r="E6" s="198">
        <v>43739</v>
      </c>
      <c r="F6" s="397" t="s">
        <v>284</v>
      </c>
    </row>
    <row r="7" spans="1:6" ht="48" x14ac:dyDescent="0.25">
      <c r="A7" s="196">
        <v>2</v>
      </c>
      <c r="B7" s="197" t="s">
        <v>285</v>
      </c>
      <c r="C7" s="197" t="s">
        <v>286</v>
      </c>
      <c r="D7" s="197" t="s">
        <v>287</v>
      </c>
      <c r="E7" s="198" t="s">
        <v>288</v>
      </c>
      <c r="F7" s="398" t="s">
        <v>284</v>
      </c>
    </row>
    <row r="8" spans="1:6" ht="84" x14ac:dyDescent="0.25">
      <c r="A8" s="196">
        <v>3</v>
      </c>
      <c r="B8" s="197" t="s">
        <v>289</v>
      </c>
      <c r="C8" s="197" t="s">
        <v>290</v>
      </c>
      <c r="D8" s="197" t="s">
        <v>291</v>
      </c>
      <c r="E8" s="198">
        <v>43709</v>
      </c>
      <c r="F8" s="397">
        <v>43739</v>
      </c>
    </row>
    <row r="9" spans="1:6" ht="24" x14ac:dyDescent="0.25">
      <c r="A9" s="196">
        <v>4</v>
      </c>
      <c r="B9" s="197" t="s">
        <v>292</v>
      </c>
      <c r="C9" s="197" t="s">
        <v>293</v>
      </c>
      <c r="D9" s="197" t="s">
        <v>294</v>
      </c>
      <c r="E9" s="198" t="s">
        <v>295</v>
      </c>
      <c r="F9" s="397" t="s">
        <v>288</v>
      </c>
    </row>
    <row r="10" spans="1:6" ht="120" x14ac:dyDescent="0.25">
      <c r="A10" s="196">
        <v>5</v>
      </c>
      <c r="B10" s="197" t="s">
        <v>296</v>
      </c>
      <c r="C10" s="197" t="s">
        <v>297</v>
      </c>
      <c r="D10" s="197" t="s">
        <v>298</v>
      </c>
      <c r="E10" s="198"/>
      <c r="F10" s="397" t="s">
        <v>299</v>
      </c>
    </row>
    <row r="11" spans="1:6" ht="24" x14ac:dyDescent="0.25">
      <c r="A11" s="196">
        <v>6</v>
      </c>
      <c r="B11" s="197" t="s">
        <v>300</v>
      </c>
      <c r="C11" s="197" t="s">
        <v>301</v>
      </c>
      <c r="D11" s="197" t="s">
        <v>302</v>
      </c>
      <c r="E11" s="397" t="s">
        <v>284</v>
      </c>
      <c r="F11" s="397" t="s">
        <v>284</v>
      </c>
    </row>
    <row r="12" spans="1:6" ht="36" x14ac:dyDescent="0.25">
      <c r="A12" s="196">
        <v>7</v>
      </c>
      <c r="B12" s="197" t="s">
        <v>303</v>
      </c>
      <c r="C12" s="197" t="s">
        <v>304</v>
      </c>
      <c r="D12" s="197" t="s">
        <v>305</v>
      </c>
      <c r="E12" s="198" t="s">
        <v>306</v>
      </c>
      <c r="F12" s="397" t="s">
        <v>306</v>
      </c>
    </row>
    <row r="13" spans="1:6" ht="108" x14ac:dyDescent="0.25">
      <c r="A13" s="196">
        <v>8</v>
      </c>
      <c r="B13" s="197" t="s">
        <v>307</v>
      </c>
      <c r="C13" s="197" t="s">
        <v>308</v>
      </c>
      <c r="D13" s="197" t="s">
        <v>309</v>
      </c>
      <c r="E13" s="198" t="s">
        <v>310</v>
      </c>
      <c r="F13" s="397" t="s">
        <v>311</v>
      </c>
    </row>
    <row r="14" spans="1:6" ht="36" x14ac:dyDescent="0.25">
      <c r="A14" s="199">
        <v>9</v>
      </c>
      <c r="B14" s="197" t="s">
        <v>312</v>
      </c>
      <c r="C14" s="197" t="s">
        <v>301</v>
      </c>
      <c r="D14" s="197" t="s">
        <v>313</v>
      </c>
      <c r="E14" s="397" t="s">
        <v>299</v>
      </c>
      <c r="F14" s="397" t="s">
        <v>288</v>
      </c>
    </row>
    <row r="15" spans="1:6" ht="24" x14ac:dyDescent="0.25">
      <c r="A15" s="199">
        <v>10</v>
      </c>
      <c r="B15" s="197" t="s">
        <v>314</v>
      </c>
      <c r="C15" s="197" t="s">
        <v>315</v>
      </c>
      <c r="D15" s="197" t="s">
        <v>316</v>
      </c>
      <c r="E15" s="397" t="s">
        <v>288</v>
      </c>
      <c r="F15" s="397" t="s">
        <v>288</v>
      </c>
    </row>
    <row r="16" spans="1:6" ht="24" x14ac:dyDescent="0.25">
      <c r="A16" s="199">
        <v>11</v>
      </c>
      <c r="B16" s="197" t="s">
        <v>317</v>
      </c>
      <c r="C16" s="197" t="s">
        <v>315</v>
      </c>
      <c r="D16" s="197" t="s">
        <v>316</v>
      </c>
      <c r="E16" s="397" t="s">
        <v>306</v>
      </c>
      <c r="F16" s="397" t="s">
        <v>306</v>
      </c>
    </row>
    <row r="17" spans="1:6" ht="24" x14ac:dyDescent="0.25">
      <c r="A17" s="199">
        <v>12</v>
      </c>
      <c r="B17" s="197" t="s">
        <v>318</v>
      </c>
      <c r="C17" s="197" t="s">
        <v>293</v>
      </c>
      <c r="D17" s="197" t="s">
        <v>294</v>
      </c>
      <c r="E17" s="198" t="s">
        <v>319</v>
      </c>
      <c r="F17" s="198" t="s">
        <v>288</v>
      </c>
    </row>
    <row r="18" spans="1:6" ht="84" x14ac:dyDescent="0.25">
      <c r="A18" s="199">
        <v>13</v>
      </c>
      <c r="B18" s="197" t="s">
        <v>320</v>
      </c>
      <c r="C18" s="197" t="s">
        <v>321</v>
      </c>
      <c r="D18" s="197" t="s">
        <v>322</v>
      </c>
      <c r="E18" s="198" t="s">
        <v>323</v>
      </c>
      <c r="F18" s="198" t="s">
        <v>306</v>
      </c>
    </row>
    <row r="19" spans="1:6" ht="72" x14ac:dyDescent="0.25">
      <c r="A19" s="199">
        <v>14</v>
      </c>
      <c r="B19" s="197" t="s">
        <v>324</v>
      </c>
      <c r="C19" s="197" t="s">
        <v>297</v>
      </c>
      <c r="D19" s="197" t="s">
        <v>325</v>
      </c>
      <c r="E19" s="198" t="s">
        <v>326</v>
      </c>
      <c r="F19" s="198" t="s">
        <v>288</v>
      </c>
    </row>
    <row r="20" spans="1:6" x14ac:dyDescent="0.25">
      <c r="A20" s="199">
        <v>15</v>
      </c>
      <c r="B20" s="197" t="s">
        <v>327</v>
      </c>
      <c r="C20" s="197" t="s">
        <v>321</v>
      </c>
      <c r="D20" s="197" t="s">
        <v>328</v>
      </c>
      <c r="E20" s="198">
        <v>43709</v>
      </c>
      <c r="F20" s="198">
        <v>43709</v>
      </c>
    </row>
    <row r="21" spans="1:6" ht="72" x14ac:dyDescent="0.25">
      <c r="A21" s="199">
        <v>16</v>
      </c>
      <c r="B21" s="197" t="s">
        <v>329</v>
      </c>
      <c r="C21" s="197" t="s">
        <v>330</v>
      </c>
      <c r="D21" s="197" t="s">
        <v>331</v>
      </c>
      <c r="E21" s="198" t="s">
        <v>284</v>
      </c>
      <c r="F21" s="198" t="s">
        <v>284</v>
      </c>
    </row>
    <row r="22" spans="1:6" ht="24" x14ac:dyDescent="0.25">
      <c r="A22" s="199">
        <v>17</v>
      </c>
      <c r="B22" s="197" t="s">
        <v>332</v>
      </c>
      <c r="C22" s="197" t="s">
        <v>333</v>
      </c>
      <c r="D22" s="197" t="s">
        <v>334</v>
      </c>
      <c r="E22" s="198" t="s">
        <v>284</v>
      </c>
      <c r="F22" s="198" t="s">
        <v>284</v>
      </c>
    </row>
    <row r="23" spans="1:6" ht="60" x14ac:dyDescent="0.25">
      <c r="A23" s="199">
        <v>18</v>
      </c>
      <c r="B23" s="197" t="s">
        <v>335</v>
      </c>
      <c r="C23" s="197" t="s">
        <v>336</v>
      </c>
      <c r="D23" s="197" t="s">
        <v>337</v>
      </c>
      <c r="E23" s="198">
        <v>43709</v>
      </c>
      <c r="F23" s="198" t="s">
        <v>284</v>
      </c>
    </row>
    <row r="24" spans="1:6" x14ac:dyDescent="0.25">
      <c r="A24" s="199"/>
      <c r="B24" s="197"/>
      <c r="C24" s="197"/>
      <c r="D24" s="197"/>
      <c r="E24" s="198"/>
      <c r="F24" s="198"/>
    </row>
    <row r="25" spans="1:6" x14ac:dyDescent="0.25">
      <c r="A25" s="200"/>
      <c r="B25" s="197"/>
      <c r="C25" s="197"/>
      <c r="D25" s="197"/>
      <c r="E25" s="201"/>
      <c r="F25" s="201"/>
    </row>
    <row r="26" spans="1:6" x14ac:dyDescent="0.25">
      <c r="A26" s="200"/>
      <c r="B26" s="197"/>
      <c r="C26" s="197"/>
      <c r="D26" s="197"/>
      <c r="E26" s="201"/>
      <c r="F26" s="201"/>
    </row>
    <row r="27" spans="1:6" x14ac:dyDescent="0.25">
      <c r="A27" s="200"/>
      <c r="B27" s="202"/>
      <c r="C27" s="202"/>
      <c r="D27" s="202"/>
      <c r="E27" s="201"/>
      <c r="F27" s="201"/>
    </row>
    <row r="28" spans="1:6" x14ac:dyDescent="0.25">
      <c r="A28" s="200"/>
      <c r="B28" s="202"/>
      <c r="C28" s="202"/>
      <c r="D28" s="202"/>
      <c r="E28" s="201"/>
      <c r="F28" s="201"/>
    </row>
    <row r="29" spans="1:6" x14ac:dyDescent="0.25">
      <c r="A29" s="200"/>
      <c r="B29" s="202"/>
      <c r="C29" s="202"/>
      <c r="D29" s="202"/>
      <c r="E29" s="201"/>
      <c r="F29" s="201"/>
    </row>
    <row r="30" spans="1:6" x14ac:dyDescent="0.25">
      <c r="A30" s="200"/>
      <c r="B30" s="202"/>
      <c r="C30" s="202"/>
      <c r="D30" s="202"/>
      <c r="E30" s="201"/>
      <c r="F30" s="201"/>
    </row>
    <row r="31" spans="1:6" x14ac:dyDescent="0.25">
      <c r="A31" s="199"/>
      <c r="B31" s="202"/>
      <c r="C31" s="202"/>
      <c r="D31" s="202"/>
      <c r="E31" s="201"/>
      <c r="F31" s="201"/>
    </row>
    <row r="32" spans="1:6" ht="15.75" x14ac:dyDescent="0.25">
      <c r="A32" s="124"/>
      <c r="B32" s="5"/>
      <c r="C32" s="5"/>
      <c r="D32" s="5"/>
      <c r="E32" s="5"/>
      <c r="F32" s="5"/>
    </row>
  </sheetData>
  <sheetProtection formatCells="0" formatColumns="0" formatRows="0" insertRows="0"/>
  <protectedRanges>
    <protectedRange sqref="A6:F31" name="Range1"/>
    <protectedRange sqref="B4" name="Range2"/>
    <protectedRange sqref="F2" name="Range3"/>
  </protectedRanges>
  <mergeCells count="1">
    <mergeCell ref="A1:F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7"/>
  <sheetViews>
    <sheetView zoomScale="80" zoomScaleNormal="80" zoomScaleSheetLayoutView="100" workbookViewId="0">
      <selection activeCell="C9" sqref="C9"/>
    </sheetView>
  </sheetViews>
  <sheetFormatPr defaultColWidth="11.5703125" defaultRowHeight="15" x14ac:dyDescent="0.25"/>
  <cols>
    <col min="1" max="1" width="11.5703125" style="437"/>
    <col min="2" max="2" width="15.7109375" style="437" customWidth="1"/>
    <col min="3" max="3" width="18.5703125" style="437" customWidth="1"/>
    <col min="4" max="4" width="13.42578125" style="437" customWidth="1"/>
    <col min="5" max="5" width="18.85546875" style="437" customWidth="1"/>
    <col min="6" max="6" width="12.140625" style="437" customWidth="1"/>
    <col min="7" max="7" width="0.5703125" style="437" customWidth="1"/>
    <col min="8" max="8" width="14" style="437" bestFit="1" customWidth="1"/>
    <col min="9" max="9" width="11.5703125" style="437"/>
    <col min="10" max="10" width="21.42578125" style="437" customWidth="1"/>
    <col min="11" max="11" width="20.28515625" style="437" customWidth="1"/>
    <col min="12" max="12" width="15.5703125" style="437" customWidth="1"/>
    <col min="13" max="13" width="15.85546875" style="437" customWidth="1"/>
    <col min="14" max="14" width="13.140625" style="437" customWidth="1"/>
    <col min="15" max="15" width="15.140625" style="437" customWidth="1"/>
    <col min="16" max="16" width="11.5703125" style="437"/>
    <col min="17" max="17" width="16.7109375" style="437" customWidth="1"/>
    <col min="18" max="16384" width="11.5703125" style="437"/>
  </cols>
  <sheetData>
    <row r="1" spans="1:15" ht="15.75" thickBot="1" x14ac:dyDescent="0.3"/>
    <row r="2" spans="1:15" ht="21.75" thickBot="1" x14ac:dyDescent="0.4">
      <c r="A2" s="438" t="s">
        <v>70</v>
      </c>
      <c r="B2" s="439"/>
      <c r="C2" s="439"/>
      <c r="D2" s="439"/>
      <c r="E2" s="439"/>
      <c r="F2" s="439"/>
      <c r="G2" s="439"/>
      <c r="H2" s="439" t="s">
        <v>85</v>
      </c>
      <c r="I2" s="439"/>
      <c r="J2" s="439" t="s">
        <v>86</v>
      </c>
      <c r="K2" s="528">
        <v>44123</v>
      </c>
      <c r="L2" s="439"/>
      <c r="M2" s="439" t="s">
        <v>87</v>
      </c>
      <c r="N2" s="440"/>
      <c r="O2" s="441"/>
    </row>
    <row r="3" spans="1:15" ht="15.75" thickBot="1" x14ac:dyDescent="0.3">
      <c r="A3" s="442"/>
      <c r="B3" s="443"/>
      <c r="C3" s="443" t="s">
        <v>69</v>
      </c>
      <c r="D3" s="443"/>
      <c r="E3" s="443"/>
      <c r="F3" s="443"/>
      <c r="G3" s="443"/>
      <c r="H3" s="443"/>
      <c r="I3" s="439"/>
      <c r="J3" s="439"/>
      <c r="K3" s="439"/>
      <c r="L3" s="439"/>
      <c r="M3" s="439"/>
      <c r="N3" s="439"/>
      <c r="O3" s="441"/>
    </row>
    <row r="4" spans="1:15" x14ac:dyDescent="0.25">
      <c r="A4" s="444"/>
      <c r="B4" s="445"/>
      <c r="C4" s="445"/>
      <c r="D4" s="445"/>
      <c r="E4" s="445"/>
      <c r="F4" s="445"/>
      <c r="G4" s="445"/>
      <c r="H4" s="445"/>
      <c r="I4" s="446" t="s">
        <v>89</v>
      </c>
      <c r="J4" s="447"/>
      <c r="K4" s="447"/>
      <c r="L4" s="447"/>
      <c r="M4" s="447"/>
      <c r="N4" s="447"/>
      <c r="O4" s="448"/>
    </row>
    <row r="5" spans="1:15" ht="15.75" x14ac:dyDescent="0.25">
      <c r="A5" s="485" t="s">
        <v>72</v>
      </c>
      <c r="B5" s="449"/>
      <c r="C5" s="472" t="str">
        <f>'Table 1-A Sources of evidences'!$F$2</f>
        <v xml:space="preserve"> Nigeria</v>
      </c>
      <c r="D5" s="449"/>
      <c r="E5" s="450"/>
      <c r="F5" s="451"/>
      <c r="G5" s="449"/>
      <c r="H5" s="449"/>
      <c r="I5" s="452"/>
      <c r="J5" s="453"/>
      <c r="K5" s="453"/>
      <c r="L5" s="453"/>
      <c r="M5" s="453" t="s">
        <v>88</v>
      </c>
      <c r="N5" s="453"/>
      <c r="O5" s="454"/>
    </row>
    <row r="6" spans="1:15" ht="15.75" x14ac:dyDescent="0.25">
      <c r="A6" s="486" t="s">
        <v>80</v>
      </c>
      <c r="B6" s="455"/>
      <c r="C6" s="440" t="s">
        <v>339</v>
      </c>
      <c r="D6" s="455"/>
      <c r="E6" s="65" t="s">
        <v>82</v>
      </c>
      <c r="F6" s="456">
        <v>230119</v>
      </c>
      <c r="G6" s="455"/>
      <c r="H6" s="455"/>
      <c r="I6" s="488" t="s">
        <v>90</v>
      </c>
      <c r="J6" s="489"/>
      <c r="K6" s="457" t="s">
        <v>13</v>
      </c>
      <c r="L6" s="453"/>
      <c r="M6" s="547" t="s">
        <v>341</v>
      </c>
      <c r="N6" s="548"/>
      <c r="O6" s="548"/>
    </row>
    <row r="7" spans="1:15" ht="15.75" x14ac:dyDescent="0.25">
      <c r="A7" s="486" t="s">
        <v>81</v>
      </c>
      <c r="B7" s="455"/>
      <c r="C7" s="440" t="s">
        <v>340</v>
      </c>
      <c r="D7" s="455"/>
      <c r="E7" s="449"/>
      <c r="F7" s="458"/>
      <c r="G7" s="455"/>
      <c r="H7" s="455"/>
      <c r="I7" s="488" t="s">
        <v>91</v>
      </c>
      <c r="J7" s="489"/>
      <c r="K7" s="459" t="s">
        <v>121</v>
      </c>
      <c r="L7" s="453"/>
      <c r="M7" s="548"/>
      <c r="N7" s="548"/>
      <c r="O7" s="548"/>
    </row>
    <row r="8" spans="1:15" x14ac:dyDescent="0.25">
      <c r="A8" s="444"/>
      <c r="B8" s="445"/>
      <c r="C8" s="445"/>
      <c r="D8" s="445"/>
      <c r="E8" s="445"/>
      <c r="F8" s="445"/>
      <c r="G8" s="445"/>
      <c r="H8" s="445"/>
      <c r="I8" s="488" t="s">
        <v>280</v>
      </c>
      <c r="J8" s="489"/>
      <c r="K8" s="459" t="s">
        <v>121</v>
      </c>
      <c r="L8" s="453"/>
      <c r="M8" s="548"/>
      <c r="N8" s="548"/>
      <c r="O8" s="548"/>
    </row>
    <row r="9" spans="1:15" ht="48" customHeight="1" thickBot="1" x14ac:dyDescent="0.3">
      <c r="A9" s="487" t="s">
        <v>83</v>
      </c>
      <c r="B9" s="449"/>
      <c r="C9" s="473" t="str">
        <f>'Table 1-A Sources of evidences'!$B$4</f>
        <v xml:space="preserve"> oct-19</v>
      </c>
      <c r="D9" s="449"/>
      <c r="E9" s="449"/>
      <c r="F9" s="449"/>
      <c r="G9" s="449"/>
      <c r="H9" s="449"/>
      <c r="I9" s="561" t="s">
        <v>92</v>
      </c>
      <c r="J9" s="562"/>
      <c r="K9" s="459" t="s">
        <v>120</v>
      </c>
      <c r="L9" s="453"/>
      <c r="M9" s="549"/>
      <c r="N9" s="549"/>
      <c r="O9" s="549"/>
    </row>
    <row r="10" spans="1:15" x14ac:dyDescent="0.25">
      <c r="A10" s="460"/>
      <c r="B10" s="461"/>
      <c r="C10" s="461"/>
      <c r="D10" s="461"/>
      <c r="E10" s="461"/>
      <c r="F10" s="461"/>
      <c r="G10" s="461"/>
      <c r="H10" s="462"/>
      <c r="I10" s="463"/>
      <c r="J10" s="463"/>
      <c r="K10" s="461"/>
      <c r="L10" s="461"/>
      <c r="M10" s="461"/>
      <c r="N10" s="461"/>
      <c r="O10" s="461"/>
    </row>
    <row r="11" spans="1:15" x14ac:dyDescent="0.25">
      <c r="A11" s="445"/>
      <c r="B11" s="461"/>
      <c r="C11" s="461"/>
      <c r="D11" s="461"/>
      <c r="E11" s="461"/>
      <c r="F11" s="461"/>
      <c r="G11" s="464"/>
      <c r="H11" s="550" t="s">
        <v>93</v>
      </c>
      <c r="I11" s="550"/>
      <c r="J11" s="550"/>
      <c r="K11" s="490" t="s">
        <v>94</v>
      </c>
      <c r="L11" s="490" t="s">
        <v>95</v>
      </c>
      <c r="M11" s="490" t="s">
        <v>96</v>
      </c>
      <c r="N11" s="461"/>
      <c r="O11" s="461"/>
    </row>
    <row r="12" spans="1:15" x14ac:dyDescent="0.25">
      <c r="A12" s="444"/>
      <c r="B12" s="445"/>
      <c r="C12" s="445"/>
      <c r="D12" s="460" t="s">
        <v>84</v>
      </c>
      <c r="E12" s="445"/>
      <c r="F12" s="445"/>
      <c r="G12" s="445"/>
      <c r="H12" s="491" t="s">
        <v>86</v>
      </c>
      <c r="I12" s="492" t="s">
        <v>97</v>
      </c>
      <c r="J12" s="465"/>
      <c r="K12" s="466">
        <v>2</v>
      </c>
      <c r="L12" s="466">
        <v>2</v>
      </c>
      <c r="M12" s="466"/>
      <c r="N12" s="461"/>
      <c r="O12" s="461"/>
    </row>
    <row r="13" spans="1:15" x14ac:dyDescent="0.25">
      <c r="A13" s="444"/>
      <c r="B13" s="445"/>
      <c r="C13" s="445"/>
      <c r="D13" s="445"/>
      <c r="E13" s="445"/>
      <c r="F13" s="445"/>
      <c r="G13" s="445"/>
      <c r="H13" s="493" t="s">
        <v>87</v>
      </c>
      <c r="I13" s="492" t="s">
        <v>97</v>
      </c>
      <c r="J13" s="465"/>
      <c r="K13" s="466">
        <v>2</v>
      </c>
      <c r="L13" s="466">
        <v>2</v>
      </c>
      <c r="M13" s="466"/>
      <c r="N13" s="461"/>
      <c r="O13" s="461"/>
    </row>
    <row r="14" spans="1:15" ht="23.25" customHeight="1" thickBot="1" x14ac:dyDescent="0.3">
      <c r="A14" s="558"/>
      <c r="B14" s="559"/>
      <c r="C14" s="559"/>
      <c r="D14" s="559"/>
      <c r="E14" s="559"/>
      <c r="F14" s="559"/>
      <c r="G14" s="559"/>
      <c r="H14" s="559"/>
      <c r="I14" s="559"/>
      <c r="J14" s="559"/>
      <c r="K14" s="559"/>
      <c r="L14" s="559"/>
      <c r="M14" s="559"/>
      <c r="N14" s="559"/>
      <c r="O14" s="560"/>
    </row>
    <row r="15" spans="1:15" s="467" customFormat="1" ht="29.1" customHeight="1" x14ac:dyDescent="0.25">
      <c r="A15" s="553" t="s">
        <v>98</v>
      </c>
      <c r="B15" s="551" t="s">
        <v>99</v>
      </c>
      <c r="C15" s="565" t="s">
        <v>100</v>
      </c>
      <c r="D15" s="566"/>
      <c r="E15" s="566"/>
      <c r="F15" s="567"/>
      <c r="G15" s="494"/>
      <c r="H15" s="565" t="s">
        <v>101</v>
      </c>
      <c r="I15" s="566"/>
      <c r="J15" s="567"/>
      <c r="K15" s="555" t="s">
        <v>102</v>
      </c>
      <c r="L15" s="556"/>
      <c r="M15" s="556"/>
      <c r="N15" s="556"/>
      <c r="O15" s="557"/>
    </row>
    <row r="16" spans="1:15" s="467" customFormat="1" ht="29.1" customHeight="1" x14ac:dyDescent="0.25">
      <c r="A16" s="554"/>
      <c r="B16" s="552"/>
      <c r="C16" s="568"/>
      <c r="D16" s="569"/>
      <c r="E16" s="569"/>
      <c r="F16" s="570"/>
      <c r="G16" s="494"/>
      <c r="H16" s="568"/>
      <c r="I16" s="569"/>
      <c r="J16" s="570"/>
      <c r="K16" s="494" t="s">
        <v>103</v>
      </c>
      <c r="L16" s="494" t="s">
        <v>104</v>
      </c>
      <c r="M16" s="494" t="s">
        <v>105</v>
      </c>
      <c r="N16" s="494" t="s">
        <v>106</v>
      </c>
      <c r="O16" s="494" t="s">
        <v>107</v>
      </c>
    </row>
    <row r="17" spans="1:16" s="468" customFormat="1" ht="393" customHeight="1" x14ac:dyDescent="0.25">
      <c r="A17" s="563" t="s">
        <v>117</v>
      </c>
      <c r="B17" s="495" t="s">
        <v>345</v>
      </c>
      <c r="C17" s="544" t="s">
        <v>342</v>
      </c>
      <c r="D17" s="545"/>
      <c r="E17" s="545"/>
      <c r="F17" s="546"/>
      <c r="G17" s="530"/>
      <c r="H17" s="544" t="s">
        <v>343</v>
      </c>
      <c r="I17" s="545"/>
      <c r="J17" s="546"/>
      <c r="K17" s="529">
        <v>0.38</v>
      </c>
      <c r="L17" s="529">
        <v>0.28999999999999998</v>
      </c>
      <c r="M17" s="529">
        <v>0.19</v>
      </c>
      <c r="N17" s="529">
        <v>0.14000000000000001</v>
      </c>
      <c r="O17" s="531" t="s">
        <v>344</v>
      </c>
    </row>
    <row r="18" spans="1:16" ht="294" customHeight="1" x14ac:dyDescent="0.25">
      <c r="A18" s="564"/>
      <c r="B18" s="495" t="s">
        <v>110</v>
      </c>
      <c r="C18" s="535" t="s">
        <v>108</v>
      </c>
      <c r="D18" s="536"/>
      <c r="E18" s="536"/>
      <c r="F18" s="537"/>
      <c r="G18" s="496"/>
      <c r="H18" s="538" t="s">
        <v>111</v>
      </c>
      <c r="I18" s="539"/>
      <c r="J18" s="540"/>
      <c r="K18" s="497" t="s">
        <v>109</v>
      </c>
      <c r="L18" s="497" t="s">
        <v>109</v>
      </c>
      <c r="M18" s="497" t="s">
        <v>109</v>
      </c>
      <c r="N18" s="497" t="s">
        <v>109</v>
      </c>
      <c r="O18" s="497" t="s">
        <v>111</v>
      </c>
    </row>
    <row r="19" spans="1:16" ht="303" customHeight="1" x14ac:dyDescent="0.25">
      <c r="A19" s="564"/>
      <c r="B19" s="495" t="s">
        <v>112</v>
      </c>
      <c r="C19" s="535" t="s">
        <v>108</v>
      </c>
      <c r="D19" s="536"/>
      <c r="E19" s="536"/>
      <c r="F19" s="537"/>
      <c r="G19" s="496"/>
      <c r="H19" s="538" t="s">
        <v>113</v>
      </c>
      <c r="I19" s="539"/>
      <c r="J19" s="540"/>
      <c r="K19" s="497" t="s">
        <v>109</v>
      </c>
      <c r="L19" s="497" t="s">
        <v>109</v>
      </c>
      <c r="M19" s="497" t="s">
        <v>109</v>
      </c>
      <c r="N19" s="497" t="s">
        <v>109</v>
      </c>
      <c r="O19" s="497" t="s">
        <v>111</v>
      </c>
    </row>
    <row r="20" spans="1:16" ht="90" customHeight="1" x14ac:dyDescent="0.25">
      <c r="A20" s="564"/>
      <c r="B20" s="495" t="s">
        <v>114</v>
      </c>
      <c r="C20" s="535" t="s">
        <v>108</v>
      </c>
      <c r="D20" s="536"/>
      <c r="E20" s="536"/>
      <c r="F20" s="537"/>
      <c r="G20" s="496"/>
      <c r="H20" s="538" t="s">
        <v>111</v>
      </c>
      <c r="I20" s="539"/>
      <c r="J20" s="540"/>
      <c r="K20" s="497" t="s">
        <v>109</v>
      </c>
      <c r="L20" s="497" t="s">
        <v>109</v>
      </c>
      <c r="M20" s="497" t="s">
        <v>109</v>
      </c>
      <c r="N20" s="497" t="s">
        <v>109</v>
      </c>
      <c r="O20" s="497" t="s">
        <v>111</v>
      </c>
    </row>
    <row r="21" spans="1:16" ht="59.25" customHeight="1" x14ac:dyDescent="0.25">
      <c r="A21" s="564"/>
      <c r="B21" s="498" t="s">
        <v>115</v>
      </c>
      <c r="C21" s="541" t="s">
        <v>116</v>
      </c>
      <c r="D21" s="542"/>
      <c r="E21" s="542"/>
      <c r="F21" s="543"/>
      <c r="G21" s="499"/>
      <c r="H21" s="541" t="s">
        <v>111</v>
      </c>
      <c r="I21" s="542"/>
      <c r="J21" s="542"/>
      <c r="K21" s="543" t="s">
        <v>109</v>
      </c>
      <c r="L21" s="541" t="s">
        <v>109</v>
      </c>
      <c r="M21" s="542" t="s">
        <v>109</v>
      </c>
      <c r="N21" s="542" t="s">
        <v>109</v>
      </c>
      <c r="O21" s="543" t="s">
        <v>111</v>
      </c>
      <c r="P21" s="469"/>
    </row>
    <row r="22" spans="1:16" ht="14.1" customHeight="1" x14ac:dyDescent="0.25">
      <c r="A22" s="470"/>
      <c r="B22" s="471"/>
      <c r="C22" s="471"/>
      <c r="D22" s="471"/>
      <c r="E22" s="471"/>
      <c r="F22" s="471"/>
      <c r="G22" s="471"/>
      <c r="H22" s="471"/>
      <c r="I22" s="471"/>
      <c r="J22" s="471"/>
      <c r="K22" s="471"/>
      <c r="L22" s="471"/>
      <c r="M22" s="471"/>
      <c r="N22" s="471"/>
      <c r="O22" s="471"/>
    </row>
    <row r="24" spans="1:16" ht="32.25" customHeight="1" x14ac:dyDescent="0.25"/>
    <row r="25" spans="1:16" ht="36.75" hidden="1" customHeight="1" x14ac:dyDescent="0.25"/>
    <row r="26" spans="1:16" ht="36.75" hidden="1" customHeight="1" x14ac:dyDescent="0.25"/>
    <row r="27" spans="1:16" ht="36.75" hidden="1" customHeight="1" x14ac:dyDescent="0.25">
      <c r="K27" t="s">
        <v>13</v>
      </c>
    </row>
    <row r="28" spans="1:16" ht="36.75" hidden="1" customHeight="1" x14ac:dyDescent="0.25">
      <c r="K28" t="s">
        <v>118</v>
      </c>
    </row>
    <row r="29" spans="1:16" ht="36.75" hidden="1" customHeight="1" x14ac:dyDescent="0.25">
      <c r="K29" t="s">
        <v>119</v>
      </c>
    </row>
    <row r="30" spans="1:16" ht="36.75" hidden="1" customHeight="1" x14ac:dyDescent="0.25">
      <c r="K30" t="s">
        <v>120</v>
      </c>
    </row>
    <row r="31" spans="1:16" ht="36.75" hidden="1" customHeight="1" x14ac:dyDescent="0.25">
      <c r="K31" t="s">
        <v>121</v>
      </c>
    </row>
    <row r="32" spans="1:16" ht="36.75" hidden="1" customHeight="1" x14ac:dyDescent="0.25">
      <c r="K32">
        <v>1</v>
      </c>
    </row>
    <row r="33" spans="11:11" ht="36.75" hidden="1" customHeight="1" x14ac:dyDescent="0.25">
      <c r="K33">
        <v>2</v>
      </c>
    </row>
    <row r="34" spans="11:11" ht="36.75" hidden="1" customHeight="1" x14ac:dyDescent="0.25">
      <c r="K34">
        <v>3</v>
      </c>
    </row>
    <row r="35" spans="11:11" ht="36.75" hidden="1" customHeight="1" x14ac:dyDescent="0.25">
      <c r="K35">
        <v>4</v>
      </c>
    </row>
    <row r="36" spans="11:11" ht="36.75" hidden="1" customHeight="1" x14ac:dyDescent="0.25">
      <c r="K36">
        <v>5</v>
      </c>
    </row>
    <row r="37" spans="11:11" ht="36.75" hidden="1" customHeight="1" x14ac:dyDescent="0.25"/>
  </sheetData>
  <sheetProtection formatCells="0" formatColumns="0" formatRows="0" insertRows="0"/>
  <protectedRanges>
    <protectedRange sqref="C6:C7 C9 K6:K9 M6 K12:M13" name="Range3"/>
    <protectedRange sqref="N2" name="Range2"/>
    <protectedRange sqref="K2 F6" name="Range1"/>
    <protectedRange sqref="B18:O21 B17:J17" name="Range1_1"/>
    <protectedRange sqref="K17:O17" name="Range1_2"/>
  </protectedRanges>
  <dataConsolidate/>
  <mergeCells count="21">
    <mergeCell ref="L21:O21"/>
    <mergeCell ref="M6:O9"/>
    <mergeCell ref="H11:J11"/>
    <mergeCell ref="B15:B16"/>
    <mergeCell ref="A15:A16"/>
    <mergeCell ref="K15:O15"/>
    <mergeCell ref="A14:O14"/>
    <mergeCell ref="I9:J9"/>
    <mergeCell ref="A17:A21"/>
    <mergeCell ref="H15:J16"/>
    <mergeCell ref="C15:F16"/>
    <mergeCell ref="H18:J18"/>
    <mergeCell ref="H19:J19"/>
    <mergeCell ref="C17:F17"/>
    <mergeCell ref="C18:F18"/>
    <mergeCell ref="C19:F19"/>
    <mergeCell ref="C20:F20"/>
    <mergeCell ref="H20:J20"/>
    <mergeCell ref="C21:F21"/>
    <mergeCell ref="H17:J17"/>
    <mergeCell ref="H21:K21"/>
  </mergeCells>
  <conditionalFormatting sqref="K12:M13">
    <cfRule type="cellIs" dxfId="982" priority="1" operator="equal">
      <formula>0</formula>
    </cfRule>
    <cfRule type="cellIs" dxfId="981" priority="2" operator="equal">
      <formula>5</formula>
    </cfRule>
    <cfRule type="cellIs" dxfId="980" priority="3" operator="equal">
      <formula>4</formula>
    </cfRule>
    <cfRule type="cellIs" dxfId="979" priority="4" operator="equal">
      <formula>3</formula>
    </cfRule>
    <cfRule type="cellIs" dxfId="978" priority="5" operator="equal">
      <formula>2</formula>
    </cfRule>
    <cfRule type="cellIs" dxfId="977" priority="6" operator="equal">
      <formula>1</formula>
    </cfRule>
  </conditionalFormatting>
  <dataValidations count="2">
    <dataValidation type="list" allowBlank="1" showInputMessage="1" showErrorMessage="1" sqref="K6" xr:uid="{00000000-0002-0000-0100-000000000000}">
      <formula1>$K$27:$K$29</formula1>
    </dataValidation>
    <dataValidation type="list" allowBlank="1" showInputMessage="1" showErrorMessage="1" sqref="K7:K9" xr:uid="{00000000-0002-0000-0100-000001000000}">
      <formula1>$K$30:$K$31</formula1>
    </dataValidation>
  </dataValidations>
  <pageMargins left="0.7" right="0.7" top="0.75" bottom="0.75" header="0.3" footer="0.3"/>
  <pageSetup paperSize="9" scale="47"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89"/>
  <sheetViews>
    <sheetView view="pageBreakPreview" topLeftCell="A68" zoomScale="85" zoomScaleSheetLayoutView="85" workbookViewId="0">
      <selection activeCell="P74" sqref="P74"/>
    </sheetView>
  </sheetViews>
  <sheetFormatPr defaultColWidth="11.5703125" defaultRowHeight="15" x14ac:dyDescent="0.25"/>
  <cols>
    <col min="2" max="2" width="11.85546875" style="125" customWidth="1"/>
    <col min="3" max="3" width="29.42578125" customWidth="1"/>
    <col min="4" max="4" width="12.5703125" bestFit="1" customWidth="1"/>
    <col min="5" max="5" width="12.140625" customWidth="1"/>
    <col min="11" max="11" width="16.28515625" customWidth="1"/>
    <col min="12" max="12" width="53.140625" style="294" customWidth="1"/>
    <col min="13" max="13" width="23" customWidth="1"/>
    <col min="14" max="14" width="14.140625" customWidth="1"/>
    <col min="15" max="15" width="11.5703125" style="137"/>
  </cols>
  <sheetData>
    <row r="1" spans="1:15" ht="16.5" thickBot="1" x14ac:dyDescent="0.3">
      <c r="A1" s="3"/>
      <c r="B1" s="126"/>
      <c r="C1" s="3"/>
      <c r="D1" s="3"/>
      <c r="E1" s="3"/>
      <c r="F1" s="3"/>
      <c r="G1" s="3"/>
      <c r="H1" s="3"/>
      <c r="I1" s="3"/>
      <c r="J1" s="3"/>
      <c r="K1" s="3"/>
      <c r="L1" s="288"/>
      <c r="M1" s="3"/>
      <c r="N1" s="3"/>
      <c r="O1" s="130"/>
    </row>
    <row r="2" spans="1:15" ht="26.25" x14ac:dyDescent="0.4">
      <c r="A2" s="533" t="s">
        <v>122</v>
      </c>
      <c r="B2" s="534"/>
      <c r="C2" s="534"/>
      <c r="D2" s="534"/>
      <c r="E2" s="534"/>
      <c r="F2" s="534"/>
      <c r="G2" s="534"/>
      <c r="H2" s="534"/>
      <c r="I2" s="534"/>
      <c r="J2" s="534"/>
      <c r="K2" s="534"/>
      <c r="L2" s="534"/>
      <c r="M2" s="534"/>
      <c r="N2" s="534"/>
      <c r="O2" s="583"/>
    </row>
    <row r="3" spans="1:15" ht="15.75" x14ac:dyDescent="0.25">
      <c r="A3" s="58"/>
      <c r="B3" s="127"/>
      <c r="C3" s="59"/>
      <c r="D3" s="59"/>
      <c r="E3" s="59"/>
      <c r="F3" s="59"/>
      <c r="G3" s="60"/>
      <c r="H3" s="61"/>
      <c r="I3" s="59"/>
      <c r="J3" s="61"/>
      <c r="K3" s="61"/>
      <c r="L3" s="289"/>
      <c r="M3" s="61"/>
      <c r="N3" s="61"/>
      <c r="O3" s="131"/>
    </row>
    <row r="4" spans="1:15" ht="15.75" x14ac:dyDescent="0.25">
      <c r="A4" s="485" t="s">
        <v>72</v>
      </c>
      <c r="B4" s="128"/>
      <c r="C4" s="62"/>
      <c r="D4" s="587" t="str">
        <f>'Table 1-B  Context Analysis'!$C$5</f>
        <v xml:space="preserve"> Nigeria</v>
      </c>
      <c r="E4" s="587"/>
      <c r="F4" s="70"/>
      <c r="G4" s="61"/>
      <c r="H4" s="61"/>
      <c r="I4" s="70"/>
      <c r="J4" s="61"/>
      <c r="K4" s="61"/>
      <c r="L4" s="289"/>
      <c r="M4" s="61"/>
      <c r="N4" s="61"/>
      <c r="O4" s="131"/>
    </row>
    <row r="5" spans="1:15" ht="15.75" x14ac:dyDescent="0.25">
      <c r="A5" s="486" t="s">
        <v>80</v>
      </c>
      <c r="B5" s="129"/>
      <c r="C5" s="63"/>
      <c r="D5" s="588" t="str">
        <f>'Table 1-B  Context Analysis'!$C$6</f>
        <v>Borno</v>
      </c>
      <c r="E5" s="588"/>
      <c r="F5" s="70"/>
      <c r="G5" s="61"/>
      <c r="H5" s="61"/>
      <c r="I5" s="70"/>
      <c r="J5" s="61"/>
      <c r="K5" s="61"/>
      <c r="L5" s="289"/>
      <c r="M5" s="61"/>
      <c r="N5" s="61"/>
      <c r="O5" s="131"/>
    </row>
    <row r="6" spans="1:15" ht="15.75" x14ac:dyDescent="0.25">
      <c r="A6" s="486" t="s">
        <v>81</v>
      </c>
      <c r="B6" s="129"/>
      <c r="C6" s="63"/>
      <c r="D6" s="588" t="str">
        <f>'Table 1-B  Context Analysis'!$C$7</f>
        <v>Shani</v>
      </c>
      <c r="E6" s="588"/>
      <c r="F6" s="70"/>
      <c r="G6" s="61"/>
      <c r="H6" s="61"/>
      <c r="I6" s="70"/>
      <c r="J6" s="61"/>
      <c r="K6" s="61"/>
      <c r="L6" s="289"/>
      <c r="M6" s="61"/>
      <c r="N6" s="61"/>
      <c r="O6" s="131"/>
    </row>
    <row r="7" spans="1:15" ht="15.75" x14ac:dyDescent="0.25">
      <c r="A7" s="58"/>
      <c r="B7" s="127"/>
      <c r="C7" s="59"/>
      <c r="D7" s="59"/>
      <c r="E7" s="59"/>
      <c r="F7" s="59"/>
      <c r="G7" s="61"/>
      <c r="H7" s="61"/>
      <c r="I7" s="59"/>
      <c r="J7" s="61"/>
      <c r="K7" s="61"/>
      <c r="L7" s="289"/>
      <c r="M7" s="61"/>
      <c r="N7" s="61"/>
      <c r="O7" s="131"/>
    </row>
    <row r="8" spans="1:15" ht="15.75" x14ac:dyDescent="0.25">
      <c r="A8" s="115" t="s">
        <v>123</v>
      </c>
      <c r="B8" s="128"/>
      <c r="C8" s="62"/>
      <c r="D8" s="589" t="str">
        <f>'Table 1-B  Context Analysis'!$C$9</f>
        <v xml:space="preserve"> oct-19</v>
      </c>
      <c r="E8" s="589"/>
      <c r="F8" s="70"/>
      <c r="G8" s="61"/>
      <c r="H8" s="61"/>
      <c r="I8" s="70"/>
      <c r="J8" s="61"/>
      <c r="K8" s="61"/>
      <c r="L8" s="289"/>
      <c r="M8" s="61"/>
      <c r="N8" s="61"/>
      <c r="O8" s="131"/>
    </row>
    <row r="9" spans="1:15" ht="15.75" x14ac:dyDescent="0.25">
      <c r="A9" s="58"/>
      <c r="B9" s="127"/>
      <c r="C9" s="59"/>
      <c r="D9" s="59"/>
      <c r="E9" s="59"/>
      <c r="F9" s="59"/>
      <c r="G9" s="59"/>
      <c r="H9" s="59"/>
      <c r="I9" s="59"/>
      <c r="J9" s="59"/>
      <c r="K9" s="59"/>
      <c r="L9" s="290"/>
      <c r="M9" s="59"/>
      <c r="N9" s="59"/>
      <c r="O9" s="132"/>
    </row>
    <row r="10" spans="1:15" ht="23.25" customHeight="1" thickBot="1" x14ac:dyDescent="0.3">
      <c r="A10" s="584" t="s">
        <v>124</v>
      </c>
      <c r="B10" s="585"/>
      <c r="C10" s="585"/>
      <c r="D10" s="585"/>
      <c r="E10" s="585"/>
      <c r="F10" s="585"/>
      <c r="G10" s="585"/>
      <c r="H10" s="585"/>
      <c r="I10" s="585"/>
      <c r="J10" s="585"/>
      <c r="K10" s="585"/>
      <c r="L10" s="585"/>
      <c r="M10" s="585"/>
      <c r="N10" s="585"/>
      <c r="O10" s="586"/>
    </row>
    <row r="11" spans="1:15" s="2" customFormat="1" ht="71.25" customHeight="1" x14ac:dyDescent="0.25">
      <c r="A11" s="500" t="s">
        <v>125</v>
      </c>
      <c r="B11" s="501" t="s">
        <v>126</v>
      </c>
      <c r="C11" s="501" t="s">
        <v>75</v>
      </c>
      <c r="D11" s="577" t="s">
        <v>1</v>
      </c>
      <c r="E11" s="579"/>
      <c r="F11" s="577" t="s">
        <v>76</v>
      </c>
      <c r="G11" s="578"/>
      <c r="H11" s="579"/>
      <c r="I11" s="501" t="s">
        <v>77</v>
      </c>
      <c r="J11" s="501" t="s">
        <v>127</v>
      </c>
      <c r="K11" s="502" t="s">
        <v>348</v>
      </c>
      <c r="L11" s="501" t="s">
        <v>128</v>
      </c>
      <c r="M11" s="501" t="s">
        <v>129</v>
      </c>
      <c r="N11" s="501" t="s">
        <v>130</v>
      </c>
      <c r="O11" s="501" t="s">
        <v>131</v>
      </c>
    </row>
    <row r="12" spans="1:15" s="17" customFormat="1" ht="48.75" customHeight="1" x14ac:dyDescent="0.25">
      <c r="A12" s="574" t="s">
        <v>208</v>
      </c>
      <c r="B12" s="242">
        <v>1</v>
      </c>
      <c r="C12" s="120" t="str">
        <f>VLOOKUP($B12,'Table 1-A Sources of evidences'!$A$6:$G$31,2,FALSE)</f>
        <v>Emergency Food Security Assessment(EFSA)</v>
      </c>
      <c r="D12" s="571" t="str">
        <f>VLOOKUP($B12,'Table 1-A Sources of evidences'!$A$6:$G$31,3,FALSE)</f>
        <v>WFP/NBS and Partners</v>
      </c>
      <c r="E12" s="572"/>
      <c r="F12" s="571" t="str">
        <f>VLOOKUP($B12,'Table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12" s="573"/>
      <c r="H12" s="572"/>
      <c r="I12" s="120">
        <f>VLOOKUP($B12,'Table 1-A Sources of evidences'!$A$6:$G$31,5,FALSE)</f>
        <v>43739</v>
      </c>
      <c r="J12" s="120" t="str">
        <f>VLOOKUP($B12,'Table 1-A Sources of evidences'!$A$6:$G$31,6,FALSE)</f>
        <v>Oct_2019</v>
      </c>
      <c r="K12" s="481" t="s">
        <v>351</v>
      </c>
      <c r="L12" s="532" t="s">
        <v>346</v>
      </c>
      <c r="M12" s="203" t="s">
        <v>349</v>
      </c>
      <c r="N12" s="203" t="s">
        <v>350</v>
      </c>
      <c r="O12" s="133" t="str">
        <f>IF(M12="V-nu","F0",IF(AND(M12="V1",N12="T1"),"F0",IF(AND(M12="V1",N12="T2"),"F1",IF(AND(M12="V1",N12="T3"),"F1",IF(AND(M12="V2",N12="T1"),"F1",IF(AND(M12="V2",N12="T2"),"F2",IF(AND(M12="V2",N12="T3"),"F2",IF(AND(M12="V3",N12="T1"),"F1",IF(AND(M12="V3",N12="T2"),"F2",IF(AND(M12="V3",N12="T3"),"F3","erreur"))))))))))</f>
        <v>F2</v>
      </c>
    </row>
    <row r="13" spans="1:15" s="17" customFormat="1" ht="42" customHeight="1" x14ac:dyDescent="0.25">
      <c r="A13" s="575"/>
      <c r="B13" s="282">
        <v>2</v>
      </c>
      <c r="C13" s="120" t="str">
        <f>VLOOKUP($B13,'Table 1-A Sources of evidences'!$A$6:$G$31,2,FALSE)</f>
        <v>Agricultural Performance Survey</v>
      </c>
      <c r="D13" s="571" t="str">
        <f>VLOOKUP($B13,'Table 1-A Sources of evidences'!$A$6:$G$31,3,FALSE)</f>
        <v>NAERLS &amp; FMA&amp;RD</v>
      </c>
      <c r="E13" s="572"/>
      <c r="F13" s="571" t="str">
        <f>VLOOKUP($B13,'Table 1-A Sources of evidences'!$A$6:$G$31,4,FALSE)</f>
        <v>Participatroy approach was used to conduct the survey using a quastionnaire. 
Interaction with 20 farmers in at least 2 ADP zones 
2 LGAs (1 community per LGA) were selected.</v>
      </c>
      <c r="G13" s="573"/>
      <c r="H13" s="572"/>
      <c r="I13" s="120" t="str">
        <f>VLOOKUP($B13,'Table 1-A Sources of evidences'!$A$6:$G$31,5,FALSE)</f>
        <v>Aug_2019</v>
      </c>
      <c r="J13" s="120" t="str">
        <f>VLOOKUP($B13,'Table 1-A Sources of evidences'!$A$6:$G$31,6,FALSE)</f>
        <v>Oct_2019</v>
      </c>
      <c r="K13" s="481" t="s">
        <v>351</v>
      </c>
      <c r="L13" s="291" t="s">
        <v>347</v>
      </c>
      <c r="M13" s="203" t="s">
        <v>349</v>
      </c>
      <c r="N13" s="203" t="s">
        <v>350</v>
      </c>
      <c r="O13" s="133" t="str">
        <f>IF(M13="V-nu","F0",IF(AND(M13="V1",N13="T1"),"F0",IF(AND(M13="V1",N13="T2"),"F1",IF(AND(M13="V1",N13="T3"),"F1",IF(AND(M13="V2",N13="T1"),"F1",IF(AND(M13="V2",N13="T2"),"F2",IF(AND(M13="V2",N13="T3"),"F2",IF(AND(M13="V3",N13="T1"),"F1",IF(AND(M13="V3",N13="T2"),"F2",IF(AND(M13="V3",N13="T3"),"F3","erreur"))))))))))</f>
        <v>F2</v>
      </c>
    </row>
    <row r="14" spans="1:15" s="17" customFormat="1" ht="39.75" customHeight="1" x14ac:dyDescent="0.25">
      <c r="A14" s="575"/>
      <c r="B14" s="282"/>
      <c r="C14" s="120" t="e">
        <f>VLOOKUP($B14,'Table 1-A Sources of evidences'!$A$6:$G$31,2,FALSE)</f>
        <v>#N/A</v>
      </c>
      <c r="D14" s="571" t="e">
        <f>VLOOKUP($B14,'Table 1-A Sources of evidences'!$A$6:$G$31,3,FALSE)</f>
        <v>#N/A</v>
      </c>
      <c r="E14" s="572"/>
      <c r="F14" s="571" t="e">
        <f>VLOOKUP($B14,'Table 1-A Sources of evidences'!$A$6:$G$31,4,FALSE)</f>
        <v>#N/A</v>
      </c>
      <c r="G14" s="573"/>
      <c r="H14" s="572"/>
      <c r="I14" s="120" t="e">
        <f>VLOOKUP($B14,'Table 1-A Sources of evidences'!$A$6:$G$31,5,FALSE)</f>
        <v>#N/A</v>
      </c>
      <c r="J14" s="120" t="e">
        <f>VLOOKUP($B14,'Table 1-A Sources of evidences'!$A$6:$G$31,6,FALSE)</f>
        <v>#N/A</v>
      </c>
      <c r="K14" s="481"/>
      <c r="L14" s="401"/>
      <c r="M14" s="203"/>
      <c r="N14" s="203"/>
      <c r="O14" s="133" t="str">
        <f t="shared" ref="O14:O86" si="0">IF(M14="V-nu","F0",IF(AND(M14="V1",N14="T1"),"F0",IF(AND(M14="V1",N14="T2"),"F1",IF(AND(M14="V1",N14="T3"),"F1",IF(AND(M14="V2",N14="T1"),"F1",IF(AND(M14="V2",N14="T2"),"F2",IF(AND(M14="V2",N14="T3"),"F2",IF(AND(M14="V3",N14="T1"),"F1",IF(AND(M14="V3",N14="T2"),"F2",IF(AND(M14="V3",N14="T3"),"F3","erreur"))))))))))</f>
        <v>erreur</v>
      </c>
    </row>
    <row r="15" spans="1:15" s="17" customFormat="1" ht="48" customHeight="1" x14ac:dyDescent="0.25">
      <c r="A15" s="575"/>
      <c r="B15" s="282"/>
      <c r="C15" s="120" t="e">
        <f>VLOOKUP($B15,'Table 1-A Sources of evidences'!$A$6:$G$31,2,FALSE)</f>
        <v>#N/A</v>
      </c>
      <c r="D15" s="571" t="e">
        <f>VLOOKUP($B15,'Table 1-A Sources of evidences'!$A$6:$G$31,3,FALSE)</f>
        <v>#N/A</v>
      </c>
      <c r="E15" s="572"/>
      <c r="F15" s="571" t="e">
        <f>VLOOKUP($B15,'Table 1-A Sources of evidences'!$A$6:$G$31,4,FALSE)</f>
        <v>#N/A</v>
      </c>
      <c r="G15" s="573"/>
      <c r="H15" s="572"/>
      <c r="I15" s="120" t="e">
        <f>VLOOKUP($B15,'Table 1-A Sources of evidences'!$A$6:$G$31,5,FALSE)</f>
        <v>#N/A</v>
      </c>
      <c r="J15" s="120" t="e">
        <f>VLOOKUP($B15,'Table 1-A Sources of evidences'!$A$6:$G$31,6,FALSE)</f>
        <v>#N/A</v>
      </c>
      <c r="K15" s="481"/>
      <c r="L15" s="291"/>
      <c r="M15" s="203"/>
      <c r="N15" s="203"/>
      <c r="O15" s="133" t="str">
        <f t="shared" si="0"/>
        <v>erreur</v>
      </c>
    </row>
    <row r="16" spans="1:15" s="17" customFormat="1" ht="32.25" customHeight="1" x14ac:dyDescent="0.25">
      <c r="A16" s="575"/>
      <c r="B16" s="282"/>
      <c r="C16" s="120" t="e">
        <f>VLOOKUP($B16,'Table 1-A Sources of evidences'!$A$6:$G$31,2,FALSE)</f>
        <v>#N/A</v>
      </c>
      <c r="D16" s="571" t="e">
        <f>VLOOKUP($B16,'Table 1-A Sources of evidences'!$A$6:$G$31,3,FALSE)</f>
        <v>#N/A</v>
      </c>
      <c r="E16" s="572"/>
      <c r="F16" s="571" t="e">
        <f>VLOOKUP($B16,'Table 1-A Sources of evidences'!$A$6:$G$31,4,FALSE)</f>
        <v>#N/A</v>
      </c>
      <c r="G16" s="573"/>
      <c r="H16" s="572"/>
      <c r="I16" s="120" t="e">
        <f>VLOOKUP($B16,'Table 1-A Sources of evidences'!$A$6:$G$31,5,FALSE)</f>
        <v>#N/A</v>
      </c>
      <c r="J16" s="120" t="e">
        <f>VLOOKUP($B16,'Table 1-A Sources of evidences'!$A$6:$G$31,6,FALSE)</f>
        <v>#N/A</v>
      </c>
      <c r="K16" s="481"/>
      <c r="L16" s="204"/>
      <c r="M16" s="203"/>
      <c r="N16" s="203"/>
      <c r="O16" s="133" t="str">
        <f t="shared" ref="O16:O18" si="1">IF(M16="V-nu","F0",IF(AND(M16="V1",N16="T1"),"F0",IF(AND(M16="V1",N16="T2"),"F1",IF(AND(M16="V1",N16="T3"),"F1",IF(AND(M16="V2",N16="T1"),"F1",IF(AND(M16="V2",N16="T2"),"F2",IF(AND(M16="V2",N16="T3"),"F2",IF(AND(M16="V3",N16="T1"),"F1",IF(AND(M16="V3",N16="T2"),"F2",IF(AND(M16="V3",N16="T3"),"F3","erreur"))))))))))</f>
        <v>erreur</v>
      </c>
    </row>
    <row r="17" spans="1:15" ht="6.75" customHeight="1" x14ac:dyDescent="0.25">
      <c r="A17" s="575"/>
      <c r="B17" s="166"/>
      <c r="C17" s="167"/>
      <c r="D17" s="593"/>
      <c r="E17" s="594"/>
      <c r="F17" s="593"/>
      <c r="G17" s="595"/>
      <c r="H17" s="594"/>
      <c r="I17" s="167"/>
      <c r="J17" s="167"/>
      <c r="K17" s="168"/>
      <c r="L17" s="292"/>
      <c r="M17" s="169"/>
      <c r="N17" s="169"/>
      <c r="O17" s="170"/>
    </row>
    <row r="18" spans="1:15" ht="32.25" customHeight="1" x14ac:dyDescent="0.25">
      <c r="A18" s="575"/>
      <c r="B18" s="234">
        <v>1</v>
      </c>
      <c r="C18" s="120" t="str">
        <f>VLOOKUP($B18,'Table 1-A Sources of evidences'!$A$6:$G$31,2,FALSE)</f>
        <v>Emergency Food Security Assessment(EFSA)</v>
      </c>
      <c r="D18" s="571" t="str">
        <f>VLOOKUP($B18,'Table 1-A Sources of evidences'!$A$6:$G$31,3,FALSE)</f>
        <v>WFP/NBS and Partners</v>
      </c>
      <c r="E18" s="572"/>
      <c r="F18" s="571" t="str">
        <f>VLOOKUP($B18,'Table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18" s="573"/>
      <c r="H18" s="572"/>
      <c r="I18" s="120">
        <f>VLOOKUP($B18,'Table 1-A Sources of evidences'!$A$6:$G$31,5,FALSE)</f>
        <v>43739</v>
      </c>
      <c r="J18" s="120" t="str">
        <f>VLOOKUP($B18,'Table 1-A Sources of evidences'!$A$6:$G$31,6,FALSE)</f>
        <v>Oct_2019</v>
      </c>
      <c r="K18" s="481" t="s">
        <v>351</v>
      </c>
      <c r="L18" s="1103" t="s">
        <v>354</v>
      </c>
      <c r="M18" s="203" t="s">
        <v>349</v>
      </c>
      <c r="N18" s="203" t="s">
        <v>350</v>
      </c>
      <c r="O18" s="134" t="str">
        <f t="shared" si="1"/>
        <v>F2</v>
      </c>
    </row>
    <row r="19" spans="1:15" s="17" customFormat="1" ht="32.25" customHeight="1" x14ac:dyDescent="0.25">
      <c r="A19" s="575"/>
      <c r="B19" s="282">
        <v>1</v>
      </c>
      <c r="C19" s="120" t="str">
        <f>VLOOKUP($B19,'Table 1-A Sources of evidences'!$A$6:$G$31,2,FALSE)</f>
        <v>Emergency Food Security Assessment(EFSA)</v>
      </c>
      <c r="D19" s="571" t="str">
        <f>VLOOKUP($B19,'Table 1-A Sources of evidences'!$A$6:$G$31,3,FALSE)</f>
        <v>WFP/NBS and Partners</v>
      </c>
      <c r="E19" s="572"/>
      <c r="F19" s="571" t="str">
        <f>VLOOKUP($B19,'Table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19" s="573"/>
      <c r="H19" s="572"/>
      <c r="I19" s="120">
        <f>VLOOKUP($B19,'Table 1-A Sources of evidences'!$A$6:$G$31,5,FALSE)</f>
        <v>43739</v>
      </c>
      <c r="J19" s="120" t="str">
        <f>VLOOKUP($B19,'Table 1-A Sources of evidences'!$A$6:$G$31,6,FALSE)</f>
        <v>Oct_2019</v>
      </c>
      <c r="K19" s="481" t="s">
        <v>351</v>
      </c>
      <c r="L19" s="291" t="s">
        <v>355</v>
      </c>
      <c r="M19" s="203" t="s">
        <v>349</v>
      </c>
      <c r="N19" s="203" t="s">
        <v>350</v>
      </c>
      <c r="O19" s="133" t="str">
        <f t="shared" si="0"/>
        <v>F2</v>
      </c>
    </row>
    <row r="20" spans="1:15" ht="48" customHeight="1" x14ac:dyDescent="0.25">
      <c r="A20" s="575"/>
      <c r="B20" s="234">
        <v>1</v>
      </c>
      <c r="C20" s="120" t="str">
        <f>VLOOKUP($B20,'Table 1-A Sources of evidences'!$A$6:$G$31,2,FALSE)</f>
        <v>Emergency Food Security Assessment(EFSA)</v>
      </c>
      <c r="D20" s="571" t="str">
        <f>VLOOKUP($B20,'Table 1-A Sources of evidences'!$A$6:$G$31,3,FALSE)</f>
        <v>WFP/NBS and Partners</v>
      </c>
      <c r="E20" s="572"/>
      <c r="F20" s="571" t="str">
        <f>VLOOKUP($B20,'Table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20" s="573"/>
      <c r="H20" s="572"/>
      <c r="I20" s="120">
        <f>VLOOKUP($B20,'Table 1-A Sources of evidences'!$A$6:$G$31,5,FALSE)</f>
        <v>43739</v>
      </c>
      <c r="J20" s="120" t="str">
        <f>VLOOKUP($B20,'Table 1-A Sources of evidences'!$A$6:$G$31,6,FALSE)</f>
        <v>Oct_2019</v>
      </c>
      <c r="K20" s="481" t="s">
        <v>351</v>
      </c>
      <c r="L20" s="1104" t="s">
        <v>356</v>
      </c>
      <c r="M20" s="203" t="s">
        <v>349</v>
      </c>
      <c r="N20" s="203" t="s">
        <v>350</v>
      </c>
      <c r="O20" s="134" t="str">
        <f t="shared" si="0"/>
        <v>F2</v>
      </c>
    </row>
    <row r="21" spans="1:15" ht="32.25" customHeight="1" x14ac:dyDescent="0.25">
      <c r="A21" s="575"/>
      <c r="B21" s="234">
        <v>1</v>
      </c>
      <c r="C21" s="120" t="str">
        <f>VLOOKUP($B21,'Table 1-A Sources of evidences'!$A$6:$G$31,2,FALSE)</f>
        <v>Emergency Food Security Assessment(EFSA)</v>
      </c>
      <c r="D21" s="571" t="str">
        <f>VLOOKUP($B21,'Table 1-A Sources of evidences'!$A$6:$G$31,3,FALSE)</f>
        <v>WFP/NBS and Partners</v>
      </c>
      <c r="E21" s="572"/>
      <c r="F21" s="571" t="str">
        <f>VLOOKUP($B21,'Table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21" s="573"/>
      <c r="H21" s="572"/>
      <c r="I21" s="120">
        <f>VLOOKUP($B21,'Table 1-A Sources of evidences'!$A$6:$G$31,5,FALSE)</f>
        <v>43739</v>
      </c>
      <c r="J21" s="120" t="str">
        <f>VLOOKUP($B21,'Table 1-A Sources of evidences'!$A$6:$G$31,6,FALSE)</f>
        <v>Oct_2019</v>
      </c>
      <c r="K21" s="481" t="s">
        <v>351</v>
      </c>
      <c r="L21" s="1103" t="s">
        <v>357</v>
      </c>
      <c r="M21" s="203" t="s">
        <v>349</v>
      </c>
      <c r="N21" s="203" t="s">
        <v>350</v>
      </c>
      <c r="O21" s="134" t="str">
        <f t="shared" si="0"/>
        <v>F2</v>
      </c>
    </row>
    <row r="22" spans="1:15" ht="32.25" customHeight="1" x14ac:dyDescent="0.25">
      <c r="A22" s="575"/>
      <c r="B22" s="234"/>
      <c r="C22" s="120" t="e">
        <f>VLOOKUP($B22,'Table 1-A Sources of evidences'!$A$6:$G$31,2,FALSE)</f>
        <v>#N/A</v>
      </c>
      <c r="D22" s="571" t="e">
        <f>VLOOKUP($B22,'Table 1-A Sources of evidences'!$A$6:$G$31,3,FALSE)</f>
        <v>#N/A</v>
      </c>
      <c r="E22" s="572"/>
      <c r="F22" s="571" t="e">
        <f>VLOOKUP($B22,'Table 1-A Sources of evidences'!$A$6:$G$31,4,FALSE)</f>
        <v>#N/A</v>
      </c>
      <c r="G22" s="573"/>
      <c r="H22" s="572"/>
      <c r="I22" s="120" t="e">
        <f>VLOOKUP($B22,'Table 1-A Sources of evidences'!$A$6:$G$31,5,FALSE)</f>
        <v>#N/A</v>
      </c>
      <c r="J22" s="120" t="e">
        <f>VLOOKUP($B22,'Table 1-A Sources of evidences'!$A$6:$G$31,6,FALSE)</f>
        <v>#N/A</v>
      </c>
      <c r="K22" s="481"/>
      <c r="L22" s="401"/>
      <c r="M22" s="203"/>
      <c r="N22" s="203"/>
      <c r="O22" s="134" t="str">
        <f t="shared" si="0"/>
        <v>erreur</v>
      </c>
    </row>
    <row r="23" spans="1:15" ht="6.75" customHeight="1" x14ac:dyDescent="0.25">
      <c r="A23" s="576"/>
      <c r="B23" s="124"/>
      <c r="C23" s="5"/>
      <c r="D23" s="5"/>
      <c r="E23" s="5"/>
      <c r="F23" s="5"/>
      <c r="G23" s="5"/>
      <c r="H23" s="5"/>
      <c r="I23" s="5"/>
      <c r="J23" s="5"/>
      <c r="K23" s="5"/>
      <c r="L23" s="293"/>
      <c r="M23" s="5"/>
      <c r="N23" s="5"/>
      <c r="O23" s="135"/>
    </row>
    <row r="24" spans="1:15" ht="66" customHeight="1" x14ac:dyDescent="0.25">
      <c r="A24" s="574" t="s">
        <v>136</v>
      </c>
      <c r="B24" s="283">
        <v>2</v>
      </c>
      <c r="C24" s="120" t="str">
        <f>VLOOKUP($B24,'Table 1-A Sources of evidences'!$A$6:$G$31,2,FALSE)</f>
        <v>Agricultural Performance Survey</v>
      </c>
      <c r="D24" s="571" t="str">
        <f>VLOOKUP($B24,'Table 1-A Sources of evidences'!$A$6:$G$31,3,FALSE)</f>
        <v>NAERLS &amp; FMA&amp;RD</v>
      </c>
      <c r="E24" s="572"/>
      <c r="F24" s="571" t="str">
        <f>VLOOKUP($B24,'Table 1-A Sources of evidences'!$A$6:$G$31,4,FALSE)</f>
        <v>Participatroy approach was used to conduct the survey using a quastionnaire. 
Interaction with 20 farmers in at least 2 ADP zones 
2 LGAs (1 community per LGA) were selected.</v>
      </c>
      <c r="G24" s="573"/>
      <c r="H24" s="572"/>
      <c r="I24" s="120" t="str">
        <f>VLOOKUP($B24,'Table 1-A Sources of evidences'!$A$6:$G$31,5,FALSE)</f>
        <v>Aug_2019</v>
      </c>
      <c r="J24" s="120" t="str">
        <f>VLOOKUP($B24,'Table 1-A Sources of evidences'!$A$6:$G$31,6,FALSE)</f>
        <v>Oct_2019</v>
      </c>
      <c r="K24" s="481" t="s">
        <v>351</v>
      </c>
      <c r="L24" s="205" t="s">
        <v>358</v>
      </c>
      <c r="M24" s="203" t="s">
        <v>349</v>
      </c>
      <c r="N24" s="203" t="s">
        <v>350</v>
      </c>
      <c r="O24" s="136" t="str">
        <f t="shared" si="0"/>
        <v>F2</v>
      </c>
    </row>
    <row r="25" spans="1:15" ht="71.25" customHeight="1" x14ac:dyDescent="0.25">
      <c r="A25" s="575"/>
      <c r="B25" s="283">
        <v>1</v>
      </c>
      <c r="C25" s="120" t="str">
        <f>VLOOKUP($B25,'Table 1-A Sources of evidences'!$A$6:$G$31,2,FALSE)</f>
        <v>Emergency Food Security Assessment(EFSA)</v>
      </c>
      <c r="D25" s="571" t="str">
        <f>VLOOKUP($B25,'Table 1-A Sources of evidences'!$A$6:$G$31,3,FALSE)</f>
        <v>WFP/NBS and Partners</v>
      </c>
      <c r="E25" s="572"/>
      <c r="F25" s="571" t="str">
        <f>VLOOKUP($B25,'Table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25" s="573"/>
      <c r="H25" s="572"/>
      <c r="I25" s="120">
        <f>VLOOKUP($B25,'Table 1-A Sources of evidences'!$A$6:$G$31,5,FALSE)</f>
        <v>43739</v>
      </c>
      <c r="J25" s="120" t="str">
        <f>VLOOKUP($B25,'Table 1-A Sources of evidences'!$A$6:$G$31,6,FALSE)</f>
        <v>Oct_2019</v>
      </c>
      <c r="K25" s="481" t="s">
        <v>351</v>
      </c>
      <c r="L25" s="204" t="s">
        <v>359</v>
      </c>
      <c r="M25" s="306" t="s">
        <v>349</v>
      </c>
      <c r="N25" s="306" t="s">
        <v>350</v>
      </c>
      <c r="O25" s="136" t="str">
        <f t="shared" ref="O25:O29" si="2">IF(M25="V-nu","F0",IF(AND(M25="V1",N25="T1"),"F0",IF(AND(M25="V1",N25="T2"),"F1",IF(AND(M25="V1",N25="T3"),"F1",IF(AND(M25="V2",N25="T1"),"F1",IF(AND(M25="V2",N25="T2"),"F2",IF(AND(M25="V2",N25="T3"),"F2",IF(AND(M25="V3",N25="T1"),"F1",IF(AND(M25="V3",N25="T2"),"F2",IF(AND(M25="V3",N25="T3"),"F3","erreur"))))))))))</f>
        <v>F2</v>
      </c>
    </row>
    <row r="26" spans="1:15" ht="33" customHeight="1" x14ac:dyDescent="0.25">
      <c r="A26" s="575"/>
      <c r="B26" s="283">
        <v>1</v>
      </c>
      <c r="C26" s="120" t="str">
        <f>VLOOKUP($B26,'Table 1-A Sources of evidences'!$A$6:$G$31,2,FALSE)</f>
        <v>Emergency Food Security Assessment(EFSA)</v>
      </c>
      <c r="D26" s="571" t="str">
        <f>VLOOKUP($B26,'Table 1-A Sources of evidences'!$A$6:$G$31,3,FALSE)</f>
        <v>WFP/NBS and Partners</v>
      </c>
      <c r="E26" s="572"/>
      <c r="F26" s="571" t="str">
        <f>VLOOKUP($B26,'Table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26" s="573"/>
      <c r="H26" s="572"/>
      <c r="I26" s="120">
        <f>VLOOKUP($B26,'Table 1-A Sources of evidences'!$A$6:$G$31,5,FALSE)</f>
        <v>43739</v>
      </c>
      <c r="J26" s="120" t="str">
        <f>VLOOKUP($B26,'Table 1-A Sources of evidences'!$A$6:$G$31,6,FALSE)</f>
        <v>Oct_2019</v>
      </c>
      <c r="K26" s="481" t="s">
        <v>351</v>
      </c>
      <c r="L26" s="204" t="s">
        <v>360</v>
      </c>
      <c r="M26" s="306" t="s">
        <v>349</v>
      </c>
      <c r="N26" s="306" t="s">
        <v>350</v>
      </c>
      <c r="O26" s="136" t="str">
        <f t="shared" si="2"/>
        <v>F2</v>
      </c>
    </row>
    <row r="27" spans="1:15" ht="33" customHeight="1" x14ac:dyDescent="0.25">
      <c r="A27" s="575"/>
      <c r="B27" s="1105" t="s">
        <v>69</v>
      </c>
      <c r="C27" s="120" t="e">
        <f>VLOOKUP($B27,'Table 1-A Sources of evidences'!$A$6:$G$31,2,FALSE)</f>
        <v>#N/A</v>
      </c>
      <c r="D27" s="571" t="e">
        <f>VLOOKUP($B27,'Table 1-A Sources of evidences'!$A$6:$G$31,3,FALSE)</f>
        <v>#N/A</v>
      </c>
      <c r="E27" s="572"/>
      <c r="F27" s="571" t="e">
        <f>VLOOKUP($B27,'Table 1-A Sources of evidences'!$A$6:$G$31,4,FALSE)</f>
        <v>#N/A</v>
      </c>
      <c r="G27" s="573"/>
      <c r="H27" s="572"/>
      <c r="I27" s="120" t="e">
        <f>VLOOKUP($B27,'Table 1-A Sources of evidences'!$A$6:$G$31,5,FALSE)</f>
        <v>#N/A</v>
      </c>
      <c r="J27" s="120" t="e">
        <f>VLOOKUP($B27,'Table 1-A Sources of evidences'!$A$6:$G$31,6,FALSE)</f>
        <v>#N/A</v>
      </c>
      <c r="K27" s="481"/>
      <c r="L27" s="204" t="s">
        <v>69</v>
      </c>
      <c r="M27" s="306"/>
      <c r="N27" s="306"/>
      <c r="O27" s="136" t="str">
        <f t="shared" si="2"/>
        <v>erreur</v>
      </c>
    </row>
    <row r="28" spans="1:15" ht="33" customHeight="1" x14ac:dyDescent="0.25">
      <c r="A28" s="575"/>
      <c r="B28" s="283"/>
      <c r="C28" s="120" t="e">
        <f>VLOOKUP($B28,'Table 1-A Sources of evidences'!$A$6:$G$31,2,FALSE)</f>
        <v>#N/A</v>
      </c>
      <c r="D28" s="571" t="e">
        <f>VLOOKUP($B28,'Table 1-A Sources of evidences'!$A$6:$G$31,3,FALSE)</f>
        <v>#N/A</v>
      </c>
      <c r="E28" s="572"/>
      <c r="F28" s="571" t="e">
        <f>VLOOKUP($B28,'Table 1-A Sources of evidences'!$A$6:$G$31,4,FALSE)</f>
        <v>#N/A</v>
      </c>
      <c r="G28" s="573"/>
      <c r="H28" s="572"/>
      <c r="I28" s="120" t="e">
        <f>VLOOKUP($B28,'Table 1-A Sources of evidences'!$A$6:$G$31,5,FALSE)</f>
        <v>#N/A</v>
      </c>
      <c r="J28" s="120" t="e">
        <f>VLOOKUP($B28,'Table 1-A Sources of evidences'!$A$6:$G$31,6,FALSE)</f>
        <v>#N/A</v>
      </c>
      <c r="K28" s="481"/>
      <c r="L28" s="205"/>
      <c r="M28" s="306"/>
      <c r="N28" s="306"/>
      <c r="O28" s="136" t="str">
        <f t="shared" si="2"/>
        <v>erreur</v>
      </c>
    </row>
    <row r="29" spans="1:15" ht="61.5" customHeight="1" x14ac:dyDescent="0.25">
      <c r="A29" s="575"/>
      <c r="B29" s="283"/>
      <c r="C29" s="120" t="e">
        <f>VLOOKUP($B29,'Table 1-A Sources of evidences'!$A$6:$G$31,2,FALSE)</f>
        <v>#N/A</v>
      </c>
      <c r="D29" s="571" t="e">
        <f>VLOOKUP($B29,'Table 1-A Sources of evidences'!$A$6:$G$31,3,FALSE)</f>
        <v>#N/A</v>
      </c>
      <c r="E29" s="572"/>
      <c r="F29" s="571" t="e">
        <f>VLOOKUP($B29,'Table 1-A Sources of evidences'!$A$6:$G$31,4,FALSE)</f>
        <v>#N/A</v>
      </c>
      <c r="G29" s="573"/>
      <c r="H29" s="572"/>
      <c r="I29" s="120" t="e">
        <f>VLOOKUP($B29,'Table 1-A Sources of evidences'!$A$6:$G$31,5,FALSE)</f>
        <v>#N/A</v>
      </c>
      <c r="J29" s="120" t="e">
        <f>VLOOKUP($B29,'Table 1-A Sources of evidences'!$A$6:$G$31,6,FALSE)</f>
        <v>#N/A</v>
      </c>
      <c r="K29" s="481"/>
      <c r="L29" s="205"/>
      <c r="M29" s="306"/>
      <c r="N29" s="306"/>
      <c r="O29" s="136" t="str">
        <f t="shared" si="2"/>
        <v>erreur</v>
      </c>
    </row>
    <row r="30" spans="1:15" ht="33" customHeight="1" x14ac:dyDescent="0.25">
      <c r="A30" s="575"/>
      <c r="B30" s="283"/>
      <c r="C30" s="120" t="e">
        <f>VLOOKUP($B30,'Table 1-A Sources of evidences'!$A$6:$G$31,2,FALSE)</f>
        <v>#N/A</v>
      </c>
      <c r="D30" s="571" t="e">
        <f>VLOOKUP($B30,'Table 1-A Sources of evidences'!$A$6:$G$31,3,FALSE)</f>
        <v>#N/A</v>
      </c>
      <c r="E30" s="572"/>
      <c r="F30" s="571" t="e">
        <f>VLOOKUP($B30,'Table 1-A Sources of evidences'!$A$6:$G$31,4,FALSE)</f>
        <v>#N/A</v>
      </c>
      <c r="G30" s="573"/>
      <c r="H30" s="572"/>
      <c r="I30" s="120" t="e">
        <f>VLOOKUP($B30,'Table 1-A Sources of evidences'!$A$6:$G$31,5,FALSE)</f>
        <v>#N/A</v>
      </c>
      <c r="J30" s="120" t="e">
        <f>VLOOKUP($B30,'Table 1-A Sources of evidences'!$A$6:$G$31,6,FALSE)</f>
        <v>#N/A</v>
      </c>
      <c r="K30" s="481"/>
      <c r="L30" s="205"/>
      <c r="M30" s="203"/>
      <c r="N30" s="203"/>
      <c r="O30" s="136" t="str">
        <f t="shared" si="0"/>
        <v>erreur</v>
      </c>
    </row>
    <row r="31" spans="1:15" ht="44.25" customHeight="1" x14ac:dyDescent="0.25">
      <c r="A31" s="575"/>
      <c r="B31" s="283"/>
      <c r="C31" s="120" t="e">
        <f>VLOOKUP($B31,'Table 1-A Sources of evidences'!$A$6:$G$31,2,FALSE)</f>
        <v>#N/A</v>
      </c>
      <c r="D31" s="571" t="e">
        <f>VLOOKUP($B31,'Table 1-A Sources of evidences'!$A$6:$G$31,3,FALSE)</f>
        <v>#N/A</v>
      </c>
      <c r="E31" s="572"/>
      <c r="F31" s="571" t="e">
        <f>VLOOKUP($B31,'Table 1-A Sources of evidences'!$A$6:$G$31,4,FALSE)</f>
        <v>#N/A</v>
      </c>
      <c r="G31" s="573"/>
      <c r="H31" s="572"/>
      <c r="I31" s="120" t="e">
        <f>VLOOKUP($B31,'Table 1-A Sources of evidences'!$A$6:$G$31,5,FALSE)</f>
        <v>#N/A</v>
      </c>
      <c r="J31" s="120" t="e">
        <f>VLOOKUP($B31,'Table 1-A Sources of evidences'!$A$6:$G$31,6,FALSE)</f>
        <v>#N/A</v>
      </c>
      <c r="K31" s="481"/>
      <c r="L31" s="205"/>
      <c r="M31" s="203"/>
      <c r="N31" s="203"/>
      <c r="O31" s="136" t="str">
        <f t="shared" si="0"/>
        <v>erreur</v>
      </c>
    </row>
    <row r="32" spans="1:15" ht="45" customHeight="1" x14ac:dyDescent="0.25">
      <c r="A32" s="575"/>
      <c r="B32" s="283"/>
      <c r="C32" s="120" t="e">
        <f>VLOOKUP($B32,'Table 1-A Sources of evidences'!$A$6:$G$31,2,FALSE)</f>
        <v>#N/A</v>
      </c>
      <c r="D32" s="590" t="e">
        <f>VLOOKUP($B32,'Table 1-A Sources of evidences'!$A$6:$G$31,3,FALSE)</f>
        <v>#N/A</v>
      </c>
      <c r="E32" s="591"/>
      <c r="F32" s="571" t="e">
        <f>VLOOKUP($B32,'Table 1-A Sources of evidences'!$A$6:$G$31,4,FALSE)</f>
        <v>#N/A</v>
      </c>
      <c r="G32" s="573"/>
      <c r="H32" s="572"/>
      <c r="I32" s="120" t="e">
        <f>VLOOKUP($B32,'Table 1-A Sources of evidences'!$A$6:$G$31,5,FALSE)</f>
        <v>#N/A</v>
      </c>
      <c r="J32" s="120" t="e">
        <f>VLOOKUP($B32,'Table 1-A Sources of evidences'!$A$6:$G$31,6,FALSE)</f>
        <v>#N/A</v>
      </c>
      <c r="K32" s="481"/>
      <c r="L32" s="205"/>
      <c r="M32" s="203"/>
      <c r="N32" s="203"/>
      <c r="O32" s="136" t="str">
        <f t="shared" si="0"/>
        <v>erreur</v>
      </c>
    </row>
    <row r="33" spans="1:15" ht="33" customHeight="1" x14ac:dyDescent="0.25">
      <c r="A33" s="575"/>
      <c r="B33" s="283"/>
      <c r="C33" s="120" t="e">
        <f>VLOOKUP($B33,'Table 1-A Sources of evidences'!$A$6:$G$31,2,FALSE)</f>
        <v>#N/A</v>
      </c>
      <c r="D33" s="571" t="e">
        <f>VLOOKUP($B33,'Table 1-A Sources of evidences'!$A$6:$G$31,3,FALSE)</f>
        <v>#N/A</v>
      </c>
      <c r="E33" s="572"/>
      <c r="F33" s="571" t="e">
        <f>VLOOKUP($B33,'Table 1-A Sources of evidences'!$A$6:$G$31,4,FALSE)</f>
        <v>#N/A</v>
      </c>
      <c r="G33" s="573"/>
      <c r="H33" s="572"/>
      <c r="I33" s="120" t="e">
        <f>VLOOKUP($B33,'Table 1-A Sources of evidences'!$A$6:$G$31,5,FALSE)</f>
        <v>#N/A</v>
      </c>
      <c r="J33" s="120" t="e">
        <f>VLOOKUP($B33,'Table 1-A Sources of evidences'!$A$6:$G$31,6,FALSE)</f>
        <v>#N/A</v>
      </c>
      <c r="K33" s="481"/>
      <c r="L33" s="205"/>
      <c r="M33" s="203"/>
      <c r="N33" s="203"/>
      <c r="O33" s="136" t="str">
        <f t="shared" si="0"/>
        <v>erreur</v>
      </c>
    </row>
    <row r="34" spans="1:15" ht="33" customHeight="1" x14ac:dyDescent="0.25">
      <c r="A34" s="575"/>
      <c r="B34" s="283"/>
      <c r="C34" s="120" t="e">
        <f>VLOOKUP($B34,'Table 1-A Sources of evidences'!$A$6:$G$31,2,FALSE)</f>
        <v>#N/A</v>
      </c>
      <c r="D34" s="571" t="e">
        <f>VLOOKUP($B34,'Table 1-A Sources of evidences'!$A$6:$G$31,3,FALSE)</f>
        <v>#N/A</v>
      </c>
      <c r="E34" s="572"/>
      <c r="F34" s="571" t="e">
        <f>VLOOKUP($B34,'Table 1-A Sources of evidences'!$A$6:$G$31,4,FALSE)</f>
        <v>#N/A</v>
      </c>
      <c r="G34" s="573"/>
      <c r="H34" s="572"/>
      <c r="I34" s="120" t="e">
        <f>VLOOKUP($B34,'Table 1-A Sources of evidences'!$A$6:$G$31,5,FALSE)</f>
        <v>#N/A</v>
      </c>
      <c r="J34" s="120" t="e">
        <f>VLOOKUP($B34,'Table 1-A Sources of evidences'!$A$6:$G$31,6,FALSE)</f>
        <v>#N/A</v>
      </c>
      <c r="K34" s="481"/>
      <c r="L34" s="205"/>
      <c r="M34" s="203"/>
      <c r="N34" s="203"/>
      <c r="O34" s="136" t="str">
        <f t="shared" si="0"/>
        <v>erreur</v>
      </c>
    </row>
    <row r="35" spans="1:15" ht="33" customHeight="1" x14ac:dyDescent="0.25">
      <c r="A35" s="575"/>
      <c r="B35" s="283"/>
      <c r="C35" s="120" t="e">
        <f>VLOOKUP($B35,'Table 1-A Sources of evidences'!$A$6:$G$31,2,FALSE)</f>
        <v>#N/A</v>
      </c>
      <c r="D35" s="571" t="e">
        <f>VLOOKUP($B35,'Table 1-A Sources of evidences'!$A$6:$G$31,3,FALSE)</f>
        <v>#N/A</v>
      </c>
      <c r="E35" s="572"/>
      <c r="F35" s="571" t="e">
        <f>VLOOKUP($B35,'Table 1-A Sources of evidences'!$A$6:$G$31,4,FALSE)</f>
        <v>#N/A</v>
      </c>
      <c r="G35" s="573"/>
      <c r="H35" s="572"/>
      <c r="I35" s="120" t="e">
        <f>VLOOKUP($B35,'Table 1-A Sources of evidences'!$A$6:$G$31,5,FALSE)</f>
        <v>#N/A</v>
      </c>
      <c r="J35" s="120" t="e">
        <f>VLOOKUP($B35,'Table 1-A Sources of evidences'!$A$6:$G$31,6,FALSE)</f>
        <v>#N/A</v>
      </c>
      <c r="K35" s="481"/>
      <c r="L35" s="205"/>
      <c r="M35" s="203"/>
      <c r="N35" s="203"/>
      <c r="O35" s="136" t="str">
        <f t="shared" si="0"/>
        <v>erreur</v>
      </c>
    </row>
    <row r="36" spans="1:15" ht="33" customHeight="1" x14ac:dyDescent="0.25">
      <c r="A36" s="575"/>
      <c r="B36" s="283"/>
      <c r="C36" s="120" t="e">
        <f>VLOOKUP($B36,'Table 1-A Sources of evidences'!$A$6:$G$31,2,FALSE)</f>
        <v>#N/A</v>
      </c>
      <c r="D36" s="571" t="e">
        <f>VLOOKUP($B36,'Table 1-A Sources of evidences'!$A$6:$G$31,3,FALSE)</f>
        <v>#N/A</v>
      </c>
      <c r="E36" s="572"/>
      <c r="F36" s="571" t="e">
        <f>VLOOKUP($B36,'Table 1-A Sources of evidences'!$A$6:$G$31,4,FALSE)</f>
        <v>#N/A</v>
      </c>
      <c r="G36" s="573"/>
      <c r="H36" s="572"/>
      <c r="I36" s="120" t="e">
        <f>VLOOKUP($B36,'Table 1-A Sources of evidences'!$A$6:$G$31,5,FALSE)</f>
        <v>#N/A</v>
      </c>
      <c r="J36" s="120" t="e">
        <f>VLOOKUP($B36,'Table 1-A Sources of evidences'!$A$6:$G$31,6,FALSE)</f>
        <v>#N/A</v>
      </c>
      <c r="K36" s="481"/>
      <c r="L36" s="205"/>
      <c r="M36" s="242"/>
      <c r="N36" s="242"/>
      <c r="O36" s="136" t="str">
        <f t="shared" ref="O36:O37" si="3">IF(M36="V-nu","F0",IF(AND(M36="V1",N36="T1"),"F0",IF(AND(M36="V1",N36="T2"),"F1",IF(AND(M36="V1",N36="T3"),"F1",IF(AND(M36="V2",N36="T1"),"F1",IF(AND(M36="V2",N36="T2"),"F2",IF(AND(M36="V2",N36="T3"),"F2",IF(AND(M36="V3",N36="T1"),"F1",IF(AND(M36="V3",N36="T2"),"F2",IF(AND(M36="V3",N36="T3"),"F3","erreur"))))))))))</f>
        <v>erreur</v>
      </c>
    </row>
    <row r="37" spans="1:15" ht="33" customHeight="1" x14ac:dyDescent="0.25">
      <c r="A37" s="575"/>
      <c r="B37" s="283"/>
      <c r="C37" s="120" t="e">
        <f>VLOOKUP($B37,'Table 1-A Sources of evidences'!$A$6:$G$31,2,FALSE)</f>
        <v>#N/A</v>
      </c>
      <c r="D37" s="571" t="e">
        <f>VLOOKUP($B37,'Table 1-A Sources of evidences'!$A$6:$G$31,3,FALSE)</f>
        <v>#N/A</v>
      </c>
      <c r="E37" s="572"/>
      <c r="F37" s="571" t="e">
        <f>VLOOKUP($B37,'Table 1-A Sources of evidences'!$A$6:$G$31,4,FALSE)</f>
        <v>#N/A</v>
      </c>
      <c r="G37" s="573"/>
      <c r="H37" s="572"/>
      <c r="I37" s="120" t="e">
        <f>VLOOKUP($B37,'Table 1-A Sources of evidences'!$A$6:$G$31,5,FALSE)</f>
        <v>#N/A</v>
      </c>
      <c r="J37" s="120" t="e">
        <f>VLOOKUP($B37,'Table 1-A Sources of evidences'!$A$6:$G$31,6,FALSE)</f>
        <v>#N/A</v>
      </c>
      <c r="K37" s="481"/>
      <c r="L37" s="205"/>
      <c r="M37" s="242"/>
      <c r="N37" s="242"/>
      <c r="O37" s="136" t="str">
        <f t="shared" si="3"/>
        <v>erreur</v>
      </c>
    </row>
    <row r="38" spans="1:15" ht="33" customHeight="1" x14ac:dyDescent="0.25">
      <c r="A38" s="575"/>
      <c r="B38" s="283"/>
      <c r="C38" s="120" t="e">
        <f>VLOOKUP($B38,'Table 1-A Sources of evidences'!$A$6:$G$31,2,FALSE)</f>
        <v>#N/A</v>
      </c>
      <c r="D38" s="571" t="e">
        <f>VLOOKUP($B38,'Table 1-A Sources of evidences'!$A$6:$G$31,3,FALSE)</f>
        <v>#N/A</v>
      </c>
      <c r="E38" s="572"/>
      <c r="F38" s="571" t="e">
        <f>VLOOKUP($B38,'Table 1-A Sources of evidences'!$A$6:$G$31,4,FALSE)</f>
        <v>#N/A</v>
      </c>
      <c r="G38" s="573"/>
      <c r="H38" s="572"/>
      <c r="I38" s="120" t="e">
        <f>VLOOKUP($B38,'Table 1-A Sources of evidences'!$A$6:$G$31,5,FALSE)</f>
        <v>#N/A</v>
      </c>
      <c r="J38" s="120" t="e">
        <f>VLOOKUP($B38,'Table 1-A Sources of evidences'!$A$6:$G$31,6,FALSE)</f>
        <v>#N/A</v>
      </c>
      <c r="K38" s="481"/>
      <c r="L38" s="205"/>
      <c r="M38" s="203"/>
      <c r="N38" s="203"/>
      <c r="O38" s="136" t="str">
        <f t="shared" si="0"/>
        <v>erreur</v>
      </c>
    </row>
    <row r="39" spans="1:15" ht="7.35" customHeight="1" x14ac:dyDescent="0.25">
      <c r="A39" s="576"/>
      <c r="B39" s="124"/>
      <c r="C39" s="5"/>
      <c r="D39" s="5"/>
      <c r="E39" s="5"/>
      <c r="F39" s="5"/>
      <c r="G39" s="5"/>
      <c r="H39" s="5"/>
      <c r="I39" s="5"/>
      <c r="J39" s="5"/>
      <c r="K39" s="5"/>
      <c r="L39" s="293"/>
      <c r="M39" s="5"/>
      <c r="N39" s="5"/>
      <c r="O39" s="135"/>
    </row>
    <row r="40" spans="1:15" ht="45.75" customHeight="1" x14ac:dyDescent="0.25">
      <c r="A40" s="574" t="s">
        <v>133</v>
      </c>
      <c r="B40" s="283">
        <v>15</v>
      </c>
      <c r="C40" s="120" t="str">
        <f>VLOOKUP($B40,'Table 1-A Sources of evidences'!$A$6:$G$31,2,FALSE)</f>
        <v>Market Price Data</v>
      </c>
      <c r="D40" s="571" t="str">
        <f>VLOOKUP($B40,'Table 1-A Sources of evidences'!$A$6:$G$31,3,FALSE)</f>
        <v>FEWSNET</v>
      </c>
      <c r="E40" s="572"/>
      <c r="F40" s="571" t="str">
        <f>VLOOKUP($B40,'Table 1-A Sources of evidences'!$A$6:$G$31,4,FALSE)</f>
        <v>Weekly Market Price Monitoring using questionner and CAPI</v>
      </c>
      <c r="G40" s="573"/>
      <c r="H40" s="572"/>
      <c r="I40" s="120">
        <f>VLOOKUP($B40,'Table 1-A Sources of evidences'!$A$6:$G$31,5,FALSE)</f>
        <v>43709</v>
      </c>
      <c r="J40" s="120">
        <f>VLOOKUP($B40,'Table 1-A Sources of evidences'!$A$6:$G$31,6,FALSE)</f>
        <v>43709</v>
      </c>
      <c r="K40" s="481" t="s">
        <v>365</v>
      </c>
      <c r="L40" s="205" t="s">
        <v>364</v>
      </c>
      <c r="M40" s="203" t="s">
        <v>349</v>
      </c>
      <c r="N40" s="203" t="s">
        <v>366</v>
      </c>
      <c r="O40" s="136" t="str">
        <f t="shared" si="0"/>
        <v>F2</v>
      </c>
    </row>
    <row r="41" spans="1:15" ht="32.25" customHeight="1" x14ac:dyDescent="0.25">
      <c r="A41" s="575"/>
      <c r="B41" s="1105" t="s">
        <v>69</v>
      </c>
      <c r="C41" s="120" t="e">
        <f>VLOOKUP($B41,'Table 1-A Sources of evidences'!$A$6:$G$31,2,FALSE)</f>
        <v>#N/A</v>
      </c>
      <c r="D41" s="571" t="e">
        <f>VLOOKUP($B41,'Table 1-A Sources of evidences'!$A$6:$G$31,3,FALSE)</f>
        <v>#N/A</v>
      </c>
      <c r="E41" s="572"/>
      <c r="F41" s="571" t="e">
        <f>VLOOKUP($B41,'Table 1-A Sources of evidences'!$A$6:$G$31,4,FALSE)</f>
        <v>#N/A</v>
      </c>
      <c r="G41" s="573"/>
      <c r="H41" s="572"/>
      <c r="I41" s="120" t="e">
        <f>VLOOKUP($B41,'Table 1-A Sources of evidences'!$A$6:$G$31,5,FALSE)</f>
        <v>#N/A</v>
      </c>
      <c r="J41" s="120" t="e">
        <f>VLOOKUP($B41,'Table 1-A Sources of evidences'!$A$6:$G$31,6,FALSE)</f>
        <v>#N/A</v>
      </c>
      <c r="K41" s="481"/>
      <c r="L41" s="205" t="s">
        <v>69</v>
      </c>
      <c r="M41" s="203"/>
      <c r="N41" s="203"/>
      <c r="O41" s="136" t="str">
        <f t="shared" si="0"/>
        <v>erreur</v>
      </c>
    </row>
    <row r="42" spans="1:15" ht="32.25" customHeight="1" x14ac:dyDescent="0.25">
      <c r="A42" s="575"/>
      <c r="B42" s="283"/>
      <c r="C42" s="120" t="e">
        <f>VLOOKUP($B42,'Table 1-A Sources of evidences'!$A$6:$G$31,2,FALSE)</f>
        <v>#N/A</v>
      </c>
      <c r="D42" s="571" t="e">
        <f>VLOOKUP($B42,'Table 1-A Sources of evidences'!$A$6:$G$31,3,FALSE)</f>
        <v>#N/A</v>
      </c>
      <c r="E42" s="572"/>
      <c r="F42" s="571" t="e">
        <f>VLOOKUP($B42,'Table 1-A Sources of evidences'!$A$6:$G$31,4,FALSE)</f>
        <v>#N/A</v>
      </c>
      <c r="G42" s="573"/>
      <c r="H42" s="572"/>
      <c r="I42" s="120" t="e">
        <f>VLOOKUP($B42,'Table 1-A Sources of evidences'!$A$6:$G$31,5,FALSE)</f>
        <v>#N/A</v>
      </c>
      <c r="J42" s="120" t="e">
        <f>VLOOKUP($B42,'Table 1-A Sources of evidences'!$A$6:$G$31,6,FALSE)</f>
        <v>#N/A</v>
      </c>
      <c r="K42" s="481"/>
      <c r="L42" s="205"/>
      <c r="M42" s="203"/>
      <c r="N42" s="203"/>
      <c r="O42" s="136" t="str">
        <f t="shared" si="0"/>
        <v>erreur</v>
      </c>
    </row>
    <row r="43" spans="1:15" ht="32.25" customHeight="1" x14ac:dyDescent="0.25">
      <c r="A43" s="575"/>
      <c r="B43" s="283"/>
      <c r="C43" s="120" t="e">
        <f>VLOOKUP($B43,'Table 1-A Sources of evidences'!$A$6:$G$31,2,FALSE)</f>
        <v>#N/A</v>
      </c>
      <c r="D43" s="571" t="e">
        <f>VLOOKUP($B43,'Table 1-A Sources of evidences'!$A$6:$G$31,3,FALSE)</f>
        <v>#N/A</v>
      </c>
      <c r="E43" s="572"/>
      <c r="F43" s="571" t="e">
        <f>VLOOKUP($B43,'Table 1-A Sources of evidences'!$A$6:$G$31,4,FALSE)</f>
        <v>#N/A</v>
      </c>
      <c r="G43" s="573"/>
      <c r="H43" s="572"/>
      <c r="I43" s="120" t="e">
        <f>VLOOKUP($B43,'Table 1-A Sources of evidences'!$A$6:$G$31,5,FALSE)</f>
        <v>#N/A</v>
      </c>
      <c r="J43" s="120" t="e">
        <f>VLOOKUP($B43,'Table 1-A Sources of evidences'!$A$6:$G$31,6,FALSE)</f>
        <v>#N/A</v>
      </c>
      <c r="K43" s="481"/>
      <c r="L43" s="205"/>
      <c r="M43" s="242"/>
      <c r="N43" s="242"/>
      <c r="O43" s="136" t="str">
        <f t="shared" si="0"/>
        <v>erreur</v>
      </c>
    </row>
    <row r="44" spans="1:15" ht="32.25" customHeight="1" x14ac:dyDescent="0.25">
      <c r="A44" s="575"/>
      <c r="B44" s="283"/>
      <c r="C44" s="120" t="e">
        <f>VLOOKUP($B44,'Table 1-A Sources of evidences'!$A$6:$G$31,2,FALSE)</f>
        <v>#N/A</v>
      </c>
      <c r="D44" s="571" t="e">
        <f>VLOOKUP($B44,'Table 1-A Sources of evidences'!$A$6:$G$31,3,FALSE)</f>
        <v>#N/A</v>
      </c>
      <c r="E44" s="572"/>
      <c r="F44" s="571" t="e">
        <f>VLOOKUP($B44,'Table 1-A Sources of evidences'!$A$6:$G$31,4,FALSE)</f>
        <v>#N/A</v>
      </c>
      <c r="G44" s="573"/>
      <c r="H44" s="572"/>
      <c r="I44" s="120" t="e">
        <f>VLOOKUP($B44,'Table 1-A Sources of evidences'!$A$6:$G$31,5,FALSE)</f>
        <v>#N/A</v>
      </c>
      <c r="J44" s="120" t="e">
        <f>VLOOKUP($B44,'Table 1-A Sources of evidences'!$A$6:$G$31,6,FALSE)</f>
        <v>#N/A</v>
      </c>
      <c r="K44" s="481"/>
      <c r="L44" s="205"/>
      <c r="M44" s="242"/>
      <c r="N44" s="242"/>
      <c r="O44" s="136" t="str">
        <f t="shared" ref="O44:O51" si="4">IF(M44="V-nu","F0",IF(AND(M44="V1",N44="T1"),"F0",IF(AND(M44="V1",N44="T2"),"F1",IF(AND(M44="V1",N44="T3"),"F1",IF(AND(M44="V2",N44="T1"),"F1",IF(AND(M44="V2",N44="T2"),"F2",IF(AND(M44="V2",N44="T3"),"F2",IF(AND(M44="V3",N44="T1"),"F1",IF(AND(M44="V3",N44="T2"),"F2",IF(AND(M44="V3",N44="T3"),"F3","erreur"))))))))))</f>
        <v>erreur</v>
      </c>
    </row>
    <row r="45" spans="1:15" ht="32.25" customHeight="1" x14ac:dyDescent="0.25">
      <c r="A45" s="575"/>
      <c r="B45" s="283"/>
      <c r="C45" s="120" t="e">
        <f>VLOOKUP($B45,'Table 1-A Sources of evidences'!$A$6:$G$31,2,FALSE)</f>
        <v>#N/A</v>
      </c>
      <c r="D45" s="571" t="e">
        <f>VLOOKUP($B45,'Table 1-A Sources of evidences'!$A$6:$G$31,3,FALSE)</f>
        <v>#N/A</v>
      </c>
      <c r="E45" s="572"/>
      <c r="F45" s="571" t="e">
        <f>VLOOKUP($B45,'Table 1-A Sources of evidences'!$A$6:$G$31,4,FALSE)</f>
        <v>#N/A</v>
      </c>
      <c r="G45" s="573"/>
      <c r="H45" s="572"/>
      <c r="I45" s="120" t="e">
        <f>VLOOKUP($B45,'Table 1-A Sources of evidences'!$A$6:$G$31,5,FALSE)</f>
        <v>#N/A</v>
      </c>
      <c r="J45" s="120" t="e">
        <f>VLOOKUP($B45,'Table 1-A Sources of evidences'!$A$6:$G$31,6,FALSE)</f>
        <v>#N/A</v>
      </c>
      <c r="K45" s="481"/>
      <c r="L45" s="205"/>
      <c r="M45" s="242"/>
      <c r="N45" s="242"/>
      <c r="O45" s="136" t="str">
        <f t="shared" si="4"/>
        <v>erreur</v>
      </c>
    </row>
    <row r="46" spans="1:15" ht="95.25" customHeight="1" x14ac:dyDescent="0.25">
      <c r="A46" s="575"/>
      <c r="B46" s="283"/>
      <c r="C46" s="120" t="e">
        <f>VLOOKUP($B46,'Table 1-A Sources of evidences'!$A$6:$G$31,2,FALSE)</f>
        <v>#N/A</v>
      </c>
      <c r="D46" s="571" t="e">
        <f>VLOOKUP($B46,'Table 1-A Sources of evidences'!$A$6:$G$31,3,FALSE)</f>
        <v>#N/A</v>
      </c>
      <c r="E46" s="572"/>
      <c r="F46" s="571" t="e">
        <f>VLOOKUP($B46,'Table 1-A Sources of evidences'!$A$6:$G$31,4,FALSE)</f>
        <v>#N/A</v>
      </c>
      <c r="G46" s="573"/>
      <c r="H46" s="572"/>
      <c r="I46" s="120" t="e">
        <f>VLOOKUP($B46,'Table 1-A Sources of evidences'!$A$6:$G$31,5,FALSE)</f>
        <v>#N/A</v>
      </c>
      <c r="J46" s="120" t="e">
        <f>VLOOKUP($B46,'Table 1-A Sources of evidences'!$A$6:$G$31,6,FALSE)</f>
        <v>#N/A</v>
      </c>
      <c r="K46" s="481"/>
      <c r="L46" s="205"/>
      <c r="M46" s="306"/>
      <c r="N46" s="306"/>
      <c r="O46" s="136" t="str">
        <f t="shared" si="4"/>
        <v>erreur</v>
      </c>
    </row>
    <row r="47" spans="1:15" ht="99" customHeight="1" x14ac:dyDescent="0.25">
      <c r="A47" s="575"/>
      <c r="B47" s="400"/>
      <c r="C47" s="120" t="e">
        <f>VLOOKUP($B47,'Table 1-A Sources of evidences'!$A$6:$G$31,2,FALSE)</f>
        <v>#N/A</v>
      </c>
      <c r="D47" s="571" t="e">
        <f>VLOOKUP($B47,'Table 1-A Sources of evidences'!$A$6:$G$31,3,FALSE)</f>
        <v>#N/A</v>
      </c>
      <c r="E47" s="572"/>
      <c r="F47" s="571" t="e">
        <f>VLOOKUP($B47,'Table 1-A Sources of evidences'!$A$6:$G$31,4,FALSE)</f>
        <v>#N/A</v>
      </c>
      <c r="G47" s="573"/>
      <c r="H47" s="572"/>
      <c r="I47" s="120" t="e">
        <f>VLOOKUP($B47,'Table 1-A Sources of evidences'!$A$6:$G$31,5,FALSE)</f>
        <v>#N/A</v>
      </c>
      <c r="J47" s="120" t="e">
        <f>VLOOKUP($B47,'Table 1-A Sources of evidences'!$A$6:$G$31,6,FALSE)</f>
        <v>#N/A</v>
      </c>
      <c r="K47" s="481"/>
      <c r="L47" s="205"/>
      <c r="M47" s="306"/>
      <c r="N47" s="306"/>
      <c r="O47" s="136" t="str">
        <f t="shared" si="4"/>
        <v>erreur</v>
      </c>
    </row>
    <row r="48" spans="1:15" ht="32.25" customHeight="1" x14ac:dyDescent="0.25">
      <c r="A48" s="575"/>
      <c r="B48" s="283"/>
      <c r="C48" s="120" t="e">
        <f>VLOOKUP($B48,'Table 1-A Sources of evidences'!$A$6:$G$31,2,FALSE)</f>
        <v>#N/A</v>
      </c>
      <c r="D48" s="571" t="e">
        <f>VLOOKUP($B48,'Table 1-A Sources of evidences'!$A$6:$G$31,3,FALSE)</f>
        <v>#N/A</v>
      </c>
      <c r="E48" s="572"/>
      <c r="F48" s="571" t="e">
        <f>VLOOKUP($B48,'Table 1-A Sources of evidences'!$A$6:$G$31,4,FALSE)</f>
        <v>#N/A</v>
      </c>
      <c r="G48" s="573"/>
      <c r="H48" s="572"/>
      <c r="I48" s="120" t="e">
        <f>VLOOKUP($B48,'Table 1-A Sources of evidences'!$A$6:$G$31,5,FALSE)</f>
        <v>#N/A</v>
      </c>
      <c r="J48" s="120" t="e">
        <f>VLOOKUP($B48,'Table 1-A Sources of evidences'!$A$6:$G$31,6,FALSE)</f>
        <v>#N/A</v>
      </c>
      <c r="K48" s="481"/>
      <c r="L48" s="205"/>
      <c r="M48" s="306"/>
      <c r="N48" s="306"/>
      <c r="O48" s="136" t="str">
        <f t="shared" si="4"/>
        <v>erreur</v>
      </c>
    </row>
    <row r="49" spans="1:15" ht="32.25" customHeight="1" x14ac:dyDescent="0.25">
      <c r="A49" s="575"/>
      <c r="B49" s="283"/>
      <c r="C49" s="120" t="e">
        <f>VLOOKUP($B49,'Table 1-A Sources of evidences'!$A$6:$G$31,2,FALSE)</f>
        <v>#N/A</v>
      </c>
      <c r="D49" s="571" t="e">
        <f>VLOOKUP($B49,'Table 1-A Sources of evidences'!$A$6:$G$31,3,FALSE)</f>
        <v>#N/A</v>
      </c>
      <c r="E49" s="572"/>
      <c r="F49" s="571" t="e">
        <f>VLOOKUP($B49,'Table 1-A Sources of evidences'!$A$6:$G$31,4,FALSE)</f>
        <v>#N/A</v>
      </c>
      <c r="G49" s="573"/>
      <c r="H49" s="572"/>
      <c r="I49" s="120" t="e">
        <f>VLOOKUP($B49,'Table 1-A Sources of evidences'!$A$6:$G$31,5,FALSE)</f>
        <v>#N/A</v>
      </c>
      <c r="J49" s="120" t="e">
        <f>VLOOKUP($B49,'Table 1-A Sources of evidences'!$A$6:$G$31,6,FALSE)</f>
        <v>#N/A</v>
      </c>
      <c r="K49" s="481"/>
      <c r="L49" s="205"/>
      <c r="M49" s="306"/>
      <c r="N49" s="306"/>
      <c r="O49" s="136" t="str">
        <f t="shared" ref="O49:O50" si="5">IF(M49="V-nu","F0",IF(AND(M49="V1",N49="T1"),"F0",IF(AND(M49="V1",N49="T2"),"F1",IF(AND(M49="V1",N49="T3"),"F1",IF(AND(M49="V2",N49="T1"),"F1",IF(AND(M49="V2",N49="T2"),"F2",IF(AND(M49="V2",N49="T3"),"F2",IF(AND(M49="V3",N49="T1"),"F1",IF(AND(M49="V3",N49="T2"),"F2",IF(AND(M49="V3",N49="T3"),"F3","erreur"))))))))))</f>
        <v>erreur</v>
      </c>
    </row>
    <row r="50" spans="1:15" ht="32.25" customHeight="1" x14ac:dyDescent="0.25">
      <c r="A50" s="575"/>
      <c r="B50" s="283"/>
      <c r="C50" s="120" t="e">
        <f>VLOOKUP($B50,'Table 1-A Sources of evidences'!$A$6:$G$31,2,FALSE)</f>
        <v>#N/A</v>
      </c>
      <c r="D50" s="571" t="e">
        <f>VLOOKUP($B50,'Table 1-A Sources of evidences'!$A$6:$G$31,3,FALSE)</f>
        <v>#N/A</v>
      </c>
      <c r="E50" s="572"/>
      <c r="F50" s="571" t="e">
        <f>VLOOKUP($B50,'Table 1-A Sources of evidences'!$A$6:$G$31,4,FALSE)</f>
        <v>#N/A</v>
      </c>
      <c r="G50" s="573"/>
      <c r="H50" s="572"/>
      <c r="I50" s="120" t="e">
        <f>VLOOKUP($B50,'Table 1-A Sources of evidences'!$A$6:$G$31,5,FALSE)</f>
        <v>#N/A</v>
      </c>
      <c r="J50" s="120" t="e">
        <f>VLOOKUP($B50,'Table 1-A Sources of evidences'!$A$6:$G$31,6,FALSE)</f>
        <v>#N/A</v>
      </c>
      <c r="K50" s="481"/>
      <c r="L50" s="205"/>
      <c r="M50" s="306"/>
      <c r="N50" s="306"/>
      <c r="O50" s="136" t="str">
        <f t="shared" si="5"/>
        <v>erreur</v>
      </c>
    </row>
    <row r="51" spans="1:15" ht="32.25" customHeight="1" x14ac:dyDescent="0.25">
      <c r="A51" s="575"/>
      <c r="B51" s="283"/>
      <c r="C51" s="120" t="e">
        <f>VLOOKUP($B51,'Table 1-A Sources of evidences'!$A$6:$G$31,2,FALSE)</f>
        <v>#N/A</v>
      </c>
      <c r="D51" s="571" t="e">
        <f>VLOOKUP($B51,'Table 1-A Sources of evidences'!$A$6:$G$31,3,FALSE)</f>
        <v>#N/A</v>
      </c>
      <c r="E51" s="572"/>
      <c r="F51" s="571" t="e">
        <f>VLOOKUP($B51,'Table 1-A Sources of evidences'!$A$6:$G$31,4,FALSE)</f>
        <v>#N/A</v>
      </c>
      <c r="G51" s="573"/>
      <c r="H51" s="572"/>
      <c r="I51" s="120" t="e">
        <f>VLOOKUP($B51,'Table 1-A Sources of evidences'!$A$6:$G$31,5,FALSE)</f>
        <v>#N/A</v>
      </c>
      <c r="J51" s="120" t="e">
        <f>VLOOKUP($B51,'Table 1-A Sources of evidences'!$A$6:$G$31,6,FALSE)</f>
        <v>#N/A</v>
      </c>
      <c r="K51" s="481"/>
      <c r="L51" s="205"/>
      <c r="M51" s="242"/>
      <c r="N51" s="242"/>
      <c r="O51" s="136" t="str">
        <f t="shared" si="4"/>
        <v>erreur</v>
      </c>
    </row>
    <row r="52" spans="1:15" ht="32.25" customHeight="1" x14ac:dyDescent="0.25">
      <c r="A52" s="575"/>
      <c r="B52" s="283"/>
      <c r="C52" s="120" t="e">
        <f>VLOOKUP($B52,'Table 1-A Sources of evidences'!$A$6:$G$31,2,FALSE)</f>
        <v>#N/A</v>
      </c>
      <c r="D52" s="571" t="e">
        <f>VLOOKUP($B52,'Table 1-A Sources of evidences'!$A$6:$G$31,3,FALSE)</f>
        <v>#N/A</v>
      </c>
      <c r="E52" s="572"/>
      <c r="F52" s="571" t="e">
        <f>VLOOKUP($B52,'Table 1-A Sources of evidences'!$A$6:$G$31,4,FALSE)</f>
        <v>#N/A</v>
      </c>
      <c r="G52" s="573"/>
      <c r="H52" s="572"/>
      <c r="I52" s="120" t="e">
        <f>VLOOKUP($B52,'Table 1-A Sources of evidences'!$A$6:$G$31,5,FALSE)</f>
        <v>#N/A</v>
      </c>
      <c r="J52" s="120" t="e">
        <f>VLOOKUP($B52,'Table 1-A Sources of evidences'!$A$6:$G$31,6,FALSE)</f>
        <v>#N/A</v>
      </c>
      <c r="K52" s="481"/>
      <c r="L52" s="205"/>
      <c r="M52" s="242"/>
      <c r="N52" s="242"/>
      <c r="O52" s="136" t="str">
        <f t="shared" si="0"/>
        <v>erreur</v>
      </c>
    </row>
    <row r="53" spans="1:15" ht="32.25" customHeight="1" x14ac:dyDescent="0.25">
      <c r="A53" s="575"/>
      <c r="B53" s="283"/>
      <c r="C53" s="120" t="e">
        <f>VLOOKUP($B53,'Table 1-A Sources of evidences'!$A$6:$G$31,2,FALSE)</f>
        <v>#N/A</v>
      </c>
      <c r="D53" s="571" t="e">
        <f>VLOOKUP($B53,'Table 1-A Sources of evidences'!$A$6:$G$31,3,FALSE)</f>
        <v>#N/A</v>
      </c>
      <c r="E53" s="572"/>
      <c r="F53" s="571" t="e">
        <f>VLOOKUP($B53,'Table 1-A Sources of evidences'!$A$6:$G$31,4,FALSE)</f>
        <v>#N/A</v>
      </c>
      <c r="G53" s="573"/>
      <c r="H53" s="572"/>
      <c r="I53" s="120" t="e">
        <f>VLOOKUP($B53,'Table 1-A Sources of evidences'!$A$6:$G$31,5,FALSE)</f>
        <v>#N/A</v>
      </c>
      <c r="J53" s="120" t="e">
        <f>VLOOKUP($B53,'Table 1-A Sources of evidences'!$A$6:$G$31,6,FALSE)</f>
        <v>#N/A</v>
      </c>
      <c r="K53" s="481"/>
      <c r="L53" s="205"/>
      <c r="M53" s="242"/>
      <c r="N53" s="242"/>
      <c r="O53" s="136" t="str">
        <f t="shared" si="0"/>
        <v>erreur</v>
      </c>
    </row>
    <row r="54" spans="1:15" ht="32.25" customHeight="1" x14ac:dyDescent="0.25">
      <c r="A54" s="575"/>
      <c r="B54" s="283"/>
      <c r="C54" s="120" t="e">
        <f>VLOOKUP($B54,'Table 1-A Sources of evidences'!$A$6:$G$31,2,FALSE)</f>
        <v>#N/A</v>
      </c>
      <c r="D54" s="571" t="e">
        <f>VLOOKUP($B54,'Table 1-A Sources of evidences'!$A$6:$G$31,3,FALSE)</f>
        <v>#N/A</v>
      </c>
      <c r="E54" s="572"/>
      <c r="F54" s="571" t="e">
        <f>VLOOKUP($B54,'Table 1-A Sources of evidences'!$A$6:$G$31,4,FALSE)</f>
        <v>#N/A</v>
      </c>
      <c r="G54" s="573"/>
      <c r="H54" s="572"/>
      <c r="I54" s="120" t="e">
        <f>VLOOKUP($B54,'Table 1-A Sources of evidences'!$A$6:$G$31,5,FALSE)</f>
        <v>#N/A</v>
      </c>
      <c r="J54" s="120" t="e">
        <f>VLOOKUP($B54,'Table 1-A Sources of evidences'!$A$6:$G$31,6,FALSE)</f>
        <v>#N/A</v>
      </c>
      <c r="K54" s="481"/>
      <c r="L54" s="205"/>
      <c r="M54" s="203"/>
      <c r="N54" s="203"/>
      <c r="O54" s="136" t="str">
        <f t="shared" si="0"/>
        <v>erreur</v>
      </c>
    </row>
    <row r="55" spans="1:15" ht="6.75" customHeight="1" x14ac:dyDescent="0.25">
      <c r="A55" s="576"/>
      <c r="B55" s="124"/>
      <c r="C55" s="5"/>
      <c r="D55" s="5"/>
      <c r="E55" s="5"/>
      <c r="F55" s="5"/>
      <c r="G55" s="5"/>
      <c r="H55" s="5"/>
      <c r="I55" s="5"/>
      <c r="J55" s="5"/>
      <c r="K55" s="5"/>
      <c r="L55" s="293"/>
      <c r="M55" s="5"/>
      <c r="N55" s="5"/>
      <c r="O55" s="135"/>
    </row>
    <row r="56" spans="1:15" ht="36.75" customHeight="1" x14ac:dyDescent="0.25">
      <c r="A56" s="580" t="s">
        <v>134</v>
      </c>
      <c r="B56" s="1105">
        <v>1</v>
      </c>
      <c r="C56" s="120" t="str">
        <f>VLOOKUP($B56,'Table 1-A Sources of evidences'!$A$6:$G$31,2,FALSE)</f>
        <v>Emergency Food Security Assessment(EFSA)</v>
      </c>
      <c r="D56" s="571" t="str">
        <f>VLOOKUP($B56,'Table 1-A Sources of evidences'!$A$6:$G$31,3,FALSE)</f>
        <v>WFP/NBS and Partners</v>
      </c>
      <c r="E56" s="572"/>
      <c r="F56" s="571" t="str">
        <f>VLOOKUP($B56,'Table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56" s="573"/>
      <c r="H56" s="572"/>
      <c r="I56" s="120">
        <f>VLOOKUP($B56,'Table 1-A Sources of evidences'!$A$6:$G$31,5,FALSE)</f>
        <v>43739</v>
      </c>
      <c r="J56" s="120" t="str">
        <f>VLOOKUP($B56,'Table 1-A Sources of evidences'!$A$6:$G$31,6,FALSE)</f>
        <v>Oct_2019</v>
      </c>
      <c r="K56" s="481"/>
      <c r="L56" s="205" t="s">
        <v>358</v>
      </c>
      <c r="M56" s="203" t="s">
        <v>349</v>
      </c>
      <c r="N56" s="203" t="s">
        <v>350</v>
      </c>
      <c r="O56" s="136" t="str">
        <f t="shared" si="0"/>
        <v>F2</v>
      </c>
    </row>
    <row r="57" spans="1:15" ht="36.75" customHeight="1" x14ac:dyDescent="0.25">
      <c r="A57" s="581"/>
      <c r="B57" s="1105">
        <v>1</v>
      </c>
      <c r="C57" s="120" t="str">
        <f>VLOOKUP($B57,'Table 1-A Sources of evidences'!$A$6:$G$31,2,FALSE)</f>
        <v>Emergency Food Security Assessment(EFSA)</v>
      </c>
      <c r="D57" s="571" t="str">
        <f>VLOOKUP($B57,'Table 1-A Sources of evidences'!$A$6:$G$31,3,FALSE)</f>
        <v>WFP/NBS and Partners</v>
      </c>
      <c r="E57" s="572"/>
      <c r="F57" s="571" t="str">
        <f>VLOOKUP($B57,'Table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57" s="573"/>
      <c r="H57" s="572"/>
      <c r="I57" s="120">
        <f>VLOOKUP($B57,'Table 1-A Sources of evidences'!$A$6:$G$31,5,FALSE)</f>
        <v>43739</v>
      </c>
      <c r="J57" s="120" t="str">
        <f>VLOOKUP($B57,'Table 1-A Sources of evidences'!$A$6:$G$31,6,FALSE)</f>
        <v>Oct_2019</v>
      </c>
      <c r="K57" s="481"/>
      <c r="L57" s="204" t="s">
        <v>359</v>
      </c>
      <c r="M57" s="203" t="s">
        <v>349</v>
      </c>
      <c r="N57" s="203" t="s">
        <v>350</v>
      </c>
      <c r="O57" s="136" t="str">
        <f t="shared" si="0"/>
        <v>F2</v>
      </c>
    </row>
    <row r="58" spans="1:15" ht="36.75" customHeight="1" x14ac:dyDescent="0.25">
      <c r="A58" s="581"/>
      <c r="B58" s="1105">
        <v>1</v>
      </c>
      <c r="C58" s="120" t="str">
        <f>VLOOKUP($B58,'Table 1-A Sources of evidences'!$A$6:$G$31,2,FALSE)</f>
        <v>Emergency Food Security Assessment(EFSA)</v>
      </c>
      <c r="D58" s="571" t="str">
        <f>VLOOKUP($B58,'Table 1-A Sources of evidences'!$A$6:$G$31,3,FALSE)</f>
        <v>WFP/NBS and Partners</v>
      </c>
      <c r="E58" s="572"/>
      <c r="F58" s="571" t="str">
        <f>VLOOKUP($B58,'Table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58" s="573"/>
      <c r="H58" s="572"/>
      <c r="I58" s="120">
        <f>VLOOKUP($B58,'Table 1-A Sources of evidences'!$A$6:$G$31,5,FALSE)</f>
        <v>43739</v>
      </c>
      <c r="J58" s="120" t="str">
        <f>VLOOKUP($B58,'Table 1-A Sources of evidences'!$A$6:$G$31,6,FALSE)</f>
        <v>Oct_2019</v>
      </c>
      <c r="K58" s="481"/>
      <c r="L58" s="204" t="s">
        <v>360</v>
      </c>
      <c r="M58" s="203" t="s">
        <v>349</v>
      </c>
      <c r="N58" s="203" t="s">
        <v>350</v>
      </c>
      <c r="O58" s="136" t="str">
        <f t="shared" si="0"/>
        <v>F2</v>
      </c>
    </row>
    <row r="59" spans="1:15" ht="36.75" customHeight="1" x14ac:dyDescent="0.25">
      <c r="A59" s="581"/>
      <c r="B59" s="1105">
        <v>1</v>
      </c>
      <c r="C59" s="120" t="str">
        <f>VLOOKUP($B59,'Table 1-A Sources of evidences'!$A$6:$G$31,2,FALSE)</f>
        <v>Emergency Food Security Assessment(EFSA)</v>
      </c>
      <c r="D59" s="571" t="str">
        <f>VLOOKUP($B59,'Table 1-A Sources of evidences'!$A$6:$G$31,3,FALSE)</f>
        <v>WFP/NBS and Partners</v>
      </c>
      <c r="E59" s="572"/>
      <c r="F59" s="571" t="str">
        <f>VLOOKUP($B59,'Table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59" s="573"/>
      <c r="H59" s="572"/>
      <c r="I59" s="120">
        <f>VLOOKUP($B59,'Table 1-A Sources of evidences'!$A$6:$G$31,5,FALSE)</f>
        <v>43739</v>
      </c>
      <c r="J59" s="120" t="str">
        <f>VLOOKUP($B59,'Table 1-A Sources of evidences'!$A$6:$G$31,6,FALSE)</f>
        <v>Oct_2019</v>
      </c>
      <c r="K59" s="481"/>
      <c r="L59" s="204" t="s">
        <v>361</v>
      </c>
      <c r="M59" s="203" t="s">
        <v>349</v>
      </c>
      <c r="N59" s="203" t="s">
        <v>350</v>
      </c>
      <c r="O59" s="136" t="str">
        <f t="shared" si="0"/>
        <v>F2</v>
      </c>
    </row>
    <row r="60" spans="1:15" ht="36.75" customHeight="1" x14ac:dyDescent="0.25">
      <c r="A60" s="581"/>
      <c r="B60" s="283"/>
      <c r="C60" s="120" t="e">
        <f>VLOOKUP($B60,'Table 1-A Sources of evidences'!$A$6:$G$31,2,FALSE)</f>
        <v>#N/A</v>
      </c>
      <c r="D60" s="571" t="e">
        <f>VLOOKUP($B60,'Table 1-A Sources of evidences'!$A$6:$G$31,3,FALSE)</f>
        <v>#N/A</v>
      </c>
      <c r="E60" s="572"/>
      <c r="F60" s="571" t="e">
        <f>VLOOKUP($B60,'Table 1-A Sources of evidences'!$A$6:$G$31,4,FALSE)</f>
        <v>#N/A</v>
      </c>
      <c r="G60" s="573"/>
      <c r="H60" s="572"/>
      <c r="I60" s="120" t="e">
        <f>VLOOKUP($B60,'Table 1-A Sources of evidences'!$A$6:$G$31,5,FALSE)</f>
        <v>#N/A</v>
      </c>
      <c r="J60" s="120" t="e">
        <f>VLOOKUP($B60,'Table 1-A Sources of evidences'!$A$6:$G$31,6,FALSE)</f>
        <v>#N/A</v>
      </c>
      <c r="K60" s="481"/>
      <c r="L60" s="204"/>
      <c r="M60" s="203"/>
      <c r="N60" s="203"/>
      <c r="O60" s="136" t="str">
        <f t="shared" si="0"/>
        <v>erreur</v>
      </c>
    </row>
    <row r="61" spans="1:15" ht="51" customHeight="1" x14ac:dyDescent="0.25">
      <c r="A61" s="581"/>
      <c r="B61" s="283"/>
      <c r="C61" s="120" t="e">
        <f>VLOOKUP($B61,'Table 1-A Sources of evidences'!$A$6:$G$31,2,FALSE)</f>
        <v>#N/A</v>
      </c>
      <c r="D61" s="590" t="e">
        <f>VLOOKUP($B61,'Table 1-A Sources of evidences'!$A$6:$G$31,3,FALSE)</f>
        <v>#N/A</v>
      </c>
      <c r="E61" s="592"/>
      <c r="F61" s="571" t="e">
        <f>VLOOKUP($B61,'Table 1-A Sources of evidences'!$A$6:$G$31,4,FALSE)</f>
        <v>#N/A</v>
      </c>
      <c r="G61" s="573"/>
      <c r="H61" s="572"/>
      <c r="I61" s="120" t="e">
        <f>VLOOKUP($B61,'Table 1-A Sources of evidences'!$A$6:$G$31,5,FALSE)</f>
        <v>#N/A</v>
      </c>
      <c r="J61" s="120" t="e">
        <f>VLOOKUP($B61,'Table 1-A Sources of evidences'!$A$6:$G$31,6,FALSE)</f>
        <v>#N/A</v>
      </c>
      <c r="K61" s="481"/>
      <c r="L61" s="204"/>
      <c r="M61" s="203"/>
      <c r="N61" s="203"/>
      <c r="O61" s="136" t="str">
        <f t="shared" si="0"/>
        <v>erreur</v>
      </c>
    </row>
    <row r="62" spans="1:15" ht="36.75" customHeight="1" x14ac:dyDescent="0.25">
      <c r="A62" s="581"/>
      <c r="B62" s="283"/>
      <c r="C62" s="120" t="e">
        <f>VLOOKUP($B62,'Table 1-A Sources of evidences'!$A$6:$G$31,2,FALSE)</f>
        <v>#N/A</v>
      </c>
      <c r="D62" s="571" t="e">
        <f>VLOOKUP($B62,'Table 1-A Sources of evidences'!$A$6:$G$31,3,FALSE)</f>
        <v>#N/A</v>
      </c>
      <c r="E62" s="572"/>
      <c r="F62" s="571" t="e">
        <f>VLOOKUP($B62,'Table 1-A Sources of evidences'!$A$6:$G$31,4,FALSE)</f>
        <v>#N/A</v>
      </c>
      <c r="G62" s="573"/>
      <c r="H62" s="572"/>
      <c r="I62" s="120" t="e">
        <f>VLOOKUP($B62,'Table 1-A Sources of evidences'!$A$6:$G$31,5,FALSE)</f>
        <v>#N/A</v>
      </c>
      <c r="J62" s="120" t="e">
        <f>VLOOKUP($B62,'Table 1-A Sources of evidences'!$A$6:$G$31,6,FALSE)</f>
        <v>#N/A</v>
      </c>
      <c r="K62" s="481"/>
      <c r="L62" s="204"/>
      <c r="M62" s="306"/>
      <c r="N62" s="306"/>
      <c r="O62" s="136" t="str">
        <f t="shared" ref="O62:O66" si="6">IF(M62="V-nu","F0",IF(AND(M62="V1",N62="T1"),"F0",IF(AND(M62="V1",N62="T2"),"F1",IF(AND(M62="V1",N62="T3"),"F1",IF(AND(M62="V2",N62="T1"),"F1",IF(AND(M62="V2",N62="T2"),"F2",IF(AND(M62="V2",N62="T3"),"F2",IF(AND(M62="V3",N62="T1"),"F1",IF(AND(M62="V3",N62="T2"),"F2",IF(AND(M62="V3",N62="T3"),"F3","erreur"))))))))))</f>
        <v>erreur</v>
      </c>
    </row>
    <row r="63" spans="1:15" ht="36.75" customHeight="1" x14ac:dyDescent="0.25">
      <c r="A63" s="581"/>
      <c r="B63" s="283"/>
      <c r="C63" s="120" t="e">
        <f>VLOOKUP($B63,'Table 1-A Sources of evidences'!$A$6:$G$31,2,FALSE)</f>
        <v>#N/A</v>
      </c>
      <c r="D63" s="571" t="e">
        <f>VLOOKUP($B63,'Table 1-A Sources of evidences'!$A$6:$G$31,3,FALSE)</f>
        <v>#N/A</v>
      </c>
      <c r="E63" s="572"/>
      <c r="F63" s="571" t="e">
        <f>VLOOKUP($B63,'Table 1-A Sources of evidences'!$A$6:$G$31,4,FALSE)</f>
        <v>#N/A</v>
      </c>
      <c r="G63" s="573"/>
      <c r="H63" s="572"/>
      <c r="I63" s="120" t="e">
        <f>VLOOKUP($B63,'Table 1-A Sources of evidences'!$A$6:$G$31,5,FALSE)</f>
        <v>#N/A</v>
      </c>
      <c r="J63" s="120" t="e">
        <f>VLOOKUP($B63,'Table 1-A Sources of evidences'!$A$6:$G$31,6,FALSE)</f>
        <v>#N/A</v>
      </c>
      <c r="K63" s="481"/>
      <c r="L63" s="204"/>
      <c r="M63" s="306"/>
      <c r="N63" s="306"/>
      <c r="O63" s="136" t="str">
        <f t="shared" si="6"/>
        <v>erreur</v>
      </c>
    </row>
    <row r="64" spans="1:15" ht="36.75" customHeight="1" x14ac:dyDescent="0.25">
      <c r="A64" s="581"/>
      <c r="B64" s="283"/>
      <c r="C64" s="120" t="e">
        <f>VLOOKUP($B64,'Table 1-A Sources of evidences'!$A$6:$G$31,2,FALSE)</f>
        <v>#N/A</v>
      </c>
      <c r="D64" s="571" t="e">
        <f>VLOOKUP($B64,'Table 1-A Sources of evidences'!$A$6:$G$31,3,FALSE)</f>
        <v>#N/A</v>
      </c>
      <c r="E64" s="572"/>
      <c r="F64" s="571" t="e">
        <f>VLOOKUP($B64,'Table 1-A Sources of evidences'!$A$6:$G$31,4,FALSE)</f>
        <v>#N/A</v>
      </c>
      <c r="G64" s="573"/>
      <c r="H64" s="572"/>
      <c r="I64" s="120" t="e">
        <f>VLOOKUP($B64,'Table 1-A Sources of evidences'!$A$6:$G$31,5,FALSE)</f>
        <v>#N/A</v>
      </c>
      <c r="J64" s="120" t="e">
        <f>VLOOKUP($B64,'Table 1-A Sources of evidences'!$A$6:$G$31,6,FALSE)</f>
        <v>#N/A</v>
      </c>
      <c r="K64" s="481"/>
      <c r="L64" s="204"/>
      <c r="M64" s="306"/>
      <c r="N64" s="306"/>
      <c r="O64" s="136" t="str">
        <f t="shared" si="6"/>
        <v>erreur</v>
      </c>
    </row>
    <row r="65" spans="1:15" ht="36.75" customHeight="1" x14ac:dyDescent="0.25">
      <c r="A65" s="581"/>
      <c r="B65" s="283"/>
      <c r="C65" s="120" t="e">
        <f>VLOOKUP($B65,'Table 1-A Sources of evidences'!$A$6:$G$31,2,FALSE)</f>
        <v>#N/A</v>
      </c>
      <c r="D65" s="571" t="e">
        <f>VLOOKUP($B65,'Table 1-A Sources of evidences'!$A$6:$G$31,3,FALSE)</f>
        <v>#N/A</v>
      </c>
      <c r="E65" s="572"/>
      <c r="F65" s="571" t="e">
        <f>VLOOKUP($B65,'Table 1-A Sources of evidences'!$A$6:$G$31,4,FALSE)</f>
        <v>#N/A</v>
      </c>
      <c r="G65" s="573"/>
      <c r="H65" s="572"/>
      <c r="I65" s="120" t="e">
        <f>VLOOKUP($B65,'Table 1-A Sources of evidences'!$A$6:$G$31,5,FALSE)</f>
        <v>#N/A</v>
      </c>
      <c r="J65" s="120" t="e">
        <f>VLOOKUP($B65,'Table 1-A Sources of evidences'!$A$6:$G$31,6,FALSE)</f>
        <v>#N/A</v>
      </c>
      <c r="K65" s="481"/>
      <c r="L65" s="204"/>
      <c r="M65" s="306"/>
      <c r="N65" s="306"/>
      <c r="O65" s="136" t="str">
        <f t="shared" si="6"/>
        <v>erreur</v>
      </c>
    </row>
    <row r="66" spans="1:15" ht="36.75" customHeight="1" x14ac:dyDescent="0.25">
      <c r="A66" s="581"/>
      <c r="B66" s="283"/>
      <c r="C66" s="120" t="e">
        <f>VLOOKUP($B66,'Table 1-A Sources of evidences'!$A$6:$G$31,2,FALSE)</f>
        <v>#N/A</v>
      </c>
      <c r="D66" s="571" t="e">
        <f>VLOOKUP($B66,'Table 1-A Sources of evidences'!$A$6:$G$31,3,FALSE)</f>
        <v>#N/A</v>
      </c>
      <c r="E66" s="572"/>
      <c r="F66" s="571" t="e">
        <f>VLOOKUP($B66,'Table 1-A Sources of evidences'!$A$6:$G$31,4,FALSE)</f>
        <v>#N/A</v>
      </c>
      <c r="G66" s="573"/>
      <c r="H66" s="572"/>
      <c r="I66" s="120" t="e">
        <f>VLOOKUP($B66,'Table 1-A Sources of evidences'!$A$6:$G$31,5,FALSE)</f>
        <v>#N/A</v>
      </c>
      <c r="J66" s="120" t="e">
        <f>VLOOKUP($B66,'Table 1-A Sources of evidences'!$A$6:$G$31,6,FALSE)</f>
        <v>#N/A</v>
      </c>
      <c r="K66" s="481"/>
      <c r="L66" s="204"/>
      <c r="M66" s="306"/>
      <c r="N66" s="306"/>
      <c r="O66" s="136" t="str">
        <f t="shared" si="6"/>
        <v>erreur</v>
      </c>
    </row>
    <row r="67" spans="1:15" ht="36.75" customHeight="1" x14ac:dyDescent="0.25">
      <c r="A67" s="581"/>
      <c r="B67" s="283"/>
      <c r="C67" s="120" t="e">
        <f>VLOOKUP($B67,'Table 1-A Sources of evidences'!$A$6:$G$31,2,FALSE)</f>
        <v>#N/A</v>
      </c>
      <c r="D67" s="571" t="e">
        <f>VLOOKUP($B67,'Table 1-A Sources of evidences'!$A$6:$G$31,3,FALSE)</f>
        <v>#N/A</v>
      </c>
      <c r="E67" s="572"/>
      <c r="F67" s="571" t="e">
        <f>VLOOKUP($B67,'Table 1-A Sources of evidences'!$A$6:$G$31,4,FALSE)</f>
        <v>#N/A</v>
      </c>
      <c r="G67" s="573"/>
      <c r="H67" s="572"/>
      <c r="I67" s="120" t="e">
        <f>VLOOKUP($B67,'Table 1-A Sources of evidences'!$A$6:$G$31,5,FALSE)</f>
        <v>#N/A</v>
      </c>
      <c r="J67" s="120" t="e">
        <f>VLOOKUP($B67,'Table 1-A Sources of evidences'!$A$6:$G$31,6,FALSE)</f>
        <v>#N/A</v>
      </c>
      <c r="K67" s="481"/>
      <c r="L67" s="204"/>
      <c r="M67" s="203"/>
      <c r="N67" s="203"/>
      <c r="O67" s="136" t="str">
        <f t="shared" si="0"/>
        <v>erreur</v>
      </c>
    </row>
    <row r="68" spans="1:15" ht="36.75" customHeight="1" x14ac:dyDescent="0.25">
      <c r="A68" s="581"/>
      <c r="B68" s="283"/>
      <c r="C68" s="120" t="e">
        <f>VLOOKUP($B68,'Table 1-A Sources of evidences'!$A$6:$G$31,2,FALSE)</f>
        <v>#N/A</v>
      </c>
      <c r="D68" s="571" t="e">
        <f>VLOOKUP($B68,'Table 1-A Sources of evidences'!$A$6:$G$31,3,FALSE)</f>
        <v>#N/A</v>
      </c>
      <c r="E68" s="572"/>
      <c r="F68" s="571" t="e">
        <f>VLOOKUP($B68,'Table 1-A Sources of evidences'!$A$6:$G$31,4,FALSE)</f>
        <v>#N/A</v>
      </c>
      <c r="G68" s="573"/>
      <c r="H68" s="572"/>
      <c r="I68" s="120" t="e">
        <f>VLOOKUP($B68,'Table 1-A Sources of evidences'!$A$6:$G$31,5,FALSE)</f>
        <v>#N/A</v>
      </c>
      <c r="J68" s="120" t="e">
        <f>VLOOKUP($B68,'Table 1-A Sources of evidences'!$A$6:$G$31,6,FALSE)</f>
        <v>#N/A</v>
      </c>
      <c r="K68" s="481"/>
      <c r="L68" s="204"/>
      <c r="M68" s="242"/>
      <c r="N68" s="242"/>
      <c r="O68" s="136" t="str">
        <f t="shared" ref="O68" si="7">IF(M68="V-nu","F0",IF(AND(M68="V1",N68="T1"),"F0",IF(AND(M68="V1",N68="T2"),"F1",IF(AND(M68="V1",N68="T3"),"F1",IF(AND(M68="V2",N68="T1"),"F1",IF(AND(M68="V2",N68="T2"),"F2",IF(AND(M68="V2",N68="T3"),"F2",IF(AND(M68="V3",N68="T1"),"F1",IF(AND(M68="V3",N68="T2"),"F2",IF(AND(M68="V3",N68="T3"),"F3","erreur"))))))))))</f>
        <v>erreur</v>
      </c>
    </row>
    <row r="69" spans="1:15" ht="36.75" customHeight="1" x14ac:dyDescent="0.25">
      <c r="A69" s="581"/>
      <c r="B69" s="283"/>
      <c r="C69" s="120" t="e">
        <f>VLOOKUP($B69,'Table 1-A Sources of evidences'!$A$6:$G$31,2,FALSE)</f>
        <v>#N/A</v>
      </c>
      <c r="D69" s="571" t="e">
        <f>VLOOKUP($B69,'Table 1-A Sources of evidences'!$A$6:$G$31,3,FALSE)</f>
        <v>#N/A</v>
      </c>
      <c r="E69" s="572"/>
      <c r="F69" s="571" t="e">
        <f>VLOOKUP($B69,'Table 1-A Sources of evidences'!$A$6:$G$31,4,FALSE)</f>
        <v>#N/A</v>
      </c>
      <c r="G69" s="573"/>
      <c r="H69" s="572"/>
      <c r="I69" s="120" t="e">
        <f>VLOOKUP($B69,'Table 1-A Sources of evidences'!$A$6:$G$31,5,FALSE)</f>
        <v>#N/A</v>
      </c>
      <c r="J69" s="120" t="e">
        <f>VLOOKUP($B69,'Table 1-A Sources of evidences'!$A$6:$G$31,6,FALSE)</f>
        <v>#N/A</v>
      </c>
      <c r="K69" s="481"/>
      <c r="L69" s="204"/>
      <c r="M69" s="203"/>
      <c r="N69" s="203"/>
      <c r="O69" s="136" t="str">
        <f t="shared" si="0"/>
        <v>erreur</v>
      </c>
    </row>
    <row r="70" spans="1:15" ht="36.75" customHeight="1" x14ac:dyDescent="0.25">
      <c r="A70" s="581"/>
      <c r="B70" s="283"/>
      <c r="C70" s="120" t="e">
        <f>VLOOKUP($B70,'Table 1-A Sources of evidences'!$A$6:$G$31,2,FALSE)</f>
        <v>#N/A</v>
      </c>
      <c r="D70" s="571" t="e">
        <f>VLOOKUP($B70,'Table 1-A Sources of evidences'!$A$6:$G$31,3,FALSE)</f>
        <v>#N/A</v>
      </c>
      <c r="E70" s="572"/>
      <c r="F70" s="571" t="e">
        <f>VLOOKUP($B70,'Table 1-A Sources of evidences'!$A$6:$G$31,4,FALSE)</f>
        <v>#N/A</v>
      </c>
      <c r="G70" s="573"/>
      <c r="H70" s="572"/>
      <c r="I70" s="120" t="e">
        <f>VLOOKUP($B70,'Table 1-A Sources of evidences'!$A$6:$G$31,5,FALSE)</f>
        <v>#N/A</v>
      </c>
      <c r="J70" s="120" t="e">
        <f>VLOOKUP($B70,'Table 1-A Sources of evidences'!$A$6:$G$31,6,FALSE)</f>
        <v>#N/A</v>
      </c>
      <c r="K70" s="481"/>
      <c r="L70" s="204"/>
      <c r="M70" s="203"/>
      <c r="N70" s="203"/>
      <c r="O70" s="136" t="str">
        <f t="shared" si="0"/>
        <v>erreur</v>
      </c>
    </row>
    <row r="71" spans="1:15" ht="7.5" customHeight="1" x14ac:dyDescent="0.25">
      <c r="A71" s="582"/>
      <c r="B71" s="124"/>
      <c r="C71" s="5"/>
      <c r="D71" s="5"/>
      <c r="E71" s="5"/>
      <c r="F71" s="5"/>
      <c r="G71" s="5"/>
      <c r="H71" s="5"/>
      <c r="I71" s="5"/>
      <c r="J71" s="5"/>
      <c r="K71" s="5"/>
      <c r="L71" s="293"/>
      <c r="M71" s="5"/>
      <c r="N71" s="5"/>
      <c r="O71" s="135"/>
    </row>
    <row r="72" spans="1:15" ht="37.5" customHeight="1" x14ac:dyDescent="0.25">
      <c r="A72" s="574" t="s">
        <v>135</v>
      </c>
      <c r="B72" s="283">
        <v>1</v>
      </c>
      <c r="C72" s="120" t="str">
        <f>VLOOKUP($B72,'Table 1-A Sources of evidences'!$A$6:$G$31,2,FALSE)</f>
        <v>Emergency Food Security Assessment(EFSA)</v>
      </c>
      <c r="D72" s="571" t="str">
        <f>VLOOKUP($B72,'Table 1-A Sources of evidences'!$A$6:$G$31,3,FALSE)</f>
        <v>WFP/NBS and Partners</v>
      </c>
      <c r="E72" s="572"/>
      <c r="F72" s="571" t="str">
        <f>VLOOKUP($B72,'Table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72" s="573"/>
      <c r="H72" s="572"/>
      <c r="I72" s="120">
        <f>VLOOKUP($B72,'Table 1-A Sources of evidences'!$A$6:$G$31,5,FALSE)</f>
        <v>43739</v>
      </c>
      <c r="J72" s="120" t="str">
        <f>VLOOKUP($B72,'Table 1-A Sources of evidences'!$A$6:$G$31,6,FALSE)</f>
        <v>Oct_2019</v>
      </c>
      <c r="K72" s="481" t="s">
        <v>351</v>
      </c>
      <c r="L72" s="205" t="s">
        <v>362</v>
      </c>
      <c r="M72" s="203" t="s">
        <v>349</v>
      </c>
      <c r="N72" s="203" t="s">
        <v>350</v>
      </c>
      <c r="O72" s="136" t="str">
        <f t="shared" si="0"/>
        <v>F2</v>
      </c>
    </row>
    <row r="73" spans="1:15" ht="37.5" customHeight="1" x14ac:dyDescent="0.25">
      <c r="A73" s="575"/>
      <c r="B73" s="283">
        <v>1</v>
      </c>
      <c r="C73" s="120" t="str">
        <f>VLOOKUP($B73,'Table 1-A Sources of evidences'!$A$6:$G$31,2,FALSE)</f>
        <v>Emergency Food Security Assessment(EFSA)</v>
      </c>
      <c r="D73" s="571" t="str">
        <f>VLOOKUP($B73,'Table 1-A Sources of evidences'!$A$6:$G$31,3,FALSE)</f>
        <v>WFP/NBS and Partners</v>
      </c>
      <c r="E73" s="572"/>
      <c r="F73" s="571" t="str">
        <f>VLOOKUP($B73,'Table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73" s="573"/>
      <c r="H73" s="572"/>
      <c r="I73" s="120">
        <f>VLOOKUP($B73,'Table 1-A Sources of evidences'!$A$6:$G$31,5,FALSE)</f>
        <v>43739</v>
      </c>
      <c r="J73" s="120" t="str">
        <f>VLOOKUP($B73,'Table 1-A Sources of evidences'!$A$6:$G$31,6,FALSE)</f>
        <v>Oct_2019</v>
      </c>
      <c r="K73" s="481" t="s">
        <v>351</v>
      </c>
      <c r="L73" s="205" t="s">
        <v>363</v>
      </c>
      <c r="M73" s="203" t="s">
        <v>349</v>
      </c>
      <c r="N73" s="203" t="s">
        <v>350</v>
      </c>
      <c r="O73" s="136" t="str">
        <f t="shared" si="0"/>
        <v>F2</v>
      </c>
    </row>
    <row r="74" spans="1:15" ht="86.25" customHeight="1" x14ac:dyDescent="0.25">
      <c r="A74" s="575"/>
      <c r="B74" s="283"/>
      <c r="C74" s="120" t="e">
        <f>VLOOKUP($B74,'Table 1-A Sources of evidences'!$A$6:$G$31,2,FALSE)</f>
        <v>#N/A</v>
      </c>
      <c r="D74" s="571" t="e">
        <f>VLOOKUP($B74,'Table 1-A Sources of evidences'!$A$6:$G$31,3,FALSE)</f>
        <v>#N/A</v>
      </c>
      <c r="E74" s="572"/>
      <c r="F74" s="571" t="e">
        <f>VLOOKUP($B74,'Table 1-A Sources of evidences'!$A$6:$G$31,4,FALSE)</f>
        <v>#N/A</v>
      </c>
      <c r="G74" s="573"/>
      <c r="H74" s="572"/>
      <c r="I74" s="120" t="e">
        <f>VLOOKUP($B74,'Table 1-A Sources of evidences'!$A$6:$G$31,5,FALSE)</f>
        <v>#N/A</v>
      </c>
      <c r="J74" s="120" t="e">
        <f>VLOOKUP($B74,'Table 1-A Sources of evidences'!$A$6:$G$31,6,FALSE)</f>
        <v>#N/A</v>
      </c>
      <c r="K74" s="481"/>
      <c r="L74" s="204"/>
      <c r="M74" s="203"/>
      <c r="N74" s="203"/>
      <c r="O74" s="136" t="str">
        <f t="shared" si="0"/>
        <v>erreur</v>
      </c>
    </row>
    <row r="75" spans="1:15" ht="37.5" customHeight="1" x14ac:dyDescent="0.25">
      <c r="A75" s="575"/>
      <c r="B75" s="283"/>
      <c r="C75" s="120" t="e">
        <f>VLOOKUP($B75,'Table 1-A Sources of evidences'!$A$6:$G$31,2,FALSE)</f>
        <v>#N/A</v>
      </c>
      <c r="D75" s="571" t="e">
        <f>VLOOKUP($B75,'Table 1-A Sources of evidences'!$A$6:$G$31,3,FALSE)</f>
        <v>#N/A</v>
      </c>
      <c r="E75" s="572"/>
      <c r="F75" s="571" t="e">
        <f>VLOOKUP($B75,'Table 1-A Sources of evidences'!$A$6:$G$31,4,FALSE)</f>
        <v>#N/A</v>
      </c>
      <c r="G75" s="573"/>
      <c r="H75" s="572"/>
      <c r="I75" s="120" t="e">
        <f>VLOOKUP($B75,'Table 1-A Sources of evidences'!$A$6:$G$31,5,FALSE)</f>
        <v>#N/A</v>
      </c>
      <c r="J75" s="120" t="e">
        <f>VLOOKUP($B75,'Table 1-A Sources of evidences'!$A$6:$G$31,6,FALSE)</f>
        <v>#N/A</v>
      </c>
      <c r="K75" s="481"/>
      <c r="L75" s="205"/>
      <c r="M75" s="242"/>
      <c r="N75" s="242"/>
      <c r="O75" s="136" t="str">
        <f t="shared" ref="O75:O79" si="8">IF(M75="V-nu","F0",IF(AND(M75="V1",N75="T1"),"F0",IF(AND(M75="V1",N75="T2"),"F1",IF(AND(M75="V1",N75="T3"),"F1",IF(AND(M75="V2",N75="T1"),"F1",IF(AND(M75="V2",N75="T2"),"F2",IF(AND(M75="V2",N75="T3"),"F2",IF(AND(M75="V3",N75="T1"),"F1",IF(AND(M75="V3",N75="T2"),"F2",IF(AND(M75="V3",N75="T3"),"F3","erreur"))))))))))</f>
        <v>erreur</v>
      </c>
    </row>
    <row r="76" spans="1:15" ht="37.5" customHeight="1" x14ac:dyDescent="0.25">
      <c r="A76" s="575"/>
      <c r="B76" s="283"/>
      <c r="C76" s="120" t="e">
        <f>VLOOKUP($B76,'Table 1-A Sources of evidences'!$A$6:$G$31,2,FALSE)</f>
        <v>#N/A</v>
      </c>
      <c r="D76" s="571" t="e">
        <f>VLOOKUP($B76,'Table 1-A Sources of evidences'!$A$6:$G$31,3,FALSE)</f>
        <v>#N/A</v>
      </c>
      <c r="E76" s="572"/>
      <c r="F76" s="571" t="e">
        <f>VLOOKUP($B76,'Table 1-A Sources of evidences'!$A$6:$G$31,4,FALSE)</f>
        <v>#N/A</v>
      </c>
      <c r="G76" s="573"/>
      <c r="H76" s="572"/>
      <c r="I76" s="120" t="e">
        <f>VLOOKUP($B76,'Table 1-A Sources of evidences'!$A$6:$G$31,5,FALSE)</f>
        <v>#N/A</v>
      </c>
      <c r="J76" s="120" t="e">
        <f>VLOOKUP($B76,'Table 1-A Sources of evidences'!$A$6:$G$31,6,FALSE)</f>
        <v>#N/A</v>
      </c>
      <c r="K76" s="481"/>
      <c r="L76" s="204"/>
      <c r="M76" s="242"/>
      <c r="N76" s="242"/>
      <c r="O76" s="136" t="str">
        <f t="shared" si="8"/>
        <v>erreur</v>
      </c>
    </row>
    <row r="77" spans="1:15" ht="37.5" customHeight="1" x14ac:dyDescent="0.25">
      <c r="A77" s="575"/>
      <c r="B77" s="283"/>
      <c r="C77" s="120" t="e">
        <f>VLOOKUP($B77,'Table 1-A Sources of evidences'!$A$6:$G$31,2,FALSE)</f>
        <v>#N/A</v>
      </c>
      <c r="D77" s="571" t="e">
        <f>VLOOKUP($B77,'Table 1-A Sources of evidences'!$A$6:$G$31,3,FALSE)</f>
        <v>#N/A</v>
      </c>
      <c r="E77" s="572"/>
      <c r="F77" s="571" t="e">
        <f>VLOOKUP($B77,'Table 1-A Sources of evidences'!$A$6:$G$31,4,FALSE)</f>
        <v>#N/A</v>
      </c>
      <c r="G77" s="573"/>
      <c r="H77" s="572"/>
      <c r="I77" s="120" t="e">
        <f>VLOOKUP($B77,'Table 1-A Sources of evidences'!$A$6:$G$31,5,FALSE)</f>
        <v>#N/A</v>
      </c>
      <c r="J77" s="120" t="e">
        <f>VLOOKUP($B77,'Table 1-A Sources of evidences'!$A$6:$G$31,6,FALSE)</f>
        <v>#N/A</v>
      </c>
      <c r="K77" s="481"/>
      <c r="L77" s="205"/>
      <c r="M77" s="242"/>
      <c r="N77" s="242"/>
      <c r="O77" s="136" t="str">
        <f t="shared" si="8"/>
        <v>erreur</v>
      </c>
    </row>
    <row r="78" spans="1:15" ht="37.5" customHeight="1" x14ac:dyDescent="0.25">
      <c r="A78" s="575"/>
      <c r="B78" s="283"/>
      <c r="C78" s="120" t="e">
        <f>VLOOKUP($B78,'Table 1-A Sources of evidences'!$A$6:$G$31,2,FALSE)</f>
        <v>#N/A</v>
      </c>
      <c r="D78" s="571" t="e">
        <f>VLOOKUP($B78,'Table 1-A Sources of evidences'!$A$6:$G$31,3,FALSE)</f>
        <v>#N/A</v>
      </c>
      <c r="E78" s="572"/>
      <c r="F78" s="571" t="e">
        <f>VLOOKUP($B78,'Table 1-A Sources of evidences'!$A$6:$G$31,4,FALSE)</f>
        <v>#N/A</v>
      </c>
      <c r="G78" s="573"/>
      <c r="H78" s="572"/>
      <c r="I78" s="120" t="e">
        <f>VLOOKUP($B78,'Table 1-A Sources of evidences'!$A$6:$G$31,5,FALSE)</f>
        <v>#N/A</v>
      </c>
      <c r="J78" s="120" t="e">
        <f>VLOOKUP($B78,'Table 1-A Sources of evidences'!$A$6:$G$31,6,FALSE)</f>
        <v>#N/A</v>
      </c>
      <c r="K78" s="481"/>
      <c r="L78" s="204"/>
      <c r="M78" s="306"/>
      <c r="N78" s="306"/>
      <c r="O78" s="136" t="str">
        <f t="shared" si="8"/>
        <v>erreur</v>
      </c>
    </row>
    <row r="79" spans="1:15" ht="37.5" customHeight="1" x14ac:dyDescent="0.25">
      <c r="A79" s="575"/>
      <c r="B79" s="283"/>
      <c r="C79" s="120" t="e">
        <f>VLOOKUP($B79,'Table 1-A Sources of evidences'!$A$6:$G$31,2,FALSE)</f>
        <v>#N/A</v>
      </c>
      <c r="D79" s="571" t="e">
        <f>VLOOKUP($B79,'Table 1-A Sources of evidences'!$A$6:$G$31,3,FALSE)</f>
        <v>#N/A</v>
      </c>
      <c r="E79" s="572"/>
      <c r="F79" s="571" t="e">
        <f>VLOOKUP($B79,'Table 1-A Sources of evidences'!$A$6:$G$31,4,FALSE)</f>
        <v>#N/A</v>
      </c>
      <c r="G79" s="573"/>
      <c r="H79" s="572"/>
      <c r="I79" s="120" t="e">
        <f>VLOOKUP($B79,'Table 1-A Sources of evidences'!$A$6:$G$31,5,FALSE)</f>
        <v>#N/A</v>
      </c>
      <c r="J79" s="120" t="e">
        <f>VLOOKUP($B79,'Table 1-A Sources of evidences'!$A$6:$G$31,6,FALSE)</f>
        <v>#N/A</v>
      </c>
      <c r="K79" s="481"/>
      <c r="L79" s="205"/>
      <c r="M79" s="306"/>
      <c r="N79" s="306"/>
      <c r="O79" s="136" t="str">
        <f t="shared" si="8"/>
        <v>erreur</v>
      </c>
    </row>
    <row r="80" spans="1:15" ht="37.5" customHeight="1" x14ac:dyDescent="0.25">
      <c r="A80" s="575"/>
      <c r="B80" s="283"/>
      <c r="C80" s="120" t="e">
        <f>VLOOKUP($B80,'Table 1-A Sources of evidences'!$A$6:$G$31,2,FALSE)</f>
        <v>#N/A</v>
      </c>
      <c r="D80" s="571" t="e">
        <f>VLOOKUP($B80,'Table 1-A Sources of evidences'!$A$6:$G$31,3,FALSE)</f>
        <v>#N/A</v>
      </c>
      <c r="E80" s="572"/>
      <c r="F80" s="571" t="e">
        <f>VLOOKUP($B80,'Table 1-A Sources of evidences'!$A$6:$G$31,4,FALSE)</f>
        <v>#N/A</v>
      </c>
      <c r="G80" s="573"/>
      <c r="H80" s="572"/>
      <c r="I80" s="120" t="e">
        <f>VLOOKUP($B80,'Table 1-A Sources of evidences'!$A$6:$G$31,5,FALSE)</f>
        <v>#N/A</v>
      </c>
      <c r="J80" s="120" t="e">
        <f>VLOOKUP($B80,'Table 1-A Sources of evidences'!$A$6:$G$31,6,FALSE)</f>
        <v>#N/A</v>
      </c>
      <c r="K80" s="481"/>
      <c r="L80" s="204"/>
      <c r="M80" s="306"/>
      <c r="N80" s="306"/>
      <c r="O80" s="136" t="str">
        <f t="shared" ref="O80:O82" si="9">IF(M80="V-nu","F0",IF(AND(M80="V1",N80="T1"),"F0",IF(AND(M80="V1",N80="T2"),"F1",IF(AND(M80="V1",N80="T3"),"F1",IF(AND(M80="V2",N80="T1"),"F1",IF(AND(M80="V2",N80="T2"),"F2",IF(AND(M80="V2",N80="T3"),"F2",IF(AND(M80="V3",N80="T1"),"F1",IF(AND(M80="V3",N80="T2"),"F2",IF(AND(M80="V3",N80="T3"),"F3","erreur"))))))))))</f>
        <v>erreur</v>
      </c>
    </row>
    <row r="81" spans="1:15" ht="37.5" customHeight="1" x14ac:dyDescent="0.25">
      <c r="A81" s="575"/>
      <c r="B81" s="283"/>
      <c r="C81" s="120" t="e">
        <f>VLOOKUP($B81,'Table 1-A Sources of evidences'!$A$6:$G$31,2,FALSE)</f>
        <v>#N/A</v>
      </c>
      <c r="D81" s="571" t="e">
        <f>VLOOKUP($B81,'Table 1-A Sources of evidences'!$A$6:$G$31,3,FALSE)</f>
        <v>#N/A</v>
      </c>
      <c r="E81" s="572"/>
      <c r="F81" s="571" t="e">
        <f>VLOOKUP($B81,'Table 1-A Sources of evidences'!$A$6:$G$31,4,FALSE)</f>
        <v>#N/A</v>
      </c>
      <c r="G81" s="573"/>
      <c r="H81" s="572"/>
      <c r="I81" s="120" t="e">
        <f>VLOOKUP($B81,'Table 1-A Sources of evidences'!$A$6:$G$31,5,FALSE)</f>
        <v>#N/A</v>
      </c>
      <c r="J81" s="120" t="e">
        <f>VLOOKUP($B81,'Table 1-A Sources of evidences'!$A$6:$G$31,6,FALSE)</f>
        <v>#N/A</v>
      </c>
      <c r="K81" s="481"/>
      <c r="L81" s="205"/>
      <c r="M81" s="306"/>
      <c r="N81" s="306"/>
      <c r="O81" s="136" t="str">
        <f t="shared" si="9"/>
        <v>erreur</v>
      </c>
    </row>
    <row r="82" spans="1:15" ht="37.5" customHeight="1" x14ac:dyDescent="0.25">
      <c r="A82" s="575"/>
      <c r="B82" s="283"/>
      <c r="C82" s="120" t="e">
        <f>VLOOKUP($B82,'Table 1-A Sources of evidences'!$A$6:$G$31,2,FALSE)</f>
        <v>#N/A</v>
      </c>
      <c r="D82" s="571" t="e">
        <f>VLOOKUP($B82,'Table 1-A Sources of evidences'!$A$6:$G$31,3,FALSE)</f>
        <v>#N/A</v>
      </c>
      <c r="E82" s="572"/>
      <c r="F82" s="571" t="e">
        <f>VLOOKUP($B82,'Table 1-A Sources of evidences'!$A$6:$G$31,4,FALSE)</f>
        <v>#N/A</v>
      </c>
      <c r="G82" s="573"/>
      <c r="H82" s="572"/>
      <c r="I82" s="120" t="e">
        <f>VLOOKUP($B82,'Table 1-A Sources of evidences'!$A$6:$G$31,5,FALSE)</f>
        <v>#N/A</v>
      </c>
      <c r="J82" s="120" t="e">
        <f>VLOOKUP($B82,'Table 1-A Sources of evidences'!$A$6:$G$31,6,FALSE)</f>
        <v>#N/A</v>
      </c>
      <c r="K82" s="481"/>
      <c r="L82" s="204"/>
      <c r="M82" s="306"/>
      <c r="N82" s="306"/>
      <c r="O82" s="136" t="str">
        <f t="shared" si="9"/>
        <v>erreur</v>
      </c>
    </row>
    <row r="83" spans="1:15" ht="37.5" customHeight="1" x14ac:dyDescent="0.25">
      <c r="A83" s="575"/>
      <c r="B83" s="283"/>
      <c r="C83" s="120" t="e">
        <f>VLOOKUP($B83,'Table 1-A Sources of evidences'!$A$6:$G$31,2,FALSE)</f>
        <v>#N/A</v>
      </c>
      <c r="D83" s="571" t="e">
        <f>VLOOKUP($B83,'Table 1-A Sources of evidences'!$A$6:$G$31,3,FALSE)</f>
        <v>#N/A</v>
      </c>
      <c r="E83" s="572"/>
      <c r="F83" s="571" t="e">
        <f>VLOOKUP($B83,'Table 1-A Sources of evidences'!$A$6:$G$31,4,FALSE)</f>
        <v>#N/A</v>
      </c>
      <c r="G83" s="573"/>
      <c r="H83" s="572"/>
      <c r="I83" s="120" t="e">
        <f>VLOOKUP($B83,'Table 1-A Sources of evidences'!$A$6:$G$31,5,FALSE)</f>
        <v>#N/A</v>
      </c>
      <c r="J83" s="120" t="e">
        <f>VLOOKUP($B83,'Table 1-A Sources of evidences'!$A$6:$G$31,6,FALSE)</f>
        <v>#N/A</v>
      </c>
      <c r="K83" s="481"/>
      <c r="L83" s="205"/>
      <c r="M83" s="242"/>
      <c r="N83" s="242"/>
      <c r="O83" s="136" t="str">
        <f t="shared" ref="O83:O84" si="10">IF(M83="V-nu","F0",IF(AND(M83="V1",N83="T1"),"F0",IF(AND(M83="V1",N83="T2"),"F1",IF(AND(M83="V1",N83="T3"),"F1",IF(AND(M83="V2",N83="T1"),"F1",IF(AND(M83="V2",N83="T2"),"F2",IF(AND(M83="V2",N83="T3"),"F2",IF(AND(M83="V3",N83="T1"),"F1",IF(AND(M83="V3",N83="T2"),"F2",IF(AND(M83="V3",N83="T3"),"F3","erreur"))))))))))</f>
        <v>erreur</v>
      </c>
    </row>
    <row r="84" spans="1:15" ht="37.5" customHeight="1" x14ac:dyDescent="0.25">
      <c r="A84" s="575"/>
      <c r="B84" s="283"/>
      <c r="C84" s="120" t="e">
        <f>VLOOKUP($B84,'Table 1-A Sources of evidences'!$A$6:$G$31,2,FALSE)</f>
        <v>#N/A</v>
      </c>
      <c r="D84" s="571" t="e">
        <f>VLOOKUP($B84,'Table 1-A Sources of evidences'!$A$6:$G$31,3,FALSE)</f>
        <v>#N/A</v>
      </c>
      <c r="E84" s="572"/>
      <c r="F84" s="571" t="e">
        <f>VLOOKUP($B84,'Table 1-A Sources of evidences'!$A$6:$G$31,4,FALSE)</f>
        <v>#N/A</v>
      </c>
      <c r="G84" s="573"/>
      <c r="H84" s="572"/>
      <c r="I84" s="120" t="e">
        <f>VLOOKUP($B84,'Table 1-A Sources of evidences'!$A$6:$G$31,5,FALSE)</f>
        <v>#N/A</v>
      </c>
      <c r="J84" s="120" t="e">
        <f>VLOOKUP($B84,'Table 1-A Sources of evidences'!$A$6:$G$31,6,FALSE)</f>
        <v>#N/A</v>
      </c>
      <c r="K84" s="481"/>
      <c r="L84" s="204"/>
      <c r="M84" s="242"/>
      <c r="N84" s="242"/>
      <c r="O84" s="136" t="str">
        <f t="shared" si="10"/>
        <v>erreur</v>
      </c>
    </row>
    <row r="85" spans="1:15" ht="37.5" customHeight="1" x14ac:dyDescent="0.25">
      <c r="A85" s="575"/>
      <c r="B85" s="283"/>
      <c r="C85" s="120" t="e">
        <f>VLOOKUP($B85,'Table 1-A Sources of evidences'!$A$6:$G$31,2,FALSE)</f>
        <v>#N/A</v>
      </c>
      <c r="D85" s="571" t="e">
        <f>VLOOKUP($B85,'Table 1-A Sources of evidences'!$A$6:$G$31,3,FALSE)</f>
        <v>#N/A</v>
      </c>
      <c r="E85" s="572"/>
      <c r="F85" s="571" t="e">
        <f>VLOOKUP($B85,'Table 1-A Sources of evidences'!$A$6:$G$31,4,FALSE)</f>
        <v>#N/A</v>
      </c>
      <c r="G85" s="573"/>
      <c r="H85" s="572"/>
      <c r="I85" s="120" t="e">
        <f>VLOOKUP($B85,'Table 1-A Sources of evidences'!$A$6:$G$31,5,FALSE)</f>
        <v>#N/A</v>
      </c>
      <c r="J85" s="120" t="e">
        <f>VLOOKUP($B85,'Table 1-A Sources of evidences'!$A$6:$G$31,6,FALSE)</f>
        <v>#N/A</v>
      </c>
      <c r="K85" s="481"/>
      <c r="L85" s="205"/>
      <c r="M85" s="203"/>
      <c r="N85" s="203"/>
      <c r="O85" s="136" t="str">
        <f t="shared" si="0"/>
        <v>erreur</v>
      </c>
    </row>
    <row r="86" spans="1:15" ht="37.5" customHeight="1" x14ac:dyDescent="0.25">
      <c r="A86" s="575"/>
      <c r="B86" s="283"/>
      <c r="C86" s="120" t="e">
        <f>VLOOKUP($B86,'Table 1-A Sources of evidences'!$A$6:$G$31,2)</f>
        <v>#N/A</v>
      </c>
      <c r="D86" s="571" t="e">
        <f>VLOOKUP($B86,'Table 1-A Sources of evidences'!$A$6:$G$31,3,FALSE)</f>
        <v>#N/A</v>
      </c>
      <c r="E86" s="572"/>
      <c r="F86" s="571" t="e">
        <f>VLOOKUP($B86,'Table 1-A Sources of evidences'!$A$6:$G$31,4,FALSE)</f>
        <v>#N/A</v>
      </c>
      <c r="G86" s="573"/>
      <c r="H86" s="572"/>
      <c r="I86" s="120" t="e">
        <f>VLOOKUP($B86,'Table 1-A Sources of evidences'!$A$6:$G$31,5,FALSE)</f>
        <v>#N/A</v>
      </c>
      <c r="J86" s="120" t="e">
        <f>VLOOKUP($B86,'Table 1-A Sources of evidences'!$A$6:$G$31,6,FALSE)</f>
        <v>#N/A</v>
      </c>
      <c r="K86" s="481"/>
      <c r="L86" s="204"/>
      <c r="M86" s="203"/>
      <c r="N86" s="203"/>
      <c r="O86" s="136" t="str">
        <f t="shared" si="0"/>
        <v>erreur</v>
      </c>
    </row>
    <row r="87" spans="1:15" ht="25.5" customHeight="1" x14ac:dyDescent="0.25">
      <c r="A87" s="576"/>
      <c r="B87" s="124"/>
      <c r="C87" s="5"/>
      <c r="D87" s="5"/>
      <c r="E87" s="5"/>
      <c r="F87" s="5"/>
      <c r="G87" s="5"/>
      <c r="H87" s="5"/>
      <c r="I87" s="5"/>
      <c r="J87" s="5"/>
      <c r="K87" s="5"/>
      <c r="L87" s="293"/>
      <c r="M87" s="5"/>
      <c r="N87" s="5"/>
      <c r="O87" s="135"/>
    </row>
    <row r="88" spans="1:15" ht="25.5" customHeight="1" x14ac:dyDescent="0.25"/>
    <row r="89" spans="1:15" ht="25.5" customHeight="1" x14ac:dyDescent="0.25"/>
  </sheetData>
  <sheetProtection formatCells="0" formatColumns="0" formatRows="0" insertRows="0"/>
  <protectedRanges>
    <protectedRange sqref="L22:N22 L28:N38 L42:N54 L60:N70 L74:N86 L14:N16 M12:N13 M18:N21 M24:N27 M40:N41 M56:N59 M72:N73" name="Range2"/>
    <protectedRange sqref="B12:B16 B72:B86 B24:B38 B40:B54 B60:B70 B18:B22" name="Range1"/>
    <protectedRange sqref="K12:K16 K18:K22 K24:K38 K40:K54 K56:K70 K72:K86" name="Range5"/>
    <protectedRange sqref="L12:L13" name="Range2_1"/>
    <protectedRange sqref="L18:L21" name="Range2_2"/>
    <protectedRange sqref="L24:L27" name="Range2_3"/>
    <protectedRange sqref="L40:L41" name="Range2_4"/>
    <protectedRange sqref="B56:B59" name="Range1_1"/>
    <protectedRange sqref="L56:L59" name="Range2_5"/>
    <protectedRange sqref="L72:L73" name="Range2_6"/>
  </protectedRanges>
  <mergeCells count="155">
    <mergeCell ref="D33:E33"/>
    <mergeCell ref="F49:H49"/>
    <mergeCell ref="F79:H79"/>
    <mergeCell ref="D80:E80"/>
    <mergeCell ref="D56:E56"/>
    <mergeCell ref="D57:E57"/>
    <mergeCell ref="D83:E83"/>
    <mergeCell ref="F83:H83"/>
    <mergeCell ref="D75:E75"/>
    <mergeCell ref="F75:H75"/>
    <mergeCell ref="D76:E76"/>
    <mergeCell ref="F76:H76"/>
    <mergeCell ref="D77:E77"/>
    <mergeCell ref="F77:H77"/>
    <mergeCell ref="F80:H80"/>
    <mergeCell ref="D81:E81"/>
    <mergeCell ref="F81:H81"/>
    <mergeCell ref="D82:E82"/>
    <mergeCell ref="F82:H82"/>
    <mergeCell ref="D50:E50"/>
    <mergeCell ref="F50:H50"/>
    <mergeCell ref="D62:E62"/>
    <mergeCell ref="D64:E64"/>
    <mergeCell ref="F64:H64"/>
    <mergeCell ref="D84:E84"/>
    <mergeCell ref="F84:H84"/>
    <mergeCell ref="D66:E66"/>
    <mergeCell ref="F66:H66"/>
    <mergeCell ref="D78:E78"/>
    <mergeCell ref="F78:H78"/>
    <mergeCell ref="F16:H16"/>
    <mergeCell ref="D17:E17"/>
    <mergeCell ref="F17:H17"/>
    <mergeCell ref="D18:E18"/>
    <mergeCell ref="F18:H18"/>
    <mergeCell ref="F31:H31"/>
    <mergeCell ref="F32:H32"/>
    <mergeCell ref="F33:H33"/>
    <mergeCell ref="D25:E25"/>
    <mergeCell ref="F25:H25"/>
    <mergeCell ref="D26:E26"/>
    <mergeCell ref="F26:H26"/>
    <mergeCell ref="D27:E27"/>
    <mergeCell ref="F27:H27"/>
    <mergeCell ref="D28:E28"/>
    <mergeCell ref="F28:H28"/>
    <mergeCell ref="D29:E29"/>
    <mergeCell ref="F29:H29"/>
    <mergeCell ref="D46:E46"/>
    <mergeCell ref="F46:H46"/>
    <mergeCell ref="D47:E47"/>
    <mergeCell ref="F47:H47"/>
    <mergeCell ref="D48:E48"/>
    <mergeCell ref="F48:H48"/>
    <mergeCell ref="D49:E49"/>
    <mergeCell ref="D85:E85"/>
    <mergeCell ref="D70:E70"/>
    <mergeCell ref="F67:H67"/>
    <mergeCell ref="F69:H69"/>
    <mergeCell ref="D61:E61"/>
    <mergeCell ref="F57:H57"/>
    <mergeCell ref="F58:H58"/>
    <mergeCell ref="F59:H59"/>
    <mergeCell ref="F60:H60"/>
    <mergeCell ref="F61:H61"/>
    <mergeCell ref="D67:E67"/>
    <mergeCell ref="D69:E69"/>
    <mergeCell ref="D68:E68"/>
    <mergeCell ref="F68:H68"/>
    <mergeCell ref="D73:E73"/>
    <mergeCell ref="D74:E74"/>
    <mergeCell ref="D58:E58"/>
    <mergeCell ref="D13:E13"/>
    <mergeCell ref="D14:E14"/>
    <mergeCell ref="D36:E36"/>
    <mergeCell ref="D35:E35"/>
    <mergeCell ref="D38:E38"/>
    <mergeCell ref="D45:E45"/>
    <mergeCell ref="D16:E16"/>
    <mergeCell ref="F45:H45"/>
    <mergeCell ref="D51:E51"/>
    <mergeCell ref="F51:H51"/>
    <mergeCell ref="F36:H36"/>
    <mergeCell ref="D37:E37"/>
    <mergeCell ref="F37:H37"/>
    <mergeCell ref="D44:E44"/>
    <mergeCell ref="F44:H44"/>
    <mergeCell ref="D40:E40"/>
    <mergeCell ref="D41:E41"/>
    <mergeCell ref="F40:H40"/>
    <mergeCell ref="F41:H41"/>
    <mergeCell ref="F38:H38"/>
    <mergeCell ref="F42:H42"/>
    <mergeCell ref="F43:H43"/>
    <mergeCell ref="D43:E43"/>
    <mergeCell ref="D42:E42"/>
    <mergeCell ref="F30:H30"/>
    <mergeCell ref="D24:E24"/>
    <mergeCell ref="D30:E30"/>
    <mergeCell ref="D79:E79"/>
    <mergeCell ref="A2:O2"/>
    <mergeCell ref="A10:O10"/>
    <mergeCell ref="A12:A23"/>
    <mergeCell ref="A24:A39"/>
    <mergeCell ref="F12:H12"/>
    <mergeCell ref="F13:H13"/>
    <mergeCell ref="F14:H14"/>
    <mergeCell ref="F15:H15"/>
    <mergeCell ref="F19:H19"/>
    <mergeCell ref="F20:H20"/>
    <mergeCell ref="F21:H21"/>
    <mergeCell ref="F24:H24"/>
    <mergeCell ref="D4:E4"/>
    <mergeCell ref="D5:E5"/>
    <mergeCell ref="D6:E6"/>
    <mergeCell ref="D8:E8"/>
    <mergeCell ref="D31:E31"/>
    <mergeCell ref="D32:E32"/>
    <mergeCell ref="D34:E34"/>
    <mergeCell ref="D12:E12"/>
    <mergeCell ref="F70:H70"/>
    <mergeCell ref="A40:A55"/>
    <mergeCell ref="A72:A87"/>
    <mergeCell ref="F11:H11"/>
    <mergeCell ref="D11:E11"/>
    <mergeCell ref="A56:A71"/>
    <mergeCell ref="D15:E15"/>
    <mergeCell ref="D19:E19"/>
    <mergeCell ref="D20:E20"/>
    <mergeCell ref="D21:E21"/>
    <mergeCell ref="D22:E22"/>
    <mergeCell ref="F22:H22"/>
    <mergeCell ref="D86:E86"/>
    <mergeCell ref="F72:H72"/>
    <mergeCell ref="F73:H73"/>
    <mergeCell ref="F74:H74"/>
    <mergeCell ref="F85:H85"/>
    <mergeCell ref="F86:H86"/>
    <mergeCell ref="D72:E72"/>
    <mergeCell ref="F53:H53"/>
    <mergeCell ref="F54:H54"/>
    <mergeCell ref="F56:H56"/>
    <mergeCell ref="F34:H34"/>
    <mergeCell ref="F35:H35"/>
    <mergeCell ref="D54:E54"/>
    <mergeCell ref="D52:E52"/>
    <mergeCell ref="F52:H52"/>
    <mergeCell ref="D53:E53"/>
    <mergeCell ref="F62:H62"/>
    <mergeCell ref="D63:E63"/>
    <mergeCell ref="F63:H63"/>
    <mergeCell ref="F65:H65"/>
    <mergeCell ref="D60:E60"/>
    <mergeCell ref="D59:E59"/>
    <mergeCell ref="D65:E65"/>
  </mergeCells>
  <conditionalFormatting sqref="O85:O1048576 O30:O45 O51:O61 O67:O77 O1:O10 O12:O24">
    <cfRule type="containsText" dxfId="976" priority="7" operator="containsText" text="erreur">
      <formula>NOT(ISERROR(SEARCH("erreur",O1)))</formula>
    </cfRule>
  </conditionalFormatting>
  <conditionalFormatting sqref="O83:O84">
    <cfRule type="containsText" dxfId="975" priority="6" operator="containsText" text="erreur">
      <formula>NOT(ISERROR(SEARCH("erreur",O83)))</formula>
    </cfRule>
  </conditionalFormatting>
  <conditionalFormatting sqref="O25:O29">
    <cfRule type="containsText" dxfId="974" priority="5" operator="containsText" text="erreur">
      <formula>NOT(ISERROR(SEARCH("erreur",O25)))</formula>
    </cfRule>
  </conditionalFormatting>
  <conditionalFormatting sqref="O46:O50">
    <cfRule type="containsText" dxfId="973" priority="4" operator="containsText" text="erreur">
      <formula>NOT(ISERROR(SEARCH("erreur",O46)))</formula>
    </cfRule>
  </conditionalFormatting>
  <conditionalFormatting sqref="O62:O66">
    <cfRule type="containsText" dxfId="972" priority="3" operator="containsText" text="erreur">
      <formula>NOT(ISERROR(SEARCH("erreur",O62)))</formula>
    </cfRule>
  </conditionalFormatting>
  <conditionalFormatting sqref="O78:O82">
    <cfRule type="containsText" dxfId="971" priority="2" operator="containsText" text="erreur">
      <formula>NOT(ISERROR(SEARCH("erreur",O78)))</formula>
    </cfRule>
  </conditionalFormatting>
  <conditionalFormatting sqref="O11">
    <cfRule type="containsText" dxfId="970" priority="1" operator="containsText" text="erreur">
      <formula>NOT(ISERROR(SEARCH("erreur",O11)))</formula>
    </cfRule>
  </conditionalFormatting>
  <dataValidations count="4">
    <dataValidation type="list" allowBlank="1" showInputMessage="1" showErrorMessage="1" sqref="M17" xr:uid="{00000000-0002-0000-0200-000000000000}">
      <formula1>"V1,V2,V3"</formula1>
    </dataValidation>
    <dataValidation type="list" allowBlank="1" showInputMessage="1" showErrorMessage="1" sqref="N24:N38 N12:N22 N40:N54 N56:N70 N72:N86" xr:uid="{00000000-0002-0000-0200-000001000000}">
      <formula1>"T1,T2,T3"</formula1>
    </dataValidation>
    <dataValidation type="list" allowBlank="1" showInputMessage="1" showErrorMessage="1" sqref="M12:M16 M18:M22 M24:M38 M40:M54 M56:M70 M72:M86" xr:uid="{00000000-0002-0000-0200-000002000000}">
      <formula1>"V-nu,V1,V2,V3"</formula1>
    </dataValidation>
    <dataValidation type="list" allowBlank="1" showInputMessage="1" showErrorMessage="1" sqref="K12:K16 K18:K22 K24:K38 K40:K54 K56:K70 K72:K86" xr:uid="{A4CFF528-637C-4D66-85DB-B611B1EAC5B3}">
      <formula1>"N0,N1,N2,N3"</formula1>
    </dataValidation>
  </dataValidations>
  <pageMargins left="0.7" right="0.7" top="0.75" bottom="0.75" header="0.3" footer="0.3"/>
  <pageSetup paperSize="9" scale="36"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V44"/>
  <sheetViews>
    <sheetView tabSelected="1" topLeftCell="A28" zoomScale="85" zoomScaleNormal="85" workbookViewId="0">
      <selection activeCell="S36" sqref="S36"/>
    </sheetView>
  </sheetViews>
  <sheetFormatPr defaultColWidth="8.7109375" defaultRowHeight="15.75" x14ac:dyDescent="0.25"/>
  <cols>
    <col min="1" max="1" width="11.140625" customWidth="1"/>
    <col min="2" max="2" width="10.85546875" style="137" customWidth="1"/>
    <col min="4" max="4" width="14.28515625" customWidth="1"/>
    <col min="5" max="5" width="12.42578125" customWidth="1"/>
    <col min="6" max="9" width="12.7109375" customWidth="1"/>
    <col min="10" max="10" width="12.7109375" style="1098" customWidth="1"/>
    <col min="11" max="11" width="16.140625" customWidth="1"/>
    <col min="12" max="12" width="19.28515625" customWidth="1"/>
    <col min="13" max="13" width="14.85546875" customWidth="1"/>
    <col min="14" max="14" width="10.28515625" customWidth="1"/>
    <col min="15" max="15" width="11.85546875" customWidth="1"/>
    <col min="16" max="16" width="11.28515625" customWidth="1"/>
    <col min="19" max="19" width="15.140625" customWidth="1"/>
    <col min="20" max="20" width="8.7109375" style="371"/>
    <col min="21" max="21" width="11.5703125" style="371" customWidth="1"/>
    <col min="23" max="23" width="2.140625" customWidth="1"/>
  </cols>
  <sheetData>
    <row r="2" spans="1:22" ht="26.25" x14ac:dyDescent="0.4">
      <c r="A2" s="610" t="s">
        <v>137</v>
      </c>
      <c r="B2" s="611"/>
      <c r="C2" s="611"/>
      <c r="D2" s="611"/>
      <c r="E2" s="611"/>
      <c r="F2" s="611"/>
      <c r="G2" s="611"/>
      <c r="H2" s="611"/>
      <c r="I2" s="611"/>
      <c r="J2" s="611"/>
      <c r="K2" s="611"/>
      <c r="L2" s="611"/>
      <c r="M2" s="611"/>
      <c r="N2" s="611"/>
      <c r="O2" s="611"/>
      <c r="P2" s="611"/>
      <c r="Q2" s="611"/>
      <c r="R2" s="611"/>
      <c r="S2" s="611"/>
      <c r="T2" s="611"/>
      <c r="U2" s="611"/>
      <c r="V2" s="611"/>
    </row>
    <row r="3" spans="1:22" x14ac:dyDescent="0.25">
      <c r="A3" s="58"/>
      <c r="B3" s="131"/>
      <c r="C3" s="59"/>
      <c r="D3" s="59"/>
      <c r="E3" s="59"/>
      <c r="F3" s="59"/>
      <c r="G3" s="61"/>
      <c r="H3" s="59"/>
      <c r="I3" s="61"/>
      <c r="J3" s="1083"/>
      <c r="K3" s="61"/>
      <c r="L3" s="61"/>
      <c r="M3" s="61"/>
      <c r="N3" s="61"/>
      <c r="O3" s="61"/>
      <c r="P3" s="61"/>
      <c r="Q3" s="61"/>
      <c r="R3" s="61"/>
      <c r="S3" s="61"/>
      <c r="T3" s="61"/>
      <c r="U3" s="61"/>
      <c r="V3" s="61"/>
    </row>
    <row r="4" spans="1:22" x14ac:dyDescent="0.25">
      <c r="A4" s="485" t="s">
        <v>72</v>
      </c>
      <c r="B4" s="154"/>
      <c r="C4" s="62"/>
      <c r="D4" s="587" t="str">
        <f>'Table 1-B  Context Analysis'!$C$5</f>
        <v xml:space="preserve"> Nigeria</v>
      </c>
      <c r="E4" s="587"/>
      <c r="F4" s="70"/>
      <c r="G4" s="61"/>
      <c r="H4" s="70"/>
      <c r="I4" s="61"/>
      <c r="J4" s="1083"/>
      <c r="K4" s="61"/>
      <c r="L4" s="61"/>
      <c r="M4" s="61"/>
      <c r="N4" s="61"/>
      <c r="O4" s="61"/>
      <c r="P4" s="61"/>
      <c r="Q4" s="61"/>
      <c r="R4" s="61"/>
      <c r="S4" s="61"/>
      <c r="T4" s="61"/>
      <c r="U4" s="61"/>
      <c r="V4" s="61"/>
    </row>
    <row r="5" spans="1:22" x14ac:dyDescent="0.25">
      <c r="A5" s="486" t="s">
        <v>80</v>
      </c>
      <c r="B5" s="155"/>
      <c r="C5" s="63"/>
      <c r="D5" s="588" t="str">
        <f>'Table 1-B  Context Analysis'!$C$6</f>
        <v>Borno</v>
      </c>
      <c r="E5" s="588"/>
      <c r="F5" s="70"/>
      <c r="G5" s="61"/>
      <c r="H5" s="70"/>
      <c r="I5" s="61"/>
      <c r="J5" s="1083"/>
      <c r="K5" s="61"/>
      <c r="L5" s="61"/>
      <c r="M5" s="61"/>
      <c r="N5" s="61"/>
      <c r="O5" s="61"/>
      <c r="P5" s="61"/>
      <c r="Q5" s="61"/>
      <c r="R5" s="61"/>
      <c r="S5" s="61"/>
      <c r="T5" s="61"/>
      <c r="U5" s="61"/>
      <c r="V5" s="61"/>
    </row>
    <row r="6" spans="1:22" x14ac:dyDescent="0.25">
      <c r="A6" s="486" t="s">
        <v>81</v>
      </c>
      <c r="B6" s="155"/>
      <c r="C6" s="63"/>
      <c r="D6" s="588" t="str">
        <f>'Table 1-B  Context Analysis'!$C$7</f>
        <v>Shani</v>
      </c>
      <c r="E6" s="588"/>
      <c r="F6" s="70"/>
      <c r="G6" s="61"/>
      <c r="H6" s="70"/>
      <c r="I6" s="61"/>
      <c r="J6" s="1083"/>
      <c r="K6" s="61"/>
      <c r="L6" s="61"/>
      <c r="M6" s="61"/>
      <c r="N6" s="61"/>
      <c r="O6" s="61"/>
      <c r="P6" s="61"/>
      <c r="Q6" s="61"/>
      <c r="R6" s="61"/>
      <c r="S6" s="61"/>
      <c r="T6" s="61"/>
      <c r="U6" s="61"/>
      <c r="V6" s="61"/>
    </row>
    <row r="7" spans="1:22" x14ac:dyDescent="0.25">
      <c r="A7" s="503"/>
      <c r="B7" s="131"/>
      <c r="C7" s="59"/>
      <c r="D7" s="59"/>
      <c r="E7" s="59"/>
      <c r="F7" s="59"/>
      <c r="G7" s="61"/>
      <c r="H7" s="59"/>
      <c r="I7" s="61"/>
      <c r="J7" s="1083"/>
      <c r="K7" s="61"/>
      <c r="L7" s="61"/>
      <c r="M7" s="61"/>
      <c r="N7" s="61"/>
      <c r="O7" s="61"/>
      <c r="P7" s="61"/>
      <c r="Q7" s="61"/>
      <c r="R7" s="61"/>
      <c r="S7" s="61"/>
      <c r="T7" s="61"/>
      <c r="U7" s="61"/>
      <c r="V7" s="61"/>
    </row>
    <row r="8" spans="1:22" x14ac:dyDescent="0.25">
      <c r="A8" s="485" t="s">
        <v>123</v>
      </c>
      <c r="B8" s="154"/>
      <c r="C8" s="62"/>
      <c r="D8" s="589" t="str">
        <f>'Table 1-B  Context Analysis'!$C$9</f>
        <v xml:space="preserve"> oct-19</v>
      </c>
      <c r="E8" s="589"/>
      <c r="F8" s="70"/>
      <c r="G8" s="61"/>
      <c r="H8" s="70"/>
      <c r="I8" s="61"/>
      <c r="J8" s="1083"/>
      <c r="K8" s="61"/>
      <c r="L8" s="61"/>
      <c r="M8" s="61"/>
      <c r="N8" s="61"/>
      <c r="O8" s="61"/>
      <c r="P8" s="61"/>
      <c r="Q8" s="61"/>
      <c r="R8" s="61"/>
      <c r="S8" s="61"/>
      <c r="T8" s="61"/>
      <c r="U8" s="61"/>
      <c r="V8" s="61"/>
    </row>
    <row r="9" spans="1:22" x14ac:dyDescent="0.25">
      <c r="A9" s="58"/>
      <c r="B9" s="131"/>
      <c r="C9" s="59"/>
      <c r="D9" s="59"/>
      <c r="E9" s="59"/>
      <c r="F9" s="59"/>
      <c r="G9" s="59"/>
      <c r="H9" s="59"/>
      <c r="I9" s="59"/>
      <c r="J9" s="1084"/>
      <c r="K9" s="59"/>
      <c r="L9" s="59"/>
      <c r="M9" s="59"/>
      <c r="N9" s="59"/>
      <c r="O9" s="59"/>
      <c r="P9" s="59"/>
      <c r="Q9" s="59"/>
      <c r="R9" s="59"/>
      <c r="S9" s="59"/>
      <c r="T9" s="59"/>
      <c r="U9" s="59"/>
      <c r="V9" s="59"/>
    </row>
    <row r="10" spans="1:22" ht="23.25" customHeight="1" x14ac:dyDescent="0.25">
      <c r="A10" s="612" t="s">
        <v>138</v>
      </c>
      <c r="B10" s="613"/>
      <c r="C10" s="613"/>
      <c r="D10" s="613"/>
      <c r="E10" s="613"/>
      <c r="F10" s="613"/>
      <c r="G10" s="613"/>
      <c r="H10" s="613"/>
      <c r="I10" s="613"/>
      <c r="J10" s="613"/>
      <c r="K10" s="613"/>
      <c r="L10" s="613"/>
      <c r="M10" s="613"/>
      <c r="N10" s="613"/>
      <c r="O10" s="613"/>
      <c r="P10" s="613"/>
      <c r="Q10" s="613"/>
      <c r="R10" s="613"/>
      <c r="S10" s="613"/>
      <c r="T10" s="613"/>
      <c r="U10" s="613"/>
      <c r="V10" s="613"/>
    </row>
    <row r="12" spans="1:22" ht="79.5" customHeight="1" x14ac:dyDescent="0.25">
      <c r="A12" s="619" t="s">
        <v>139</v>
      </c>
      <c r="B12" s="596" t="s">
        <v>140</v>
      </c>
      <c r="C12" s="619" t="s">
        <v>75</v>
      </c>
      <c r="D12" s="619"/>
      <c r="E12" s="596" t="s">
        <v>1</v>
      </c>
      <c r="F12" s="596"/>
      <c r="G12" s="596" t="s">
        <v>76</v>
      </c>
      <c r="H12" s="596"/>
      <c r="I12" s="596"/>
      <c r="J12" s="1085" t="s">
        <v>77</v>
      </c>
      <c r="K12" s="600" t="s">
        <v>141</v>
      </c>
      <c r="L12" s="599" t="s">
        <v>142</v>
      </c>
      <c r="M12" s="599"/>
      <c r="N12" s="599"/>
      <c r="O12" s="599"/>
      <c r="P12" s="599"/>
      <c r="Q12" s="599"/>
      <c r="R12" s="599"/>
      <c r="S12" s="504" t="s">
        <v>352</v>
      </c>
      <c r="T12" s="504" t="s">
        <v>129</v>
      </c>
      <c r="U12" s="504" t="s">
        <v>130</v>
      </c>
      <c r="V12" s="504" t="s">
        <v>131</v>
      </c>
    </row>
    <row r="13" spans="1:22" ht="28.5" customHeight="1" thickBot="1" x14ac:dyDescent="0.3">
      <c r="A13" s="619"/>
      <c r="B13" s="596"/>
      <c r="C13" s="619"/>
      <c r="D13" s="619"/>
      <c r="E13" s="596"/>
      <c r="F13" s="596"/>
      <c r="G13" s="596"/>
      <c r="H13" s="596"/>
      <c r="I13" s="596"/>
      <c r="J13" s="1085"/>
      <c r="K13" s="601"/>
      <c r="L13" s="140"/>
      <c r="M13" s="505" t="s">
        <v>143</v>
      </c>
      <c r="N13" s="47"/>
      <c r="O13" s="49"/>
      <c r="P13" s="27"/>
      <c r="Q13" s="28"/>
      <c r="R13" s="29"/>
      <c r="S13" s="141"/>
      <c r="T13" s="141"/>
      <c r="U13" s="141"/>
      <c r="V13" s="506"/>
    </row>
    <row r="14" spans="1:22" ht="21.75" customHeight="1" x14ac:dyDescent="0.25">
      <c r="A14" s="626" t="s">
        <v>144</v>
      </c>
      <c r="B14" s="620">
        <v>1</v>
      </c>
      <c r="C14" s="622" t="str">
        <f>VLOOKUP($B14,'Table 1-A Sources of evidences'!$A$6:$G$31,2,FALSE)</f>
        <v>Emergency Food Security Assessment(EFSA)</v>
      </c>
      <c r="D14" s="623"/>
      <c r="E14" s="622" t="str">
        <f>VLOOKUP($B14,'Table 1-A Sources of evidences'!$A$6:$G$31,3,FALSE)</f>
        <v>WFP/NBS and Partners</v>
      </c>
      <c r="F14" s="623"/>
      <c r="G14" s="622" t="str">
        <f>VLOOKUP($B14,'Table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14" s="641"/>
      <c r="I14" s="623"/>
      <c r="J14" s="1086">
        <f>VLOOKUP($B14,'Table 1-A Sources of evidences'!$A$6:$G$31,5,FALSE)</f>
        <v>43739</v>
      </c>
      <c r="K14" s="602" t="str">
        <f>VLOOKUP($B14,'Table 1-A Sources of evidences'!$A$6:$G$31,6,FALSE)</f>
        <v>Oct_2019</v>
      </c>
      <c r="L14" s="597" t="s">
        <v>159</v>
      </c>
      <c r="M14" s="1"/>
      <c r="N14" s="639" t="s">
        <v>2</v>
      </c>
      <c r="O14" s="639"/>
      <c r="P14" s="512" t="s">
        <v>160</v>
      </c>
      <c r="Q14" s="639" t="s">
        <v>104</v>
      </c>
      <c r="R14" s="639"/>
      <c r="S14" s="635" t="s">
        <v>351</v>
      </c>
      <c r="T14" s="635" t="s">
        <v>349</v>
      </c>
      <c r="U14" s="635" t="s">
        <v>350</v>
      </c>
      <c r="V14" s="637" t="str">
        <f>IF(T14="V-nu","F0",IF(AND(T14="V1",U14="T1"),"F0",IF(AND(T14="V1",U14="T2"),"F1",IF(AND(T14="V1",U14="T3"),"F1",IF(AND(T14="V2",U14="T1"),"F1",IF(AND(T14="V2",U14="T2"),"F2",IF(AND(T14="V2",U14="T3"),"F2",IF(AND(T14="V3",U14="T1"),"F1",IF(AND(T14="V3",U14="T2"),"F2",IF(AND(T14="V3",U14="T3"),"F3","Erreur"))))))))))</f>
        <v>F2</v>
      </c>
    </row>
    <row r="15" spans="1:22" ht="21.75" customHeight="1" x14ac:dyDescent="0.25">
      <c r="A15" s="626"/>
      <c r="B15" s="621"/>
      <c r="C15" s="624"/>
      <c r="D15" s="625"/>
      <c r="E15" s="624"/>
      <c r="F15" s="625"/>
      <c r="G15" s="624"/>
      <c r="H15" s="642"/>
      <c r="I15" s="625"/>
      <c r="J15" s="1087"/>
      <c r="K15" s="603"/>
      <c r="L15" s="597"/>
      <c r="M15" s="305" t="str">
        <f>IF(SUM(N15:R15)=1,"OK","Erreur")</f>
        <v>OK</v>
      </c>
      <c r="N15" s="607">
        <v>0.7</v>
      </c>
      <c r="O15" s="608"/>
      <c r="P15" s="476">
        <v>0.25</v>
      </c>
      <c r="Q15" s="607">
        <v>0.05</v>
      </c>
      <c r="R15" s="608"/>
      <c r="S15" s="636"/>
      <c r="T15" s="636"/>
      <c r="U15" s="636"/>
      <c r="V15" s="637"/>
    </row>
    <row r="16" spans="1:22" ht="21.75" customHeight="1" thickBot="1" x14ac:dyDescent="0.3">
      <c r="A16" s="626"/>
      <c r="B16" s="141"/>
      <c r="C16" s="141"/>
      <c r="D16" s="141"/>
      <c r="E16" s="141"/>
      <c r="F16" s="141"/>
      <c r="G16" s="141"/>
      <c r="H16" s="141"/>
      <c r="I16" s="141"/>
      <c r="J16" s="1088"/>
      <c r="K16" s="141"/>
      <c r="L16" s="141"/>
      <c r="M16" s="1"/>
      <c r="N16" s="47" t="s">
        <v>43</v>
      </c>
      <c r="O16" s="49" t="s">
        <v>44</v>
      </c>
      <c r="P16" s="27" t="s">
        <v>45</v>
      </c>
      <c r="Q16" s="28" t="s">
        <v>46</v>
      </c>
      <c r="R16" s="29" t="s">
        <v>47</v>
      </c>
      <c r="S16" s="141"/>
      <c r="T16" s="366"/>
      <c r="U16" s="366"/>
      <c r="V16" s="141"/>
    </row>
    <row r="17" spans="1:22" ht="36" customHeight="1" x14ac:dyDescent="0.25">
      <c r="A17" s="626"/>
      <c r="B17" s="206">
        <v>1</v>
      </c>
      <c r="C17" s="606" t="str">
        <f>VLOOKUP($B17,'Table 1-A Sources of evidences'!$A$6:$G$31,2,FALSE)</f>
        <v>Emergency Food Security Assessment(EFSA)</v>
      </c>
      <c r="D17" s="606"/>
      <c r="E17" s="606" t="str">
        <f>VLOOKUP($B17,'Table 1-A Sources of evidences'!$A$6:$G$31,3,FALSE)</f>
        <v>WFP/NBS and Partners</v>
      </c>
      <c r="F17" s="606"/>
      <c r="G17" s="606" t="str">
        <f>VLOOKUP($B17,'Table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17" s="606"/>
      <c r="I17" s="606"/>
      <c r="J17" s="1089">
        <f>VLOOKUP($B17,'Table 1-A Sources of evidences'!$A$6:$G$31,5,FALSE)</f>
        <v>43739</v>
      </c>
      <c r="K17" s="281">
        <f>VLOOKUP($B17,'Table 1-A Sources of evidences'!$A$6:$G$31,5,FALSE)</f>
        <v>43739</v>
      </c>
      <c r="L17" s="160" t="s">
        <v>3</v>
      </c>
      <c r="M17" s="305" t="str">
        <f>IF(SUM(N17:R17)=1,"OK","Erreur")</f>
        <v>OK</v>
      </c>
      <c r="N17" s="476">
        <v>0.66300000000000003</v>
      </c>
      <c r="O17" s="476">
        <v>0.19700000000000001</v>
      </c>
      <c r="P17" s="476">
        <v>0.11700000000000001</v>
      </c>
      <c r="Q17" s="476">
        <v>0.02</v>
      </c>
      <c r="R17" s="476">
        <v>3.0000000000000001E-3</v>
      </c>
      <c r="S17" s="481" t="s">
        <v>351</v>
      </c>
      <c r="T17" s="367" t="s">
        <v>349</v>
      </c>
      <c r="U17" s="367" t="s">
        <v>350</v>
      </c>
      <c r="V17" s="159" t="str">
        <f>IF(T17="V-nu","F0",IF(AND(T17="V1",U17="T1"),"F0",IF(AND(T17="V1",U17="T2"),"F1",IF(AND(T17="V1",U17="T3"),"F1",IF(AND(T17="V2",U17="T1"),"F1",IF(AND(T17="V2",U17="T2"),"F2",IF(AND(T17="V2",U17="T3"),"F2",IF(AND(T17="V3",U17="T1"),"F1",IF(AND(T17="V3",U17="T2"),"F2",IF(AND(T17="V3",U17="T3"),"F3","Erreur"))))))))))</f>
        <v>F2</v>
      </c>
    </row>
    <row r="18" spans="1:22" ht="39" customHeight="1" x14ac:dyDescent="0.25">
      <c r="A18" s="626"/>
      <c r="B18" s="206">
        <v>1</v>
      </c>
      <c r="C18" s="606" t="str">
        <f>VLOOKUP($B18,'Table 1-A Sources of evidences'!$A$6:$G$31,2,FALSE)</f>
        <v>Emergency Food Security Assessment(EFSA)</v>
      </c>
      <c r="D18" s="606"/>
      <c r="E18" s="606" t="str">
        <f>VLOOKUP($B18,'Table 1-A Sources of evidences'!$A$6:$G$31,3,FALSE)</f>
        <v>WFP/NBS and Partners</v>
      </c>
      <c r="F18" s="606"/>
      <c r="G18" s="606" t="str">
        <f>VLOOKUP($B18,'Table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18" s="606"/>
      <c r="I18" s="606"/>
      <c r="J18" s="1089">
        <f>VLOOKUP($B18,'Table 1-A Sources of evidences'!$A$6:$G$31,5,FALSE)</f>
        <v>43739</v>
      </c>
      <c r="K18" s="281">
        <f>VLOOKUP($B18,'Table 1-A Sources of evidences'!$A$6:$G$31,5,FALSE)</f>
        <v>43739</v>
      </c>
      <c r="L18" s="160" t="s">
        <v>4</v>
      </c>
      <c r="M18" s="305" t="str">
        <f t="shared" ref="M18:M19" si="0">IF(SUM(N18:R18)=1,"OK","Erreur")</f>
        <v>OK</v>
      </c>
      <c r="N18" s="476">
        <v>0.49299999999999999</v>
      </c>
      <c r="O18" s="476">
        <v>0.27700000000000002</v>
      </c>
      <c r="P18" s="476">
        <v>0.23</v>
      </c>
      <c r="Q18" s="476">
        <v>0</v>
      </c>
      <c r="R18" s="476">
        <v>0</v>
      </c>
      <c r="S18" s="481" t="s">
        <v>351</v>
      </c>
      <c r="T18" s="367" t="s">
        <v>349</v>
      </c>
      <c r="U18" s="367" t="s">
        <v>350</v>
      </c>
      <c r="V18" s="159" t="str">
        <f t="shared" ref="V18:V19" si="1">IF(T18="V-nu","F0",IF(AND(T18="V1",U18="T1"),"F0",IF(AND(T18="V1",U18="T2"),"F1",IF(AND(T18="V1",U18="T3"),"F1",IF(AND(T18="V2",U18="T1"),"F1",IF(AND(T18="V2",U18="T2"),"F2",IF(AND(T18="V2",U18="T3"),"F2",IF(AND(T18="V3",U18="T1"),"F1",IF(AND(T18="V3",U18="T2"),"F2",IF(AND(T18="V3",U18="T3"),"F3","erreur"))))))))))</f>
        <v>F2</v>
      </c>
    </row>
    <row r="19" spans="1:22" ht="43.5" customHeight="1" x14ac:dyDescent="0.25">
      <c r="A19" s="626"/>
      <c r="B19" s="206">
        <v>1</v>
      </c>
      <c r="C19" s="606" t="str">
        <f>VLOOKUP($B19,'Table 1-A Sources of evidences'!$A$6:$G$31,2,FALSE)</f>
        <v>Emergency Food Security Assessment(EFSA)</v>
      </c>
      <c r="D19" s="606"/>
      <c r="E19" s="606" t="str">
        <f>VLOOKUP($B19,'Table 1-A Sources of evidences'!$A$6:$G$31,3,FALSE)</f>
        <v>WFP/NBS and Partners</v>
      </c>
      <c r="F19" s="606"/>
      <c r="G19" s="606" t="str">
        <f>VLOOKUP($B19,'Table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19" s="606"/>
      <c r="I19" s="606"/>
      <c r="J19" s="1089">
        <f>VLOOKUP($B19,'Table 1-A Sources of evidences'!$A$6:$G$31,5,FALSE)</f>
        <v>43739</v>
      </c>
      <c r="K19" s="281">
        <f>VLOOKUP($B19,'Table 1-A Sources of evidences'!$A$6:$G$31,5,FALSE)</f>
        <v>43739</v>
      </c>
      <c r="L19" s="160" t="s">
        <v>5</v>
      </c>
      <c r="M19" s="305" t="str">
        <f t="shared" si="0"/>
        <v>OK</v>
      </c>
      <c r="N19" s="1099">
        <v>0.17</v>
      </c>
      <c r="O19" s="1099">
        <v>0.49</v>
      </c>
      <c r="P19" s="1100">
        <v>0.34</v>
      </c>
      <c r="Q19" s="1101"/>
      <c r="R19" s="1102"/>
      <c r="S19" s="481" t="s">
        <v>351</v>
      </c>
      <c r="T19" s="367" t="s">
        <v>349</v>
      </c>
      <c r="U19" s="367" t="s">
        <v>350</v>
      </c>
      <c r="V19" s="159" t="str">
        <f t="shared" si="1"/>
        <v>F2</v>
      </c>
    </row>
    <row r="20" spans="1:22" ht="15" x14ac:dyDescent="0.25">
      <c r="A20" s="626"/>
      <c r="B20" s="627">
        <v>1</v>
      </c>
      <c r="C20" s="615" t="str">
        <f>VLOOKUP($B20,'Table 1-A Sources of evidences'!$A$6:$G$31,2,FALSE)</f>
        <v>Emergency Food Security Assessment(EFSA)</v>
      </c>
      <c r="D20" s="615"/>
      <c r="E20" s="615" t="str">
        <f>VLOOKUP($B20,'Table 1-A Sources of evidences'!$A$6:$G$31,3,FALSE)</f>
        <v>WFP/NBS and Partners</v>
      </c>
      <c r="F20" s="615"/>
      <c r="G20" s="615" t="str">
        <f>VLOOKUP($B20,'Table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20" s="615"/>
      <c r="I20" s="615"/>
      <c r="J20" s="1090">
        <f>VLOOKUP($B20,'Table 1-A Sources of evidences'!$A$6:$G$31,5,FALSE)</f>
        <v>43739</v>
      </c>
      <c r="K20" s="614" t="str">
        <f>VLOOKUP($B20,'Table 1-A Sources of evidences'!$A$6:$G$31,6,FALSE)</f>
        <v>Oct_2019</v>
      </c>
      <c r="L20" s="598" t="s">
        <v>6</v>
      </c>
      <c r="M20" s="510" t="s">
        <v>40</v>
      </c>
      <c r="N20" s="138" t="s">
        <v>170</v>
      </c>
      <c r="O20" s="138" t="s">
        <v>171</v>
      </c>
      <c r="P20" s="138" t="s">
        <v>172</v>
      </c>
      <c r="Q20" s="617" t="s">
        <v>173</v>
      </c>
      <c r="R20" s="618"/>
      <c r="S20" s="634" t="s">
        <v>351</v>
      </c>
      <c r="T20" s="638" t="s">
        <v>349</v>
      </c>
      <c r="U20" s="638" t="s">
        <v>350</v>
      </c>
      <c r="V20" s="614" t="str">
        <f>IF(T20="V-nu","F0",IF(AND(T20="V1",U20="T1"),"F0",IF(AND(T20="V1",U20="T2"),"F1",IF(AND(T20="V1",U20="T3"),"F1",IF(AND(T20="V2",U20="T1"),"F1",IF(AND(T20="V2",U20="T2"),"F2",IF(AND(T20="V2",U20="T3"),"F2",IF(AND(T20="V3",U20="T1"),"F1",IF(AND(T20="V3",U20="T2"),"F2",IF(AND(T20="V3",U20="T3"),"F3","erreur"))))))))))</f>
        <v>F2</v>
      </c>
    </row>
    <row r="21" spans="1:22" ht="15" x14ac:dyDescent="0.25">
      <c r="A21" s="626"/>
      <c r="B21" s="627"/>
      <c r="C21" s="615"/>
      <c r="D21" s="615"/>
      <c r="E21" s="615"/>
      <c r="F21" s="615"/>
      <c r="G21" s="615"/>
      <c r="H21" s="615"/>
      <c r="I21" s="615"/>
      <c r="J21" s="1090"/>
      <c r="K21" s="614"/>
      <c r="L21" s="598"/>
      <c r="M21" s="511" t="s">
        <v>151</v>
      </c>
      <c r="N21" s="474">
        <v>0.01</v>
      </c>
      <c r="O21" s="474">
        <v>0.01</v>
      </c>
      <c r="P21" s="474">
        <v>0.01</v>
      </c>
      <c r="Q21" s="604">
        <v>0.01</v>
      </c>
      <c r="R21" s="605"/>
      <c r="S21" s="634"/>
      <c r="T21" s="638"/>
      <c r="U21" s="638"/>
      <c r="V21" s="614"/>
    </row>
    <row r="22" spans="1:22" ht="15" x14ac:dyDescent="0.25">
      <c r="A22" s="626"/>
      <c r="B22" s="627"/>
      <c r="C22" s="615"/>
      <c r="D22" s="615"/>
      <c r="E22" s="615"/>
      <c r="F22" s="615"/>
      <c r="G22" s="615"/>
      <c r="H22" s="615"/>
      <c r="I22" s="615"/>
      <c r="J22" s="1090"/>
      <c r="K22" s="614"/>
      <c r="L22" s="598"/>
      <c r="M22" s="511" t="s">
        <v>152</v>
      </c>
      <c r="N22" s="474">
        <v>0.02</v>
      </c>
      <c r="O22" s="474">
        <v>0.02</v>
      </c>
      <c r="P22" s="474">
        <v>0.02</v>
      </c>
      <c r="Q22" s="604">
        <v>0.02</v>
      </c>
      <c r="R22" s="605"/>
      <c r="S22" s="634"/>
      <c r="T22" s="638"/>
      <c r="U22" s="638"/>
      <c r="V22" s="614"/>
    </row>
    <row r="23" spans="1:22" ht="15" x14ac:dyDescent="0.25">
      <c r="A23" s="626"/>
      <c r="B23" s="627"/>
      <c r="C23" s="615"/>
      <c r="D23" s="615"/>
      <c r="E23" s="615"/>
      <c r="F23" s="615"/>
      <c r="G23" s="615"/>
      <c r="H23" s="615"/>
      <c r="I23" s="615"/>
      <c r="J23" s="1090"/>
      <c r="K23" s="614"/>
      <c r="L23" s="598"/>
      <c r="M23" s="511" t="s">
        <v>153</v>
      </c>
      <c r="N23" s="474">
        <v>0.03</v>
      </c>
      <c r="O23" s="474">
        <v>0.03</v>
      </c>
      <c r="P23" s="474">
        <v>0.03</v>
      </c>
      <c r="Q23" s="604">
        <v>0.03</v>
      </c>
      <c r="R23" s="605"/>
      <c r="S23" s="634"/>
      <c r="T23" s="638"/>
      <c r="U23" s="638"/>
      <c r="V23" s="614"/>
    </row>
    <row r="24" spans="1:22" ht="15" x14ac:dyDescent="0.25">
      <c r="A24" s="626"/>
      <c r="B24" s="627"/>
      <c r="C24" s="615"/>
      <c r="D24" s="615"/>
      <c r="E24" s="615"/>
      <c r="F24" s="615"/>
      <c r="G24" s="615"/>
      <c r="H24" s="615"/>
      <c r="I24" s="615"/>
      <c r="J24" s="1090"/>
      <c r="K24" s="614"/>
      <c r="L24" s="598"/>
      <c r="M24" s="511" t="s">
        <v>154</v>
      </c>
      <c r="N24" s="474">
        <v>0.04</v>
      </c>
      <c r="O24" s="474">
        <v>0.04</v>
      </c>
      <c r="P24" s="474">
        <v>0.04</v>
      </c>
      <c r="Q24" s="604">
        <v>0.04</v>
      </c>
      <c r="R24" s="605"/>
      <c r="S24" s="634"/>
      <c r="T24" s="638"/>
      <c r="U24" s="638"/>
      <c r="V24" s="614"/>
    </row>
    <row r="25" spans="1:22" ht="15" x14ac:dyDescent="0.25">
      <c r="A25" s="626"/>
      <c r="B25" s="627"/>
      <c r="C25" s="615"/>
      <c r="D25" s="615"/>
      <c r="E25" s="615"/>
      <c r="F25" s="615"/>
      <c r="G25" s="615"/>
      <c r="H25" s="615"/>
      <c r="I25" s="615"/>
      <c r="J25" s="1090"/>
      <c r="K25" s="614"/>
      <c r="L25" s="598"/>
      <c r="M25" s="511" t="s">
        <v>155</v>
      </c>
      <c r="N25" s="474">
        <v>0.05</v>
      </c>
      <c r="O25" s="474">
        <v>0.05</v>
      </c>
      <c r="P25" s="474">
        <v>0.05</v>
      </c>
      <c r="Q25" s="604">
        <v>0.05</v>
      </c>
      <c r="R25" s="605"/>
      <c r="S25" s="634"/>
      <c r="T25" s="638"/>
      <c r="U25" s="638"/>
      <c r="V25" s="614"/>
    </row>
    <row r="26" spans="1:22" ht="15" x14ac:dyDescent="0.25">
      <c r="A26" s="626"/>
      <c r="B26" s="627"/>
      <c r="C26" s="615"/>
      <c r="D26" s="615"/>
      <c r="E26" s="615"/>
      <c r="F26" s="615"/>
      <c r="G26" s="615"/>
      <c r="H26" s="615"/>
      <c r="I26" s="615"/>
      <c r="J26" s="1090"/>
      <c r="K26" s="614"/>
      <c r="L26" s="598"/>
      <c r="M26" s="511" t="s">
        <v>156</v>
      </c>
      <c r="N26" s="475">
        <v>0.06</v>
      </c>
      <c r="O26" s="475">
        <v>0.06</v>
      </c>
      <c r="P26" s="475">
        <v>0.06</v>
      </c>
      <c r="Q26" s="604">
        <v>0.06</v>
      </c>
      <c r="R26" s="605"/>
      <c r="S26" s="634"/>
      <c r="T26" s="638"/>
      <c r="U26" s="638"/>
      <c r="V26" s="614"/>
    </row>
    <row r="27" spans="1:22" ht="15" x14ac:dyDescent="0.25">
      <c r="A27" s="626"/>
      <c r="B27" s="627"/>
      <c r="C27" s="615"/>
      <c r="D27" s="615"/>
      <c r="E27" s="615"/>
      <c r="F27" s="615"/>
      <c r="G27" s="615"/>
      <c r="H27" s="615"/>
      <c r="I27" s="615"/>
      <c r="J27" s="1090"/>
      <c r="K27" s="614"/>
      <c r="L27" s="598"/>
      <c r="M27" s="511" t="s">
        <v>157</v>
      </c>
      <c r="N27" s="474">
        <v>7.0000000000000007E-2</v>
      </c>
      <c r="O27" s="474">
        <v>7.0000000000000007E-2</v>
      </c>
      <c r="P27" s="474">
        <v>7.0000000000000007E-2</v>
      </c>
      <c r="Q27" s="604">
        <v>7.0000000000000007E-2</v>
      </c>
      <c r="R27" s="605"/>
      <c r="S27" s="634"/>
      <c r="T27" s="638"/>
      <c r="U27" s="638"/>
      <c r="V27" s="614"/>
    </row>
    <row r="28" spans="1:22" ht="15" x14ac:dyDescent="0.25">
      <c r="A28" s="626"/>
      <c r="B28" s="627"/>
      <c r="C28" s="615"/>
      <c r="D28" s="615"/>
      <c r="E28" s="615"/>
      <c r="F28" s="615"/>
      <c r="G28" s="615"/>
      <c r="H28" s="615"/>
      <c r="I28" s="615"/>
      <c r="J28" s="1090"/>
      <c r="K28" s="614"/>
      <c r="L28" s="598"/>
      <c r="M28" s="511" t="s">
        <v>158</v>
      </c>
      <c r="N28" s="474">
        <v>0.08</v>
      </c>
      <c r="O28" s="474">
        <v>0.08</v>
      </c>
      <c r="P28" s="474">
        <v>0.08</v>
      </c>
      <c r="Q28" s="604">
        <v>0.08</v>
      </c>
      <c r="R28" s="605"/>
      <c r="S28" s="634"/>
      <c r="T28" s="638"/>
      <c r="U28" s="638"/>
      <c r="V28" s="614"/>
    </row>
    <row r="29" spans="1:22" s="153" customFormat="1" ht="39.75" customHeight="1" x14ac:dyDescent="0.25">
      <c r="A29" s="626"/>
      <c r="B29" s="206"/>
      <c r="C29" s="615" t="e">
        <f>VLOOKUP($B29,'Table 1-A Sources of evidences'!$A$6:$G$31,2,FALSE)</f>
        <v>#N/A</v>
      </c>
      <c r="D29" s="615"/>
      <c r="E29" s="615" t="e">
        <f>VLOOKUP($B29,'Table 1-A Sources of evidences'!$A$6:$G$31,3,FALSE)</f>
        <v>#N/A</v>
      </c>
      <c r="F29" s="615"/>
      <c r="G29" s="615" t="e">
        <f>VLOOKUP($B29,'Table 1-A Sources of evidences'!$A$6:$G$31,4,FALSE)</f>
        <v>#N/A</v>
      </c>
      <c r="H29" s="615"/>
      <c r="I29" s="615"/>
      <c r="J29" s="1091" t="e">
        <f>VLOOKUP($B29,'Table 1-A Sources of evidences'!$A$6:$G$31,5,FALSE)</f>
        <v>#N/A</v>
      </c>
      <c r="K29" s="158" t="e">
        <f>VLOOKUP($B29,'Table 1-A Sources of evidences'!$A$6:$G$31,5,FALSE)</f>
        <v>#N/A</v>
      </c>
      <c r="L29" s="640" t="s">
        <v>162</v>
      </c>
      <c r="M29" s="640"/>
      <c r="N29" s="399" t="s">
        <v>69</v>
      </c>
      <c r="O29" s="175"/>
      <c r="P29" s="175"/>
      <c r="Q29" s="175"/>
      <c r="R29" s="175"/>
      <c r="S29" s="481"/>
      <c r="T29" s="367"/>
      <c r="U29" s="368"/>
      <c r="V29" s="159" t="str">
        <f>IF(T29="V-nu","F0",IF(AND(T29="V1",U29="T1"),"F0",IF(AND(T29="V1",U29="T2"),"F1",IF(AND(T29="V1",U29="T3"),"F1",IF(AND(T29="V2",U29="T1"),"F1",IF(AND(T29="V2",U29="T2"),"F2",IF(AND(T29="V2",U29="T3"),"F2",IF(AND(T29="V3",U29="T1"),"F1",IF(AND(T29="V3",U29="T2"),"F2",IF(AND(T29="V3",U29="T3"),"F3","erreur"))))))))))</f>
        <v>erreur</v>
      </c>
    </row>
    <row r="30" spans="1:22" ht="9" customHeight="1" x14ac:dyDescent="0.25">
      <c r="A30" s="150"/>
      <c r="B30" s="156"/>
      <c r="C30" s="145"/>
      <c r="D30" s="145"/>
      <c r="E30" s="145"/>
      <c r="F30" s="145"/>
      <c r="G30" s="145"/>
      <c r="H30" s="145"/>
      <c r="I30" s="145"/>
      <c r="J30" s="1092"/>
      <c r="K30" s="144"/>
      <c r="L30" s="146"/>
      <c r="M30" s="147"/>
      <c r="N30" s="144"/>
      <c r="O30" s="144"/>
      <c r="P30" s="144"/>
      <c r="Q30" s="144"/>
      <c r="R30" s="144"/>
      <c r="S30" s="144"/>
      <c r="T30" s="369"/>
      <c r="U30" s="369"/>
      <c r="V30" s="144"/>
    </row>
    <row r="31" spans="1:22" ht="37.5" customHeight="1" x14ac:dyDescent="0.25">
      <c r="A31" s="645" t="s">
        <v>145</v>
      </c>
      <c r="B31" s="620">
        <v>1</v>
      </c>
      <c r="C31" s="630" t="str">
        <f>VLOOKUP($B31,'Table 1-A Sources of evidences'!$A$6:$G$31,2,FALSE)</f>
        <v>Emergency Food Security Assessment(EFSA)</v>
      </c>
      <c r="D31" s="631"/>
      <c r="E31" s="630" t="str">
        <f>VLOOKUP($B31,'Table 1-A Sources of evidences'!$A$6:$G$31,3,FALSE)</f>
        <v>WFP/NBS and Partners</v>
      </c>
      <c r="F31" s="631"/>
      <c r="G31" s="615" t="str">
        <f>VLOOKUP($B31,'Table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31" s="615"/>
      <c r="I31" s="615"/>
      <c r="J31" s="1093">
        <f>VLOOKUP($B31,'Table 1-A Sources of evidences'!$A$6:$G$31,5,FALSE)</f>
        <v>43739</v>
      </c>
      <c r="K31" s="628" t="str">
        <f>VLOOKUP($B31,'Table 1-A Sources of evidences'!$A$6:$G$31,6,FALSE)</f>
        <v>Oct_2019</v>
      </c>
      <c r="L31" s="616" t="s">
        <v>161</v>
      </c>
      <c r="M31" s="149" t="s">
        <v>150</v>
      </c>
      <c r="N31" s="508">
        <v>1</v>
      </c>
      <c r="O31" s="509">
        <v>2</v>
      </c>
      <c r="P31" s="509">
        <v>3</v>
      </c>
      <c r="Q31" s="509">
        <v>4</v>
      </c>
      <c r="R31" s="148"/>
      <c r="S31" s="634"/>
      <c r="T31" s="635"/>
      <c r="U31" s="635"/>
      <c r="V31" s="637" t="str">
        <f>IF(T31="V-nu","F0",IF(AND(T31="V1",U31="T1"),"F0",IF(AND(T31="V1",U31="T2"),"F1",IF(AND(T31="V1",U31="T3"),"F1",IF(AND(T31="V2",U31="T1"),"F1",IF(AND(T31="V2",U31="T2"),"F2",IF(AND(T31="V2",U31="T3"),"F2",IF(AND(T31="V3",U31="T1"),"F1",IF(AND(T31="V3",U31="T2"),"F2",IF(AND(T31="V3",U31="T3"),"F3","erreur"))))))))))</f>
        <v>erreur</v>
      </c>
    </row>
    <row r="32" spans="1:22" ht="57.75" customHeight="1" x14ac:dyDescent="0.25">
      <c r="A32" s="645"/>
      <c r="B32" s="621"/>
      <c r="C32" s="632"/>
      <c r="D32" s="633"/>
      <c r="E32" s="632"/>
      <c r="F32" s="633"/>
      <c r="G32" s="615"/>
      <c r="H32" s="615"/>
      <c r="I32" s="615"/>
      <c r="J32" s="1094"/>
      <c r="K32" s="629"/>
      <c r="L32" s="616"/>
      <c r="M32" s="305" t="str">
        <f t="shared" ref="M32" si="2">IF(SUM(N32:R32)=1,"OK","Erreur")</f>
        <v>OK</v>
      </c>
      <c r="N32" s="476">
        <v>0.18</v>
      </c>
      <c r="O32" s="476">
        <v>0.45</v>
      </c>
      <c r="P32" s="476">
        <v>0.17299999999999999</v>
      </c>
      <c r="Q32" s="476">
        <v>0.19700000000000001</v>
      </c>
      <c r="R32" s="148"/>
      <c r="S32" s="634"/>
      <c r="T32" s="636"/>
      <c r="U32" s="636"/>
      <c r="V32" s="637"/>
    </row>
    <row r="33" spans="1:22" ht="8.25" customHeight="1" x14ac:dyDescent="0.25">
      <c r="A33" s="151"/>
      <c r="B33" s="157"/>
      <c r="C33" s="148"/>
      <c r="D33" s="148"/>
      <c r="E33" s="148"/>
      <c r="F33" s="148"/>
      <c r="G33" s="148"/>
      <c r="H33" s="148"/>
      <c r="I33" s="148"/>
      <c r="J33" s="1095"/>
      <c r="K33" s="148"/>
      <c r="L33" s="148"/>
      <c r="M33" s="148"/>
      <c r="N33" s="148"/>
      <c r="O33" s="148"/>
      <c r="P33" s="148"/>
      <c r="Q33" s="148"/>
      <c r="R33" s="148"/>
      <c r="S33" s="148"/>
      <c r="T33" s="370"/>
      <c r="U33" s="370"/>
      <c r="V33" s="148"/>
    </row>
    <row r="34" spans="1:22" ht="21.75" customHeight="1" x14ac:dyDescent="0.25">
      <c r="A34" s="643" t="s">
        <v>146</v>
      </c>
      <c r="B34" s="141"/>
      <c r="C34" s="141"/>
      <c r="D34" s="141"/>
      <c r="E34" s="141"/>
      <c r="F34" s="141"/>
      <c r="G34" s="141"/>
      <c r="H34" s="141"/>
      <c r="I34" s="141"/>
      <c r="J34" s="1088"/>
      <c r="K34" s="141"/>
      <c r="L34" s="141"/>
      <c r="M34" s="162" t="s">
        <v>149</v>
      </c>
      <c r="N34" s="148"/>
      <c r="O34" s="148"/>
      <c r="P34" s="148"/>
      <c r="Q34" s="148"/>
      <c r="R34" s="148"/>
      <c r="S34" s="141"/>
      <c r="T34" s="366"/>
      <c r="U34" s="366"/>
      <c r="V34" s="141"/>
    </row>
    <row r="35" spans="1:22" ht="99" customHeight="1" x14ac:dyDescent="0.25">
      <c r="A35" s="644"/>
      <c r="B35" s="206">
        <v>17</v>
      </c>
      <c r="C35" s="606" t="str">
        <f>VLOOKUP($B35,'Table 1-A Sources of evidences'!$A$6:$G$31,2,FALSE)</f>
        <v>Nutrition Assessment</v>
      </c>
      <c r="D35" s="606"/>
      <c r="E35" s="606" t="str">
        <f>VLOOKUP($B35,'Table 1-A Sources of evidences'!$A$6:$G$31,3,FALSE)</f>
        <v>UNICEF/NBS</v>
      </c>
      <c r="F35" s="606"/>
      <c r="G35" s="606" t="str">
        <f>VLOOKUP($B35,'Table 1-A Sources of evidences'!$A$6:$G$31,4,FALSE)</f>
        <v>Cross sectional household survey using 2-stage cluster sampling based on SMART methodology.</v>
      </c>
      <c r="H35" s="606"/>
      <c r="I35" s="606"/>
      <c r="J35" s="1096" t="str">
        <f>VLOOKUP($B35,'Table 1-A Sources of evidences'!$A$6:$G$31,5,FALSE)</f>
        <v>Oct_2019</v>
      </c>
      <c r="K35" s="152" t="str">
        <f>VLOOKUP($B35,'Table 1-A Sources of evidences'!$A$6:$G$31,5,FALSE)</f>
        <v>Oct_2019</v>
      </c>
      <c r="L35" s="161" t="s">
        <v>163</v>
      </c>
      <c r="M35" s="476">
        <v>6.0999999999999999E-2</v>
      </c>
      <c r="N35" s="148"/>
      <c r="O35" s="148"/>
      <c r="P35" s="148"/>
      <c r="Q35" s="148"/>
      <c r="R35" s="148"/>
      <c r="S35" s="481" t="s">
        <v>351</v>
      </c>
      <c r="T35" s="367" t="s">
        <v>353</v>
      </c>
      <c r="U35" s="368" t="s">
        <v>350</v>
      </c>
      <c r="V35" s="159" t="str">
        <f t="shared" ref="V35:V39" si="3">IF(T35="V-nu","F0",IF(AND(T35="V1",U35="T1"),"F0",IF(AND(T35="V1",U35="T2"),"F1",IF(AND(T35="V1",U35="T3"),"F1",IF(AND(T35="V2",U35="T1"),"F1",IF(AND(T35="V2",U35="T2"),"F2",IF(AND(T35="V2",U35="T3"),"F2",IF(AND(T35="V3",U35="T1"),"F1",IF(AND(T35="V3",U35="T2"),"F2",IF(AND(T35="V3",U35="T3"),"F3","erreur"))))))))))</f>
        <v>F3</v>
      </c>
    </row>
    <row r="36" spans="1:22" ht="39" customHeight="1" x14ac:dyDescent="0.25">
      <c r="A36" s="644"/>
      <c r="B36" s="286"/>
      <c r="C36" s="606" t="e">
        <f>VLOOKUP($B36,'Table 1-A Sources of evidences'!$A$6:$G$31,2,FALSE)</f>
        <v>#N/A</v>
      </c>
      <c r="D36" s="606"/>
      <c r="E36" s="606" t="e">
        <f>VLOOKUP($B36,'Table 1-A Sources of evidences'!$A$6:$G$31,3,FALSE)</f>
        <v>#N/A</v>
      </c>
      <c r="F36" s="606"/>
      <c r="G36" s="606" t="e">
        <f>VLOOKUP($B36,'Table 1-A Sources of evidences'!$A$6:$G$31,4,FALSE)</f>
        <v>#N/A</v>
      </c>
      <c r="H36" s="606"/>
      <c r="I36" s="606"/>
      <c r="J36" s="1096" t="e">
        <f>VLOOKUP($B36,'Table 1-A Sources of evidences'!$A$6:$G$31,5,FALSE)</f>
        <v>#N/A</v>
      </c>
      <c r="K36" s="152" t="e">
        <f>VLOOKUP($B36,'Table 1-A Sources of evidences'!$A$6:$G$31,5,FALSE)</f>
        <v>#N/A</v>
      </c>
      <c r="L36" s="297" t="s">
        <v>164</v>
      </c>
      <c r="M36" s="476">
        <v>0.12</v>
      </c>
      <c r="N36" s="148"/>
      <c r="O36" s="148"/>
      <c r="P36" s="148"/>
      <c r="Q36" s="148"/>
      <c r="R36" s="148"/>
      <c r="S36" s="481"/>
      <c r="T36" s="367"/>
      <c r="U36" s="368"/>
      <c r="V36" s="285" t="str">
        <f t="shared" si="3"/>
        <v>erreur</v>
      </c>
    </row>
    <row r="37" spans="1:22" ht="39" customHeight="1" x14ac:dyDescent="0.25">
      <c r="A37" s="644"/>
      <c r="B37" s="206"/>
      <c r="C37" s="606" t="e">
        <f>VLOOKUP($B37,'Table 1-A Sources of evidences'!$A$6:$G$31,2,FALSE)</f>
        <v>#N/A</v>
      </c>
      <c r="D37" s="606"/>
      <c r="E37" s="606" t="e">
        <f>VLOOKUP($B37,'Table 1-A Sources of evidences'!$A$6:$G$31,3,FALSE)</f>
        <v>#N/A</v>
      </c>
      <c r="F37" s="606"/>
      <c r="G37" s="606" t="e">
        <f>VLOOKUP($B37,'Table 1-A Sources of evidences'!$A$6:$G$31,4,FALSE)</f>
        <v>#N/A</v>
      </c>
      <c r="H37" s="606"/>
      <c r="I37" s="606"/>
      <c r="J37" s="1096" t="e">
        <f>VLOOKUP($B37,'Table 1-A Sources of evidences'!$A$6:$G$31,5,FALSE)</f>
        <v>#N/A</v>
      </c>
      <c r="K37" s="152" t="e">
        <f>VLOOKUP($B37,'Table 1-A Sources of evidences'!$A$6:$G$31,5,FALSE)</f>
        <v>#N/A</v>
      </c>
      <c r="L37" s="298" t="s">
        <v>165</v>
      </c>
      <c r="M37" s="476">
        <v>0.13</v>
      </c>
      <c r="N37" s="148"/>
      <c r="O37" s="148"/>
      <c r="P37" s="148"/>
      <c r="Q37" s="148"/>
      <c r="R37" s="148"/>
      <c r="S37" s="481"/>
      <c r="T37" s="367"/>
      <c r="U37" s="368"/>
      <c r="V37" s="159" t="str">
        <f t="shared" ref="V37" si="4">IF(T37="V-nu","F0",IF(AND(T37="V1",U37="T1"),"F0",IF(AND(T37="V1",U37="T2"),"F1",IF(AND(T37="V1",U37="T3"),"F1",IF(AND(T37="V2",U37="T1"),"F1",IF(AND(T37="V2",U37="T2"),"F2",IF(AND(T37="V2",U37="T3"),"F2",IF(AND(T37="V3",U37="T1"),"F1",IF(AND(T37="V3",U37="T2"),"F2",IF(AND(T37="V3",U37="T3"),"F3","erreur"))))))))))</f>
        <v>erreur</v>
      </c>
    </row>
    <row r="38" spans="1:22" ht="36.75" customHeight="1" x14ac:dyDescent="0.25">
      <c r="A38" s="644"/>
      <c r="B38" s="206"/>
      <c r="C38" s="606" t="e">
        <f>VLOOKUP($B38,'Table 1-A Sources of evidences'!$A$6:$G$31,2,FALSE)</f>
        <v>#N/A</v>
      </c>
      <c r="D38" s="606"/>
      <c r="E38" s="606" t="e">
        <f>VLOOKUP($B38,'Table 1-A Sources of evidences'!$A$6:$G$31,3,FALSE)</f>
        <v>#N/A</v>
      </c>
      <c r="F38" s="606"/>
      <c r="G38" s="606" t="e">
        <f>VLOOKUP($B38,'Table 1-A Sources of evidences'!$A$6:$G$31,4,FALSE)</f>
        <v>#N/A</v>
      </c>
      <c r="H38" s="606"/>
      <c r="I38" s="606"/>
      <c r="J38" s="1096" t="e">
        <f>VLOOKUP($B38,'Table 1-A Sources of evidences'!$A$6:$G$31,5,FALSE)</f>
        <v>#N/A</v>
      </c>
      <c r="K38" s="152" t="e">
        <f>VLOOKUP($B38,'Table 1-A Sources of evidences'!$A$6:$G$31,5,FALSE)</f>
        <v>#N/A</v>
      </c>
      <c r="L38" s="161" t="s">
        <v>166</v>
      </c>
      <c r="M38" s="476">
        <v>0.14000000000000001</v>
      </c>
      <c r="N38" s="148"/>
      <c r="O38" s="148"/>
      <c r="P38" s="148"/>
      <c r="Q38" s="148"/>
      <c r="R38" s="148"/>
      <c r="S38" s="481"/>
      <c r="T38" s="367"/>
      <c r="U38" s="368"/>
      <c r="V38" s="159" t="str">
        <f t="shared" si="3"/>
        <v>erreur</v>
      </c>
    </row>
    <row r="39" spans="1:22" ht="45.75" customHeight="1" x14ac:dyDescent="0.25">
      <c r="A39" s="644"/>
      <c r="B39" s="206"/>
      <c r="C39" s="606" t="e">
        <f>VLOOKUP($B39,'Table 1-A Sources of evidences'!$A$6:$G$31,2,FALSE)</f>
        <v>#N/A</v>
      </c>
      <c r="D39" s="606"/>
      <c r="E39" s="606" t="e">
        <f>VLOOKUP($B39,'Table 1-A Sources of evidences'!$A$6:$G$31,3,FALSE)</f>
        <v>#N/A</v>
      </c>
      <c r="F39" s="606"/>
      <c r="G39" s="606" t="e">
        <f>VLOOKUP($B39,'Table 1-A Sources of evidences'!$A$6:$G$31,4,FALSE)</f>
        <v>#N/A</v>
      </c>
      <c r="H39" s="606"/>
      <c r="I39" s="606"/>
      <c r="J39" s="1096" t="e">
        <f>VLOOKUP($B39,'Table 1-A Sources of evidences'!$A$6:$G$31,5,FALSE)</f>
        <v>#N/A</v>
      </c>
      <c r="K39" s="152" t="e">
        <f>VLOOKUP($B39,'Table 1-A Sources of evidences'!$A$6:$G$31,5,FALSE)</f>
        <v>#N/A</v>
      </c>
      <c r="L39" s="161" t="s">
        <v>167</v>
      </c>
      <c r="M39" s="476">
        <v>0.15</v>
      </c>
      <c r="N39" s="148"/>
      <c r="O39" s="148"/>
      <c r="P39" s="148"/>
      <c r="Q39" s="148"/>
      <c r="R39" s="148"/>
      <c r="S39" s="481"/>
      <c r="T39" s="367"/>
      <c r="U39" s="368"/>
      <c r="V39" s="159" t="str">
        <f t="shared" si="3"/>
        <v>erreur</v>
      </c>
    </row>
    <row r="40" spans="1:22" ht="10.5" customHeight="1" x14ac:dyDescent="0.25">
      <c r="A40" s="151"/>
      <c r="B40" s="151"/>
      <c r="C40" s="151"/>
      <c r="D40" s="151"/>
      <c r="E40" s="151"/>
      <c r="F40" s="151"/>
      <c r="G40" s="151"/>
      <c r="H40" s="151"/>
      <c r="I40" s="151"/>
      <c r="J40" s="1097"/>
      <c r="K40" s="151"/>
      <c r="L40" s="151"/>
      <c r="M40" s="151"/>
      <c r="N40" s="151"/>
      <c r="O40" s="151"/>
      <c r="P40" s="151"/>
      <c r="Q40" s="151"/>
      <c r="R40" s="151"/>
      <c r="S40" s="151"/>
      <c r="T40" s="151"/>
      <c r="U40" s="151"/>
      <c r="V40" s="151"/>
    </row>
    <row r="41" spans="1:22" ht="35.1" customHeight="1" x14ac:dyDescent="0.25">
      <c r="A41" s="574" t="s">
        <v>147</v>
      </c>
      <c r="B41" s="141"/>
      <c r="C41" s="141"/>
      <c r="D41" s="141"/>
      <c r="E41" s="141"/>
      <c r="F41" s="141"/>
      <c r="G41" s="141"/>
      <c r="H41" s="141"/>
      <c r="I41" s="141"/>
      <c r="J41" s="1088"/>
      <c r="K41" s="141"/>
      <c r="L41" s="141"/>
      <c r="M41" s="507" t="s">
        <v>148</v>
      </c>
      <c r="N41" s="151"/>
      <c r="O41" s="151"/>
      <c r="P41" s="151"/>
      <c r="Q41" s="151"/>
      <c r="R41" s="151"/>
      <c r="S41" s="141"/>
      <c r="T41" s="366"/>
      <c r="U41" s="366"/>
      <c r="V41" s="141"/>
    </row>
    <row r="42" spans="1:22" ht="36.75" customHeight="1" x14ac:dyDescent="0.25">
      <c r="A42" s="575"/>
      <c r="B42" s="206">
        <v>17</v>
      </c>
      <c r="C42" s="606" t="str">
        <f>VLOOKUP($B42,'Table 1-A Sources of evidences'!$A$6:$G$31,2,FALSE)</f>
        <v>Nutrition Assessment</v>
      </c>
      <c r="D42" s="606"/>
      <c r="E42" s="606" t="str">
        <f>VLOOKUP($B42,'Table 1-A Sources of evidences'!$A$6:$G$31,3,FALSE)</f>
        <v>UNICEF/NBS</v>
      </c>
      <c r="F42" s="606"/>
      <c r="G42" s="606" t="str">
        <f>VLOOKUP($B42,'Table 1-A Sources of evidences'!$A$6:$G$31,4,FALSE)</f>
        <v>Cross sectional household survey using 2-stage cluster sampling based on SMART methodology.</v>
      </c>
      <c r="H42" s="606"/>
      <c r="I42" s="606"/>
      <c r="J42" s="1096" t="str">
        <f>VLOOKUP($B42,'Table 1-A Sources of evidences'!$A$6:$G$31,5,FALSE)</f>
        <v>Oct_2019</v>
      </c>
      <c r="K42" s="152" t="str">
        <f>VLOOKUP($B42,'Table 1-A Sources of evidences'!$A$6:$G$31,5,FALSE)</f>
        <v>Oct_2019</v>
      </c>
      <c r="L42" s="161" t="s">
        <v>168</v>
      </c>
      <c r="M42" s="207">
        <v>0.3</v>
      </c>
      <c r="N42" s="151"/>
      <c r="O42" s="151"/>
      <c r="P42" s="151"/>
      <c r="Q42" s="151"/>
      <c r="R42" s="151"/>
      <c r="S42" s="481" t="s">
        <v>351</v>
      </c>
      <c r="T42" s="367" t="s">
        <v>353</v>
      </c>
      <c r="U42" s="368" t="s">
        <v>350</v>
      </c>
      <c r="V42" s="159" t="str">
        <f t="shared" ref="V42:V43" si="5">IF(T42="V-nu","F0",IF(AND(T42="V1",U42="T1"),"F0",IF(AND(T42="V1",U42="T2"),"F1",IF(AND(T42="V1",U42="T3"),"F1",IF(AND(T42="V2",U42="T1"),"F1",IF(AND(T42="V2",U42="T2"),"F2",IF(AND(T42="V2",U42="T3"),"F2",IF(AND(T42="V3",U42="T1"),"F1",IF(AND(T42="V3",U42="T2"),"F2",IF(AND(T42="V3",U42="T3"),"F3","erreur"))))))))))</f>
        <v>F3</v>
      </c>
    </row>
    <row r="43" spans="1:22" ht="43.5" customHeight="1" x14ac:dyDescent="0.25">
      <c r="A43" s="576"/>
      <c r="B43" s="206">
        <v>17</v>
      </c>
      <c r="C43" s="606" t="str">
        <f>VLOOKUP($B43,'Table 1-A Sources of evidences'!$A$6:$G$31,2,FALSE)</f>
        <v>Nutrition Assessment</v>
      </c>
      <c r="D43" s="606"/>
      <c r="E43" s="606" t="str">
        <f>VLOOKUP($B43,'Table 1-A Sources of evidences'!$A$6:$G$31,3,FALSE)</f>
        <v>UNICEF/NBS</v>
      </c>
      <c r="F43" s="606"/>
      <c r="G43" s="606" t="str">
        <f>VLOOKUP($B43,'Table 1-A Sources of evidences'!$A$6:$G$31,4,FALSE)</f>
        <v>Cross sectional household survey using 2-stage cluster sampling based on SMART methodology.</v>
      </c>
      <c r="H43" s="606"/>
      <c r="I43" s="606"/>
      <c r="J43" s="1096" t="str">
        <f>VLOOKUP($B43,'Table 1-A Sources of evidences'!$A$6:$G$31,5,FALSE)</f>
        <v>Oct_2019</v>
      </c>
      <c r="K43" s="152" t="str">
        <f>VLOOKUP($B43,'Table 1-A Sources of evidences'!$A$6:$G$31,5,FALSE)</f>
        <v>Oct_2019</v>
      </c>
      <c r="L43" s="161" t="s">
        <v>169</v>
      </c>
      <c r="M43" s="207">
        <v>0.5</v>
      </c>
      <c r="N43" s="151"/>
      <c r="O43" s="151"/>
      <c r="P43" s="151"/>
      <c r="Q43" s="151"/>
      <c r="R43" s="151"/>
      <c r="S43" s="481" t="s">
        <v>351</v>
      </c>
      <c r="T43" s="367" t="s">
        <v>353</v>
      </c>
      <c r="U43" s="368" t="s">
        <v>350</v>
      </c>
      <c r="V43" s="159" t="str">
        <f t="shared" si="5"/>
        <v>F3</v>
      </c>
    </row>
    <row r="44" spans="1:22" ht="11.25" customHeight="1" x14ac:dyDescent="0.25">
      <c r="A44" s="151"/>
      <c r="B44" s="151"/>
      <c r="C44" s="151"/>
      <c r="D44" s="151"/>
      <c r="E44" s="151"/>
      <c r="F44" s="151"/>
      <c r="G44" s="151"/>
      <c r="H44" s="151"/>
      <c r="I44" s="151"/>
      <c r="J44" s="1097"/>
      <c r="K44" s="151"/>
      <c r="L44" s="151"/>
      <c r="M44" s="151"/>
      <c r="N44" s="151"/>
      <c r="O44" s="151"/>
      <c r="P44" s="151"/>
      <c r="Q44" s="151"/>
      <c r="R44" s="151"/>
      <c r="S44" s="151"/>
      <c r="T44" s="151"/>
      <c r="U44" s="151"/>
      <c r="V44" s="151"/>
    </row>
  </sheetData>
  <sheetProtection formatCells="0" formatColumns="0" formatRows="0" insertRows="0"/>
  <protectedRanges>
    <protectedRange sqref="S14 S17:S29 S31 S35:S39 S42:S43" name="Range5"/>
    <protectedRange sqref="T42:U43 T35:U39 T31:U32 T17:U29 T14:U15" name="Range3"/>
    <protectedRange sqref="N15:R15 N17:R18 M42:M43 N32:Q32 M35:M39 N21:R28" name="Range2"/>
    <protectedRange sqref="B14:B15 B17:B29 B31 B35:B39 B42:B43" name="Range1"/>
    <protectedRange sqref="N29" name="Range4"/>
    <protectedRange sqref="N19" name="Range2_2"/>
    <protectedRange sqref="O19" name="Range2_3"/>
    <protectedRange sqref="P19:R19" name="Range2_4"/>
  </protectedRanges>
  <mergeCells count="99">
    <mergeCell ref="C38:D38"/>
    <mergeCell ref="G14:I15"/>
    <mergeCell ref="E14:F15"/>
    <mergeCell ref="A34:A39"/>
    <mergeCell ref="C39:D39"/>
    <mergeCell ref="E39:F39"/>
    <mergeCell ref="C37:D37"/>
    <mergeCell ref="E37:F37"/>
    <mergeCell ref="G37:I37"/>
    <mergeCell ref="G39:I39"/>
    <mergeCell ref="E35:F35"/>
    <mergeCell ref="G35:I35"/>
    <mergeCell ref="E38:F38"/>
    <mergeCell ref="G38:I38"/>
    <mergeCell ref="G20:I28"/>
    <mergeCell ref="A31:A32"/>
    <mergeCell ref="A41:A43"/>
    <mergeCell ref="C42:D42"/>
    <mergeCell ref="E42:F42"/>
    <mergeCell ref="G42:I42"/>
    <mergeCell ref="C43:D43"/>
    <mergeCell ref="E43:F43"/>
    <mergeCell ref="G43:I43"/>
    <mergeCell ref="S31:S32"/>
    <mergeCell ref="U31:U32"/>
    <mergeCell ref="V31:V32"/>
    <mergeCell ref="K14:K15"/>
    <mergeCell ref="S20:S28"/>
    <mergeCell ref="T20:T28"/>
    <mergeCell ref="U20:U28"/>
    <mergeCell ref="V20:V28"/>
    <mergeCell ref="S14:S15"/>
    <mergeCell ref="T14:T15"/>
    <mergeCell ref="U14:U15"/>
    <mergeCell ref="V14:V15"/>
    <mergeCell ref="N14:O14"/>
    <mergeCell ref="Q14:R14"/>
    <mergeCell ref="L29:M29"/>
    <mergeCell ref="T31:T32"/>
    <mergeCell ref="K31:K32"/>
    <mergeCell ref="J31:J32"/>
    <mergeCell ref="B31:B32"/>
    <mergeCell ref="C31:D32"/>
    <mergeCell ref="E31:F32"/>
    <mergeCell ref="G31:I32"/>
    <mergeCell ref="A12:A13"/>
    <mergeCell ref="B12:B13"/>
    <mergeCell ref="C12:D13"/>
    <mergeCell ref="E12:F13"/>
    <mergeCell ref="E19:F19"/>
    <mergeCell ref="E17:F17"/>
    <mergeCell ref="E18:F18"/>
    <mergeCell ref="B14:B15"/>
    <mergeCell ref="C17:D17"/>
    <mergeCell ref="C18:D18"/>
    <mergeCell ref="C14:D15"/>
    <mergeCell ref="A14:A29"/>
    <mergeCell ref="B20:B28"/>
    <mergeCell ref="E20:F28"/>
    <mergeCell ref="C20:D28"/>
    <mergeCell ref="C19:D19"/>
    <mergeCell ref="C36:D36"/>
    <mergeCell ref="E36:F36"/>
    <mergeCell ref="G36:I36"/>
    <mergeCell ref="Q21:R21"/>
    <mergeCell ref="Q22:R22"/>
    <mergeCell ref="Q23:R23"/>
    <mergeCell ref="Q24:R24"/>
    <mergeCell ref="Q25:R25"/>
    <mergeCell ref="K20:K28"/>
    <mergeCell ref="J20:J28"/>
    <mergeCell ref="C29:D29"/>
    <mergeCell ref="E29:F29"/>
    <mergeCell ref="G29:I29"/>
    <mergeCell ref="L31:L32"/>
    <mergeCell ref="Q20:R20"/>
    <mergeCell ref="C35:D35"/>
    <mergeCell ref="A2:V2"/>
    <mergeCell ref="A10:V10"/>
    <mergeCell ref="D4:E4"/>
    <mergeCell ref="D5:E5"/>
    <mergeCell ref="D6:E6"/>
    <mergeCell ref="D8:E8"/>
    <mergeCell ref="G12:I13"/>
    <mergeCell ref="L14:L15"/>
    <mergeCell ref="L20:L28"/>
    <mergeCell ref="L12:R12"/>
    <mergeCell ref="J12:J13"/>
    <mergeCell ref="K12:K13"/>
    <mergeCell ref="J14:J15"/>
    <mergeCell ref="Q26:R26"/>
    <mergeCell ref="Q27:R27"/>
    <mergeCell ref="Q28:R28"/>
    <mergeCell ref="G19:I19"/>
    <mergeCell ref="G17:I17"/>
    <mergeCell ref="G18:I18"/>
    <mergeCell ref="N15:O15"/>
    <mergeCell ref="P19:R19"/>
    <mergeCell ref="Q15:R15"/>
  </mergeCells>
  <conditionalFormatting sqref="V1:V11 V37:V1048576 V14:V35">
    <cfRule type="containsText" dxfId="969" priority="20" operator="containsText" text="erreur">
      <formula>NOT(ISERROR(SEARCH("erreur",V1)))</formula>
    </cfRule>
  </conditionalFormatting>
  <conditionalFormatting sqref="V36">
    <cfRule type="containsText" dxfId="968" priority="19" operator="containsText" text="erreur">
      <formula>NOT(ISERROR(SEARCH("erreur",V36)))</formula>
    </cfRule>
  </conditionalFormatting>
  <conditionalFormatting sqref="V13">
    <cfRule type="containsText" dxfId="967" priority="2" operator="containsText" text="error">
      <formula>NOT(ISERROR(SEARCH("error",V13)))</formula>
    </cfRule>
  </conditionalFormatting>
  <conditionalFormatting sqref="V12">
    <cfRule type="containsText" dxfId="966" priority="1" operator="containsText" text="erreur">
      <formula>NOT(ISERROR(SEARCH("erreur",V12)))</formula>
    </cfRule>
  </conditionalFormatting>
  <dataValidations count="3">
    <dataValidation type="list" allowBlank="1" showInputMessage="1" showErrorMessage="1" sqref="U14 U17:U20 U29 U31 U42:U43 U35:U39" xr:uid="{00000000-0002-0000-0300-000000000000}">
      <formula1>"T1,T2,T3"</formula1>
    </dataValidation>
    <dataValidation type="list" allowBlank="1" showInputMessage="1" showErrorMessage="1" sqref="T42:T43 T14 T29 T17:T20 T31 T35:T39" xr:uid="{00000000-0002-0000-0300-000001000000}">
      <formula1>"V-nu,V1,V2,V3"</formula1>
    </dataValidation>
    <dataValidation type="list" allowBlank="1" showInputMessage="1" showErrorMessage="1" sqref="S14:S15 S17:S29 S31:S32 S35:S39 S42:S43" xr:uid="{BBE1A957-B508-4567-91C4-7F691AE1F768}">
      <formula1>"N0,N1,N2,N3"</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173"/>
  <sheetViews>
    <sheetView topLeftCell="A45" zoomScale="80" zoomScaleNormal="80" zoomScaleSheetLayoutView="90" workbookViewId="0">
      <selection activeCell="S163" sqref="S163"/>
    </sheetView>
  </sheetViews>
  <sheetFormatPr defaultColWidth="11.5703125" defaultRowHeight="15" x14ac:dyDescent="0.25"/>
  <cols>
    <col min="2" max="2" width="8.42578125" customWidth="1"/>
    <col min="3" max="3" width="7" customWidth="1"/>
    <col min="4" max="4" width="16.7109375" style="87" customWidth="1"/>
    <col min="5" max="9" width="13.42578125" style="87" customWidth="1"/>
    <col min="10" max="10" width="1" customWidth="1"/>
    <col min="12" max="12" width="14.85546875" customWidth="1"/>
    <col min="13" max="13" width="16.28515625" customWidth="1"/>
    <col min="14" max="14" width="9.42578125" customWidth="1"/>
  </cols>
  <sheetData>
    <row r="1" spans="1:16" ht="15.75" x14ac:dyDescent="0.25">
      <c r="A1" s="3"/>
      <c r="B1" s="3"/>
      <c r="C1" s="3"/>
      <c r="D1" s="74"/>
      <c r="E1" s="74"/>
      <c r="F1" s="74"/>
      <c r="G1" s="74"/>
      <c r="H1" s="74"/>
      <c r="I1" s="74"/>
      <c r="J1" s="3"/>
      <c r="K1" s="3"/>
      <c r="L1" s="3"/>
      <c r="M1" s="3"/>
      <c r="N1" s="3"/>
      <c r="O1" s="3"/>
      <c r="P1" s="3"/>
    </row>
    <row r="2" spans="1:16" ht="23.25" x14ac:dyDescent="0.25">
      <c r="A2" s="658" t="s">
        <v>174</v>
      </c>
      <c r="B2" s="658"/>
      <c r="C2" s="658"/>
      <c r="D2" s="658"/>
      <c r="E2" s="658"/>
      <c r="F2" s="658"/>
      <c r="G2" s="658"/>
      <c r="H2" s="658"/>
      <c r="I2" s="658"/>
      <c r="J2" s="658"/>
      <c r="K2" s="658"/>
      <c r="L2" s="658"/>
      <c r="M2" s="658"/>
      <c r="N2" s="658"/>
      <c r="O2" s="658"/>
      <c r="P2" s="658"/>
    </row>
    <row r="3" spans="1:16" ht="15.75" x14ac:dyDescent="0.25">
      <c r="A3" s="58"/>
      <c r="B3" s="59"/>
      <c r="C3" s="59"/>
      <c r="D3" s="75"/>
      <c r="E3" s="75"/>
      <c r="F3" s="75"/>
      <c r="G3" s="75"/>
      <c r="H3" s="75"/>
      <c r="I3" s="75"/>
      <c r="J3" s="60"/>
      <c r="K3" s="61"/>
      <c r="L3" s="61"/>
      <c r="M3" s="61"/>
      <c r="N3" s="61"/>
      <c r="O3" s="61"/>
      <c r="P3" s="61"/>
    </row>
    <row r="4" spans="1:16" ht="15.75" x14ac:dyDescent="0.25">
      <c r="A4" s="485" t="s">
        <v>72</v>
      </c>
      <c r="B4" s="62"/>
      <c r="C4" s="62"/>
      <c r="D4" s="587" t="str">
        <f>'Table 1-B  Context Analysis'!$C$5</f>
        <v xml:space="preserve"> Nigeria</v>
      </c>
      <c r="E4" s="587"/>
      <c r="F4" s="76"/>
      <c r="G4" s="76"/>
      <c r="H4" s="76"/>
      <c r="I4" s="76"/>
      <c r="J4" s="61"/>
      <c r="K4" s="61"/>
      <c r="L4" s="61"/>
      <c r="M4" s="61"/>
      <c r="N4" s="61"/>
      <c r="O4" s="61"/>
      <c r="P4" s="61"/>
    </row>
    <row r="5" spans="1:16" ht="15.75" x14ac:dyDescent="0.25">
      <c r="A5" s="486" t="s">
        <v>80</v>
      </c>
      <c r="B5" s="63"/>
      <c r="C5" s="63"/>
      <c r="D5" s="588" t="str">
        <f>'Table 1-B  Context Analysis'!$C$6</f>
        <v>Borno</v>
      </c>
      <c r="E5" s="588"/>
      <c r="F5" s="77"/>
      <c r="G5" s="77"/>
      <c r="H5" s="77"/>
      <c r="I5" s="77"/>
      <c r="J5" s="61"/>
      <c r="K5" s="61"/>
      <c r="L5" s="61"/>
      <c r="M5" s="61"/>
      <c r="N5" s="61"/>
      <c r="O5" s="61"/>
      <c r="P5" s="61"/>
    </row>
    <row r="6" spans="1:16" ht="15.75" x14ac:dyDescent="0.25">
      <c r="A6" s="486" t="s">
        <v>81</v>
      </c>
      <c r="B6" s="63"/>
      <c r="C6" s="63"/>
      <c r="D6" s="588" t="str">
        <f>'Table 1-B  Context Analysis'!$C$7</f>
        <v>Shani</v>
      </c>
      <c r="E6" s="588"/>
      <c r="F6" s="77"/>
      <c r="G6" s="77"/>
      <c r="H6" s="77"/>
      <c r="I6" s="77"/>
      <c r="J6" s="61"/>
      <c r="K6" s="61"/>
      <c r="L6" s="61"/>
      <c r="M6" s="61"/>
      <c r="N6" s="61"/>
      <c r="O6" s="61"/>
      <c r="P6" s="61"/>
    </row>
    <row r="7" spans="1:16" ht="15.75" x14ac:dyDescent="0.25">
      <c r="A7" s="503"/>
      <c r="B7" s="59"/>
      <c r="C7" s="59"/>
      <c r="D7" s="75"/>
      <c r="E7" s="75"/>
      <c r="F7" s="75"/>
      <c r="G7" s="75"/>
      <c r="H7" s="75"/>
      <c r="I7" s="75"/>
      <c r="J7" s="61"/>
      <c r="K7" s="61"/>
      <c r="L7" s="61"/>
      <c r="M7" s="61"/>
      <c r="N7" s="61"/>
      <c r="O7" s="61"/>
      <c r="P7" s="61"/>
    </row>
    <row r="8" spans="1:16" ht="15.75" x14ac:dyDescent="0.25">
      <c r="A8" s="485" t="s">
        <v>123</v>
      </c>
      <c r="B8" s="62"/>
      <c r="C8" s="62"/>
      <c r="D8" s="589" t="str">
        <f>'Table 1-B  Context Analysis'!$C$9</f>
        <v xml:space="preserve"> oct-19</v>
      </c>
      <c r="E8" s="589"/>
      <c r="F8" s="76"/>
      <c r="G8" s="76"/>
      <c r="H8" s="76"/>
      <c r="I8" s="76"/>
      <c r="J8" s="61"/>
      <c r="K8" s="61"/>
      <c r="L8" s="61"/>
      <c r="M8" s="61"/>
      <c r="N8" s="61"/>
      <c r="O8" s="61"/>
      <c r="P8" s="61"/>
    </row>
    <row r="9" spans="1:16" ht="15.75" x14ac:dyDescent="0.25">
      <c r="A9" s="58"/>
      <c r="B9" s="59"/>
      <c r="C9" s="59"/>
      <c r="D9" s="75"/>
      <c r="E9" s="75"/>
      <c r="F9" s="75"/>
      <c r="G9" s="75"/>
      <c r="H9" s="75"/>
      <c r="I9" s="75"/>
      <c r="J9" s="59"/>
      <c r="K9" s="59"/>
      <c r="L9" s="59"/>
      <c r="M9" s="59"/>
      <c r="N9" s="59"/>
      <c r="O9" s="59"/>
      <c r="P9" s="64"/>
    </row>
    <row r="10" spans="1:16" ht="23.25" customHeight="1" thickBot="1" x14ac:dyDescent="0.3">
      <c r="A10" s="664" t="s">
        <v>175</v>
      </c>
      <c r="B10" s="665"/>
      <c r="C10" s="665"/>
      <c r="D10" s="665"/>
      <c r="E10" s="665"/>
      <c r="F10" s="665"/>
      <c r="G10" s="665"/>
      <c r="H10" s="665"/>
      <c r="I10" s="665"/>
      <c r="J10" s="665"/>
      <c r="K10" s="665"/>
      <c r="L10" s="665"/>
      <c r="M10" s="665"/>
      <c r="N10" s="665"/>
      <c r="O10" s="665"/>
      <c r="P10" s="666"/>
    </row>
    <row r="11" spans="1:16" ht="23.25" customHeight="1" x14ac:dyDescent="0.25">
      <c r="A11" s="7"/>
      <c r="B11" s="7"/>
      <c r="C11" s="7"/>
      <c r="D11" s="684" t="s">
        <v>178</v>
      </c>
      <c r="E11" s="684"/>
      <c r="F11" s="684"/>
      <c r="G11" s="684"/>
      <c r="H11" s="684"/>
      <c r="I11" s="684"/>
      <c r="J11" s="515"/>
      <c r="K11" s="683" t="s">
        <v>179</v>
      </c>
      <c r="L11" s="683"/>
      <c r="M11" s="683"/>
      <c r="N11" s="683"/>
      <c r="O11" s="683"/>
      <c r="P11" s="683"/>
    </row>
    <row r="12" spans="1:16" s="2" customFormat="1" ht="29.85" customHeight="1" x14ac:dyDescent="0.25">
      <c r="A12" s="513" t="s">
        <v>125</v>
      </c>
      <c r="B12" s="667" t="s">
        <v>176</v>
      </c>
      <c r="C12" s="668"/>
      <c r="D12" s="685" t="s">
        <v>199</v>
      </c>
      <c r="E12" s="686"/>
      <c r="F12" s="686"/>
      <c r="G12" s="686"/>
      <c r="H12" s="686"/>
      <c r="I12" s="687"/>
      <c r="J12" s="514"/>
      <c r="K12" s="659" t="s">
        <v>177</v>
      </c>
      <c r="L12" s="660"/>
      <c r="M12" s="660"/>
      <c r="N12" s="660"/>
      <c r="O12" s="660"/>
      <c r="P12" s="661"/>
    </row>
    <row r="13" spans="1:16" ht="51.75" customHeight="1" x14ac:dyDescent="0.25">
      <c r="A13" s="690" t="s">
        <v>0</v>
      </c>
      <c r="B13" s="720" t="s">
        <v>180</v>
      </c>
      <c r="C13" s="721"/>
      <c r="D13" s="688" t="str">
        <f>IF('Table 1-B  Context Analysis'!$K$7="Oui",IF('Table 1-C  Cont Factors'!L12="","N/A",'Table 1-C  Cont Factors'!L12),IF('Table 1-C  Cont Factors'!O12="F0",IF('Table 1-C  Cont Factors'!L12="","N/A","Score de Fiabilité nul-F0"),IF('Table 1-C  Cont Factors'!L12="","N/A",'Table 1-C  Cont Factors'!L12)))</f>
        <v>56.0% expriences conflict between patorialist and farmers</v>
      </c>
      <c r="E13" s="689"/>
      <c r="F13" s="689"/>
      <c r="G13" s="689"/>
      <c r="H13" s="689"/>
      <c r="I13" s="689"/>
      <c r="J13" s="50"/>
      <c r="K13" s="732" t="s">
        <v>368</v>
      </c>
      <c r="L13" s="677"/>
      <c r="M13" s="677"/>
      <c r="N13" s="677"/>
      <c r="O13" s="677"/>
      <c r="P13" s="678"/>
    </row>
    <row r="14" spans="1:16" ht="22.5" customHeight="1" x14ac:dyDescent="0.25">
      <c r="A14" s="691"/>
      <c r="B14" s="720"/>
      <c r="C14" s="721"/>
      <c r="D14" s="648" t="str">
        <f>IF('Table 1-B  Context Analysis'!$K$7="Oui",IF('Table 1-C  Cont Factors'!L13="","N/A",'Table 1-C  Cont Factors'!L13),IF('Table 1-C  Cont Factors'!O13="F0",IF('Table 1-C  Cont Factors'!L13="","N/A","Score de Fiabilité nul-F0"),IF('Table 1-C  Cont Factors'!L13="","N/A",'Table 1-C  Cont Factors'!L13)))</f>
        <v>24.7% of people are affected by conflict/insecurity</v>
      </c>
      <c r="E14" s="649"/>
      <c r="F14" s="649"/>
      <c r="G14" s="649"/>
      <c r="H14" s="649"/>
      <c r="I14" s="649"/>
      <c r="J14" s="50"/>
      <c r="K14" s="732"/>
      <c r="L14" s="677"/>
      <c r="M14" s="677"/>
      <c r="N14" s="677"/>
      <c r="O14" s="677"/>
      <c r="P14" s="678"/>
    </row>
    <row r="15" spans="1:16" ht="22.5" customHeight="1" x14ac:dyDescent="0.25">
      <c r="A15" s="691"/>
      <c r="B15" s="720"/>
      <c r="C15" s="721"/>
      <c r="D15" s="648" t="str">
        <f>IF('Table 1-B  Context Analysis'!$K$7="Oui",IF('Table 1-C  Cont Factors'!L14="","N/A",'Table 1-C  Cont Factors'!L14),IF('Table 1-C  Cont Factors'!O14="F0",IF('Table 1-C  Cont Factors'!L14="","N/A","Score de Fiabilité nul-F0"),IF('Table 1-C  Cont Factors'!L14="","N/A",'Table 1-C  Cont Factors'!L14)))</f>
        <v>N/A</v>
      </c>
      <c r="E15" s="649"/>
      <c r="F15" s="649"/>
      <c r="G15" s="649"/>
      <c r="H15" s="649"/>
      <c r="I15" s="649"/>
      <c r="J15" s="50"/>
      <c r="K15" s="732"/>
      <c r="L15" s="677"/>
      <c r="M15" s="677"/>
      <c r="N15" s="677"/>
      <c r="O15" s="677"/>
      <c r="P15" s="678"/>
    </row>
    <row r="16" spans="1:16" ht="22.5" customHeight="1" x14ac:dyDescent="0.25">
      <c r="A16" s="691"/>
      <c r="B16" s="720"/>
      <c r="C16" s="721"/>
      <c r="D16" s="648" t="str">
        <f>IF('Table 1-B  Context Analysis'!$K$7="Oui",IF('Table 1-C  Cont Factors'!L15="","N/A",'Table 1-C  Cont Factors'!L15),IF('Table 1-C  Cont Factors'!O15="F0",IF('Table 1-C  Cont Factors'!L15="","N/A","Score de Fiabilité nul-F0"),IF('Table 1-C  Cont Factors'!L15="","N/A",'Table 1-C  Cont Factors'!L15)))</f>
        <v>N/A</v>
      </c>
      <c r="E16" s="649"/>
      <c r="F16" s="649"/>
      <c r="G16" s="649"/>
      <c r="H16" s="649"/>
      <c r="I16" s="649"/>
      <c r="J16" s="50"/>
      <c r="K16" s="677"/>
      <c r="L16" s="677"/>
      <c r="M16" s="677"/>
      <c r="N16" s="677"/>
      <c r="O16" s="677"/>
      <c r="P16" s="678"/>
    </row>
    <row r="17" spans="1:16" ht="22.5" customHeight="1" thickBot="1" x14ac:dyDescent="0.3">
      <c r="A17" s="691"/>
      <c r="B17" s="720"/>
      <c r="C17" s="721"/>
      <c r="D17" s="648" t="str">
        <f>IF('Table 1-B  Context Analysis'!$K$7="Oui",IF('Table 1-C  Cont Factors'!L16="","N/A",'Table 1-C  Cont Factors'!L16),IF('Table 1-C  Cont Factors'!O16="F0",IF('Table 1-C  Cont Factors'!L16="","N/A","Score de Fiabilité nul-F0"),IF('Table 1-C  Cont Factors'!L16="","N/A",'Table 1-C  Cont Factors'!L16)))</f>
        <v>N/A</v>
      </c>
      <c r="E17" s="649"/>
      <c r="F17" s="649"/>
      <c r="G17" s="649"/>
      <c r="H17" s="649"/>
      <c r="I17" s="649"/>
      <c r="J17" s="50"/>
      <c r="K17" s="677"/>
      <c r="L17" s="677"/>
      <c r="M17" s="677"/>
      <c r="N17" s="677"/>
      <c r="O17" s="677"/>
      <c r="P17" s="678"/>
    </row>
    <row r="18" spans="1:16" ht="22.5" customHeight="1" thickBot="1" x14ac:dyDescent="0.3">
      <c r="A18" s="691"/>
      <c r="B18" s="720"/>
      <c r="C18" s="721"/>
      <c r="D18" s="745"/>
      <c r="E18" s="746"/>
      <c r="F18" s="746"/>
      <c r="G18" s="746"/>
      <c r="H18" s="746"/>
      <c r="I18" s="747"/>
      <c r="J18" s="50"/>
      <c r="K18" s="679"/>
      <c r="L18" s="679"/>
      <c r="M18" s="679"/>
      <c r="N18" s="679"/>
      <c r="O18" s="679"/>
      <c r="P18" s="680"/>
    </row>
    <row r="19" spans="1:16" ht="8.1" customHeight="1" x14ac:dyDescent="0.25">
      <c r="A19" s="691"/>
      <c r="B19" s="720"/>
      <c r="C19" s="721"/>
      <c r="D19" s="745"/>
      <c r="E19" s="746"/>
      <c r="F19" s="746"/>
      <c r="G19" s="746"/>
      <c r="H19" s="746"/>
      <c r="I19" s="747"/>
      <c r="J19" s="50"/>
      <c r="K19" s="679"/>
      <c r="L19" s="679"/>
      <c r="M19" s="679"/>
      <c r="N19" s="679"/>
      <c r="O19" s="679"/>
      <c r="P19" s="680"/>
    </row>
    <row r="20" spans="1:16" ht="8.25" customHeight="1" x14ac:dyDescent="0.25">
      <c r="A20" s="691"/>
      <c r="B20" s="6"/>
      <c r="C20" s="12"/>
      <c r="D20" s="78"/>
      <c r="E20" s="79"/>
      <c r="F20" s="78"/>
      <c r="G20" s="79"/>
      <c r="H20" s="80"/>
      <c r="I20" s="78"/>
      <c r="J20" s="51"/>
      <c r="K20" s="52"/>
      <c r="L20" s="53"/>
      <c r="M20" s="54"/>
      <c r="N20" s="52"/>
      <c r="O20" s="53"/>
      <c r="P20" s="53"/>
    </row>
    <row r="21" spans="1:16" ht="42" customHeight="1" x14ac:dyDescent="0.25">
      <c r="A21" s="691"/>
      <c r="B21" s="722" t="s">
        <v>181</v>
      </c>
      <c r="C21" s="723"/>
      <c r="D21" s="648" t="str">
        <f>IF('Table 1-B  Context Analysis'!$K$7="Oui",IF('Table 1-C  Cont Factors'!L18="","N/A",'Table 1-C  Cont Factors'!L18),IF('Table 1-C  Cont Factors'!O18="F0",IF('Table 1-C  Cont Factors'!L18="","N/A","Score de Fiabilité nul-F0"),IF('Table 1-C  Cont Factors'!L18="","N/A",'Table 1-C  Cont Factors'!L18)))</f>
        <v>6.1% of the total population experinces loss of employment/reduced income</v>
      </c>
      <c r="E21" s="649"/>
      <c r="F21" s="649"/>
      <c r="G21" s="649"/>
      <c r="H21" s="649"/>
      <c r="I21" s="649"/>
      <c r="J21" s="51"/>
      <c r="K21" s="748" t="s">
        <v>369</v>
      </c>
      <c r="L21" s="749"/>
      <c r="M21" s="749"/>
      <c r="N21" s="749"/>
      <c r="O21" s="749"/>
      <c r="P21" s="750"/>
    </row>
    <row r="22" spans="1:16" ht="20.25" customHeight="1" x14ac:dyDescent="0.25">
      <c r="A22" s="691"/>
      <c r="B22" s="693"/>
      <c r="C22" s="694"/>
      <c r="D22" s="648" t="str">
        <f>IF('Table 1-B  Context Analysis'!$K$7="Oui",IF('Table 1-C  Cont Factors'!L19="","N/A",'Table 1-C  Cont Factors'!L19),IF('Table 1-C  Cont Factors'!O19="F0",IF('Table 1-C  Cont Factors'!L19="","N/A","Score de Fiabilité nul-F0"),IF('Table 1-C  Cont Factors'!L19="","N/A",'Table 1-C  Cont Factors'!L19)))</f>
        <v>6.1% are affected by high food pries</v>
      </c>
      <c r="E22" s="649"/>
      <c r="F22" s="649"/>
      <c r="G22" s="649"/>
      <c r="H22" s="649"/>
      <c r="I22" s="649"/>
      <c r="J22" s="51"/>
      <c r="K22" s="732" t="s">
        <v>370</v>
      </c>
      <c r="L22" s="677"/>
      <c r="M22" s="677"/>
      <c r="N22" s="677"/>
      <c r="O22" s="677"/>
      <c r="P22" s="678"/>
    </row>
    <row r="23" spans="1:16" ht="34.5" customHeight="1" x14ac:dyDescent="0.25">
      <c r="A23" s="691"/>
      <c r="B23" s="693"/>
      <c r="C23" s="694"/>
      <c r="D23" s="730" t="str">
        <f>IF('Table 1-B  Context Analysis'!$K$7="Oui",IF('Table 1-C  Cont Factors'!L20="","N/A",'Table 1-C  Cont Factors'!L20),IF('Table 1-C  Cont Factors'!O20="F0",IF('Table 1-C  Cont Factors'!L20="","N/A","Score de Fiabilité nul-F0"),IF('Table 1-C  Cont Factors'!L20="","N/A",'Table 1-C  Cont Factors'!L20)))</f>
        <v>17.7% of the population hosted IDPs, 3387  IDPs are  in the area</v>
      </c>
      <c r="E23" s="689"/>
      <c r="F23" s="689"/>
      <c r="G23" s="689"/>
      <c r="H23" s="689"/>
      <c r="I23" s="689"/>
      <c r="J23" s="51"/>
      <c r="K23" s="677"/>
      <c r="L23" s="677"/>
      <c r="M23" s="677"/>
      <c r="N23" s="677"/>
      <c r="O23" s="677"/>
      <c r="P23" s="678"/>
    </row>
    <row r="24" spans="1:16" ht="54.75" customHeight="1" x14ac:dyDescent="0.25">
      <c r="A24" s="691"/>
      <c r="B24" s="693"/>
      <c r="C24" s="694"/>
      <c r="D24" s="730" t="str">
        <f>IF('Table 1-B  Context Analysis'!$K$7="Oui",IF('Table 1-C  Cont Factors'!L21="","N/A",'Table 1-C  Cont Factors'!L21),IF('Table 1-C  Cont Factors'!O21="F0",IF('Table 1-C  Cont Factors'!L21="","N/A","Score de Fiabilité nul-F0"),IF('Table 1-C  Cont Factors'!L21="","N/A",'Table 1-C  Cont Factors'!L21)))</f>
        <v xml:space="preserve">About 1.0% of the population experiences heavy flood </v>
      </c>
      <c r="E24" s="689"/>
      <c r="F24" s="689"/>
      <c r="G24" s="689"/>
      <c r="H24" s="689"/>
      <c r="I24" s="689"/>
      <c r="J24" s="51"/>
      <c r="K24" s="732"/>
      <c r="L24" s="677"/>
      <c r="M24" s="677"/>
      <c r="N24" s="677"/>
      <c r="O24" s="677"/>
      <c r="P24" s="678"/>
    </row>
    <row r="25" spans="1:16" ht="20.25" customHeight="1" thickBot="1" x14ac:dyDescent="0.3">
      <c r="A25" s="691"/>
      <c r="B25" s="693"/>
      <c r="C25" s="694"/>
      <c r="D25" s="648" t="str">
        <f>IF('Table 1-B  Context Analysis'!$K$7="Oui",IF('Table 1-C  Cont Factors'!L22="","N/A",'Table 1-C  Cont Factors'!L22),IF('Table 1-C  Cont Factors'!O22="F0",IF('Table 1-C  Cont Factors'!L22="","N/A","Score de Fiabilité nul-F0"),IF('Table 1-C  Cont Factors'!L22="","N/A",'Table 1-C  Cont Factors'!L22)))</f>
        <v>N/A</v>
      </c>
      <c r="E25" s="649"/>
      <c r="F25" s="649"/>
      <c r="G25" s="649"/>
      <c r="H25" s="649"/>
      <c r="I25" s="649"/>
      <c r="J25" s="51"/>
      <c r="K25" s="677"/>
      <c r="L25" s="677"/>
      <c r="M25" s="677"/>
      <c r="N25" s="677"/>
      <c r="O25" s="677"/>
      <c r="P25" s="678"/>
    </row>
    <row r="26" spans="1:16" ht="20.25" customHeight="1" x14ac:dyDescent="0.25">
      <c r="A26" s="691"/>
      <c r="B26" s="693"/>
      <c r="C26" s="694"/>
      <c r="D26" s="745"/>
      <c r="E26" s="746"/>
      <c r="F26" s="746"/>
      <c r="G26" s="746"/>
      <c r="H26" s="746"/>
      <c r="I26" s="747"/>
      <c r="J26" s="51"/>
      <c r="K26" s="679"/>
      <c r="L26" s="679"/>
      <c r="M26" s="679"/>
      <c r="N26" s="679"/>
      <c r="O26" s="679"/>
      <c r="P26" s="680"/>
    </row>
    <row r="27" spans="1:16" ht="7.35" customHeight="1" x14ac:dyDescent="0.25">
      <c r="A27" s="691"/>
      <c r="B27" s="693"/>
      <c r="C27" s="694"/>
      <c r="D27" s="81"/>
      <c r="E27" s="81"/>
      <c r="F27" s="81"/>
      <c r="G27" s="81"/>
      <c r="H27" s="81"/>
      <c r="I27" s="81"/>
      <c r="J27" s="10"/>
      <c r="K27" s="9"/>
      <c r="L27" s="9"/>
      <c r="M27" s="9"/>
      <c r="N27" s="9"/>
      <c r="O27" s="9"/>
      <c r="P27" s="9"/>
    </row>
    <row r="28" spans="1:16" ht="9" customHeight="1" x14ac:dyDescent="0.25">
      <c r="A28" s="691"/>
      <c r="B28" s="669" t="s">
        <v>14</v>
      </c>
      <c r="C28" s="670"/>
      <c r="D28" s="695" t="s">
        <v>371</v>
      </c>
      <c r="E28" s="696"/>
      <c r="F28" s="696"/>
      <c r="G28" s="696"/>
      <c r="H28" s="696"/>
      <c r="I28" s="696"/>
      <c r="J28" s="10"/>
      <c r="K28" s="713" t="s">
        <v>372</v>
      </c>
      <c r="L28" s="714"/>
      <c r="M28" s="714"/>
      <c r="N28" s="714"/>
      <c r="O28" s="714"/>
      <c r="P28" s="715"/>
    </row>
    <row r="29" spans="1:16" ht="9" customHeight="1" x14ac:dyDescent="0.25">
      <c r="A29" s="691"/>
      <c r="B29" s="669"/>
      <c r="C29" s="670"/>
      <c r="D29" s="697"/>
      <c r="E29" s="698"/>
      <c r="F29" s="698"/>
      <c r="G29" s="698"/>
      <c r="H29" s="698"/>
      <c r="I29" s="698"/>
      <c r="J29" s="10"/>
      <c r="K29" s="716"/>
      <c r="L29" s="716"/>
      <c r="M29" s="716"/>
      <c r="N29" s="716"/>
      <c r="O29" s="716"/>
      <c r="P29" s="717"/>
    </row>
    <row r="30" spans="1:16" ht="9" customHeight="1" x14ac:dyDescent="0.25">
      <c r="A30" s="691"/>
      <c r="B30" s="669"/>
      <c r="C30" s="670"/>
      <c r="D30" s="697"/>
      <c r="E30" s="698"/>
      <c r="F30" s="698"/>
      <c r="G30" s="698"/>
      <c r="H30" s="698"/>
      <c r="I30" s="698"/>
      <c r="J30" s="10"/>
      <c r="K30" s="716"/>
      <c r="L30" s="716"/>
      <c r="M30" s="716"/>
      <c r="N30" s="716"/>
      <c r="O30" s="716"/>
      <c r="P30" s="717"/>
    </row>
    <row r="31" spans="1:16" ht="9" customHeight="1" x14ac:dyDescent="0.25">
      <c r="A31" s="691"/>
      <c r="B31" s="669"/>
      <c r="C31" s="670"/>
      <c r="D31" s="697"/>
      <c r="E31" s="698"/>
      <c r="F31" s="698"/>
      <c r="G31" s="698"/>
      <c r="H31" s="698"/>
      <c r="I31" s="698"/>
      <c r="J31" s="10"/>
      <c r="K31" s="716"/>
      <c r="L31" s="716"/>
      <c r="M31" s="716"/>
      <c r="N31" s="716"/>
      <c r="O31" s="716"/>
      <c r="P31" s="717"/>
    </row>
    <row r="32" spans="1:16" ht="81.75" customHeight="1" thickBot="1" x14ac:dyDescent="0.3">
      <c r="A32" s="691"/>
      <c r="B32" s="669"/>
      <c r="C32" s="670"/>
      <c r="D32" s="697"/>
      <c r="E32" s="698"/>
      <c r="F32" s="698"/>
      <c r="G32" s="698"/>
      <c r="H32" s="698"/>
      <c r="I32" s="698"/>
      <c r="J32" s="10"/>
      <c r="K32" s="718"/>
      <c r="L32" s="718"/>
      <c r="M32" s="718"/>
      <c r="N32" s="718"/>
      <c r="O32" s="718"/>
      <c r="P32" s="719"/>
    </row>
    <row r="33" spans="1:16" ht="15.75" customHeight="1" x14ac:dyDescent="0.25">
      <c r="A33" s="691"/>
      <c r="B33" s="644" t="s">
        <v>182</v>
      </c>
      <c r="C33" s="13"/>
      <c r="D33" s="674" t="s">
        <v>185</v>
      </c>
      <c r="E33" s="675"/>
      <c r="F33" s="676"/>
      <c r="G33" s="652" t="s">
        <v>186</v>
      </c>
      <c r="H33" s="653"/>
      <c r="I33" s="654"/>
      <c r="J33" s="14"/>
      <c r="K33" s="681" t="s">
        <v>185</v>
      </c>
      <c r="L33" s="682"/>
      <c r="M33" s="682"/>
      <c r="N33" s="655" t="s">
        <v>186</v>
      </c>
      <c r="O33" s="656"/>
      <c r="P33" s="657"/>
    </row>
    <row r="34" spans="1:16" ht="15.75" x14ac:dyDescent="0.25">
      <c r="A34" s="691"/>
      <c r="B34" s="671"/>
      <c r="C34" s="13"/>
      <c r="D34" s="311" t="s">
        <v>187</v>
      </c>
      <c r="E34" s="43" t="s">
        <v>188</v>
      </c>
      <c r="F34" s="310" t="s">
        <v>189</v>
      </c>
      <c r="G34" s="82" t="s">
        <v>189</v>
      </c>
      <c r="H34" s="83" t="s">
        <v>188</v>
      </c>
      <c r="I34" s="84" t="s">
        <v>187</v>
      </c>
      <c r="J34" s="14"/>
      <c r="K34" s="311" t="s">
        <v>187</v>
      </c>
      <c r="L34" s="43" t="s">
        <v>188</v>
      </c>
      <c r="M34" s="310" t="s">
        <v>189</v>
      </c>
      <c r="N34" s="40" t="s">
        <v>189</v>
      </c>
      <c r="O34" s="41" t="s">
        <v>188</v>
      </c>
      <c r="P34" s="42" t="s">
        <v>187</v>
      </c>
    </row>
    <row r="35" spans="1:16" ht="18" customHeight="1" x14ac:dyDescent="0.25">
      <c r="A35" s="691"/>
      <c r="B35" s="671"/>
      <c r="C35" s="373" t="s">
        <v>183</v>
      </c>
      <c r="D35" s="139"/>
      <c r="E35" s="139"/>
      <c r="F35" s="402" t="s">
        <v>373</v>
      </c>
      <c r="G35" s="224"/>
      <c r="H35" s="139"/>
      <c r="I35" s="139"/>
      <c r="J35" s="165"/>
      <c r="K35" s="139"/>
      <c r="L35" s="139"/>
      <c r="M35" s="164" t="s">
        <v>373</v>
      </c>
      <c r="N35" s="224"/>
      <c r="O35" s="139"/>
      <c r="P35" s="139"/>
    </row>
    <row r="36" spans="1:16" ht="18" customHeight="1" x14ac:dyDescent="0.25">
      <c r="A36" s="691"/>
      <c r="B36" s="671"/>
      <c r="C36" s="373" t="s">
        <v>184</v>
      </c>
      <c r="D36" s="139"/>
      <c r="E36" s="139"/>
      <c r="F36" s="402" t="s">
        <v>373</v>
      </c>
      <c r="G36" s="224"/>
      <c r="H36" s="139"/>
      <c r="I36" s="139"/>
      <c r="J36" s="165"/>
      <c r="K36" s="139"/>
      <c r="L36" s="139"/>
      <c r="M36" s="164" t="s">
        <v>373</v>
      </c>
      <c r="N36" s="224"/>
      <c r="O36" s="139"/>
      <c r="P36" s="139"/>
    </row>
    <row r="37" spans="1:16" ht="18" customHeight="1" x14ac:dyDescent="0.25">
      <c r="A37" s="691"/>
      <c r="B37" s="671"/>
      <c r="C37" s="373" t="s">
        <v>15</v>
      </c>
      <c r="D37" s="139"/>
      <c r="E37" s="139"/>
      <c r="F37" s="164" t="s">
        <v>373</v>
      </c>
      <c r="G37" s="224"/>
      <c r="H37" s="139"/>
      <c r="I37" s="139"/>
      <c r="J37" s="165"/>
      <c r="K37" s="139"/>
      <c r="L37" s="139"/>
      <c r="M37" s="164" t="s">
        <v>373</v>
      </c>
      <c r="N37" s="224"/>
      <c r="O37" s="139"/>
      <c r="P37" s="139"/>
    </row>
    <row r="38" spans="1:16" ht="18" customHeight="1" x14ac:dyDescent="0.25">
      <c r="A38" s="691"/>
      <c r="B38" s="672"/>
      <c r="C38" s="373" t="s">
        <v>16</v>
      </c>
      <c r="D38" s="139"/>
      <c r="E38" s="139"/>
      <c r="F38" s="164" t="s">
        <v>373</v>
      </c>
      <c r="G38" s="224"/>
      <c r="H38" s="139"/>
      <c r="I38" s="139"/>
      <c r="J38" s="165"/>
      <c r="K38" s="139"/>
      <c r="L38" s="139"/>
      <c r="M38" s="164" t="s">
        <v>373</v>
      </c>
      <c r="N38" s="224"/>
      <c r="O38" s="139"/>
      <c r="P38" s="139"/>
    </row>
    <row r="39" spans="1:16" ht="5.85" customHeight="1" x14ac:dyDescent="0.25">
      <c r="A39" s="691"/>
      <c r="B39" s="9"/>
      <c r="C39" s="9"/>
      <c r="D39" s="81"/>
      <c r="E39" s="81"/>
      <c r="F39" s="81"/>
      <c r="G39" s="81"/>
      <c r="H39" s="81"/>
      <c r="I39" s="81"/>
      <c r="J39" s="10"/>
      <c r="K39" s="9"/>
      <c r="L39" s="9"/>
      <c r="M39" s="9"/>
      <c r="N39" s="9"/>
      <c r="O39" s="9"/>
      <c r="P39" s="9"/>
    </row>
    <row r="40" spans="1:16" s="15" customFormat="1" ht="48.75" customHeight="1" x14ac:dyDescent="0.25">
      <c r="A40" s="691"/>
      <c r="B40" s="673" t="s">
        <v>194</v>
      </c>
      <c r="C40" s="673"/>
      <c r="D40" s="673"/>
      <c r="E40" s="673"/>
      <c r="F40" s="673"/>
      <c r="G40" s="516" t="s">
        <v>190</v>
      </c>
      <c r="H40" s="516" t="s">
        <v>191</v>
      </c>
      <c r="I40" s="516" t="s">
        <v>192</v>
      </c>
      <c r="J40" s="517"/>
      <c r="K40" s="662" t="s">
        <v>190</v>
      </c>
      <c r="L40" s="663"/>
      <c r="M40" s="662" t="s">
        <v>193</v>
      </c>
      <c r="N40" s="663"/>
      <c r="O40" s="662" t="s">
        <v>192</v>
      </c>
      <c r="P40" s="663"/>
    </row>
    <row r="41" spans="1:16" ht="12" customHeight="1" x14ac:dyDescent="0.25">
      <c r="A41" s="691"/>
      <c r="B41" s="673"/>
      <c r="C41" s="673"/>
      <c r="D41" s="673"/>
      <c r="E41" s="673"/>
      <c r="F41" s="673"/>
      <c r="G41" s="710"/>
      <c r="H41" s="710" t="s">
        <v>373</v>
      </c>
      <c r="I41" s="764"/>
      <c r="J41" s="16"/>
      <c r="K41" s="767"/>
      <c r="L41" s="768"/>
      <c r="M41" s="739" t="s">
        <v>373</v>
      </c>
      <c r="N41" s="740"/>
      <c r="O41" s="771"/>
      <c r="P41" s="740"/>
    </row>
    <row r="42" spans="1:16" ht="12" customHeight="1" x14ac:dyDescent="0.25">
      <c r="A42" s="691"/>
      <c r="B42" s="673"/>
      <c r="C42" s="673"/>
      <c r="D42" s="673"/>
      <c r="E42" s="673"/>
      <c r="F42" s="673"/>
      <c r="G42" s="711"/>
      <c r="H42" s="711"/>
      <c r="I42" s="765"/>
      <c r="J42" s="16"/>
      <c r="K42" s="669"/>
      <c r="L42" s="670"/>
      <c r="M42" s="741"/>
      <c r="N42" s="742"/>
      <c r="O42" s="741"/>
      <c r="P42" s="742"/>
    </row>
    <row r="43" spans="1:16" ht="12" customHeight="1" x14ac:dyDescent="0.25">
      <c r="A43" s="692"/>
      <c r="B43" s="673"/>
      <c r="C43" s="673"/>
      <c r="D43" s="673"/>
      <c r="E43" s="673"/>
      <c r="F43" s="673"/>
      <c r="G43" s="712"/>
      <c r="H43" s="712"/>
      <c r="I43" s="766"/>
      <c r="J43" s="16"/>
      <c r="K43" s="769"/>
      <c r="L43" s="770"/>
      <c r="M43" s="743"/>
      <c r="N43" s="744"/>
      <c r="O43" s="743"/>
      <c r="P43" s="744"/>
    </row>
    <row r="44" spans="1:16" ht="6.75" customHeight="1" x14ac:dyDescent="0.25">
      <c r="A44" s="8"/>
      <c r="B44" s="8"/>
      <c r="C44" s="8"/>
      <c r="D44" s="86"/>
      <c r="E44" s="86"/>
      <c r="F44" s="86"/>
      <c r="G44" s="86"/>
      <c r="H44" s="86"/>
      <c r="I44" s="86"/>
      <c r="J44" s="5"/>
      <c r="K44" s="5"/>
      <c r="L44" s="5"/>
      <c r="M44" s="5"/>
      <c r="N44" s="5"/>
      <c r="O44" s="5"/>
      <c r="P44" s="5"/>
    </row>
    <row r="45" spans="1:16" ht="44.25" customHeight="1" x14ac:dyDescent="0.25">
      <c r="A45" s="574" t="s">
        <v>136</v>
      </c>
      <c r="B45" s="648" t="str">
        <f>IF('Table 1-B  Context Analysis'!$K$7="Oui",IF('Table 1-C  Cont Factors'!L24="","N/A",'Table 1-C  Cont Factors'!L24),IF('Table 1-C  Cont Factors'!O24="F0",IF('Table 1-C  Cont Factors'!L24="","N/A","Score de Fiabilité nul-F0"),IF('Table 1-C  Cont Factors'!L24="","N/A",'Table 1-C  Cont Factors'!L24)))</f>
        <v>46.0% Have access to portable drinking water</v>
      </c>
      <c r="C45" s="649"/>
      <c r="D45" s="649"/>
      <c r="E45" s="649"/>
      <c r="F45" s="649"/>
      <c r="G45" s="649"/>
      <c r="H45" s="649"/>
      <c r="I45" s="650"/>
      <c r="J45" s="55"/>
      <c r="K45" s="733"/>
      <c r="L45" s="734"/>
      <c r="M45" s="734"/>
      <c r="N45" s="734"/>
      <c r="O45" s="734"/>
      <c r="P45" s="735"/>
    </row>
    <row r="46" spans="1:16" ht="42" customHeight="1" x14ac:dyDescent="0.25">
      <c r="A46" s="691"/>
      <c r="B46" s="648" t="str">
        <f>IF('Table 1-B  Context Analysis'!$K$7="Oui",IF('Table 1-C  Cont Factors'!L25="","N/A",'Table 1-C  Cont Factors'!L25),IF('Table 1-C  Cont Factors'!O25="F0",IF('Table 1-C  Cont Factors'!L25="","N/A","Score de Fiabilité nul-F0"),IF('Table 1-C  Cont Factors'!L25="","N/A",'Table 1-C  Cont Factors'!L25)))</f>
        <v>about 1.0% of the population uses own flush toilet,  0.7% uses standared flush toilet, 18.3% uses cement pit toilet, 57.3% uses dirt pit laterin, 22.7% uses open defication(bush).but majority(57.3%) of the HH are seen to use dirty pit laterin.</v>
      </c>
      <c r="C46" s="649"/>
      <c r="D46" s="649"/>
      <c r="E46" s="649"/>
      <c r="F46" s="649"/>
      <c r="G46" s="649"/>
      <c r="H46" s="649"/>
      <c r="I46" s="650"/>
      <c r="J46" s="55"/>
      <c r="K46" s="751"/>
      <c r="L46" s="752"/>
      <c r="M46" s="752"/>
      <c r="N46" s="752"/>
      <c r="O46" s="752"/>
      <c r="P46" s="753"/>
    </row>
    <row r="47" spans="1:16" ht="30" customHeight="1" x14ac:dyDescent="0.25">
      <c r="A47" s="691"/>
      <c r="B47" s="648" t="str">
        <f>IF('Table 1-B  Context Analysis'!$K$7="Oui",IF('Table 1-C  Cont Factors'!L26="","N/A",'Table 1-C  Cont Factors'!L26),IF('Table 1-C  Cont Factors'!O26="F0",IF('Table 1-C  Cont Factors'!L26="","N/A","Score de Fiabilité nul-F0"),IF('Table 1-C  Cont Factors'!L26="","N/A",'Table 1-C  Cont Factors'!L26)))</f>
        <v>About 20.2 % reported cases of sickness</v>
      </c>
      <c r="C47" s="649"/>
      <c r="D47" s="649"/>
      <c r="E47" s="649"/>
      <c r="F47" s="649"/>
      <c r="G47" s="649"/>
      <c r="H47" s="649"/>
      <c r="I47" s="650"/>
      <c r="J47" s="55"/>
      <c r="K47" s="754"/>
      <c r="L47" s="755"/>
      <c r="M47" s="755"/>
      <c r="N47" s="755"/>
      <c r="O47" s="755"/>
      <c r="P47" s="756"/>
    </row>
    <row r="48" spans="1:16" ht="34.5" customHeight="1" x14ac:dyDescent="0.25">
      <c r="A48" s="691"/>
      <c r="B48" s="648" t="str">
        <f>IF('Table 1-B  Context Analysis'!$K$7="Oui",IF('Table 1-C  Cont Factors'!L27="","N/A",'Table 1-C  Cont Factors'!L27),IF('Table 1-C  Cont Factors'!O27="F0",IF('Table 1-C  Cont Factors'!L27="","N/A","Score de Fiabilité nul-F0"),IF('Table 1-C  Cont Factors'!L27="","N/A",'Table 1-C  Cont Factors'!L27)))</f>
        <v xml:space="preserve"> </v>
      </c>
      <c r="C48" s="649"/>
      <c r="D48" s="649"/>
      <c r="E48" s="649"/>
      <c r="F48" s="649"/>
      <c r="G48" s="649"/>
      <c r="H48" s="649"/>
      <c r="I48" s="650"/>
      <c r="J48" s="55"/>
      <c r="K48" s="757"/>
      <c r="L48" s="758"/>
      <c r="M48" s="758"/>
      <c r="N48" s="758"/>
      <c r="O48" s="758"/>
      <c r="P48" s="759"/>
    </row>
    <row r="49" spans="1:18" ht="42" customHeight="1" x14ac:dyDescent="0.25">
      <c r="A49" s="691"/>
      <c r="B49" s="648" t="str">
        <f>IF('Table 1-B  Context Analysis'!$K$7="Oui",IF('Table 1-C  Cont Factors'!L28="","N/A",'Table 1-C  Cont Factors'!L28),IF('Table 1-C  Cont Factors'!O28="F0",IF('Table 1-C  Cont Factors'!L28="","N/A","Score de Fiabilité nul-F0"),IF('Table 1-C  Cont Factors'!L28="","N/A",'Table 1-C  Cont Factors'!L28)))</f>
        <v>N/A</v>
      </c>
      <c r="C49" s="649"/>
      <c r="D49" s="649"/>
      <c r="E49" s="649"/>
      <c r="F49" s="649"/>
      <c r="G49" s="649"/>
      <c r="H49" s="649"/>
      <c r="I49" s="650"/>
      <c r="J49" s="55"/>
      <c r="K49" s="757"/>
      <c r="L49" s="758"/>
      <c r="M49" s="758"/>
      <c r="N49" s="758"/>
      <c r="O49" s="758"/>
      <c r="P49" s="759"/>
    </row>
    <row r="50" spans="1:18" ht="37.5" customHeight="1" x14ac:dyDescent="0.25">
      <c r="A50" s="691"/>
      <c r="B50" s="730" t="str">
        <f>IF('Table 1-B  Context Analysis'!$K$7="Oui",IF('Table 1-C  Cont Factors'!L29="","N/A",'Table 1-C  Cont Factors'!L29),IF('Table 1-C  Cont Factors'!O29="F0",IF('Table 1-C  Cont Factors'!L29="","N/A","Score de Fiabilité nul-F0"),IF('Table 1-C  Cont Factors'!L29="","N/A",'Table 1-C  Cont Factors'!L29)))</f>
        <v>N/A</v>
      </c>
      <c r="C50" s="689"/>
      <c r="D50" s="689"/>
      <c r="E50" s="689"/>
      <c r="F50" s="689"/>
      <c r="G50" s="689"/>
      <c r="H50" s="689"/>
      <c r="I50" s="731"/>
      <c r="J50" s="55"/>
      <c r="K50" s="763"/>
      <c r="L50" s="734"/>
      <c r="M50" s="734"/>
      <c r="N50" s="734"/>
      <c r="O50" s="734"/>
      <c r="P50" s="735"/>
    </row>
    <row r="51" spans="1:18" ht="15" customHeight="1" x14ac:dyDescent="0.25">
      <c r="A51" s="691"/>
      <c r="B51" s="648" t="str">
        <f>IF('Table 1-B  Context Analysis'!$K$7="Oui",IF('Table 1-C  Cont Factors'!L30="","N/A",'Table 1-C  Cont Factors'!L30),IF('Table 1-C  Cont Factors'!O30="F0",IF('Table 1-C  Cont Factors'!L30="","N/A","Score de Fiabilité nul-F0"),IF('Table 1-C  Cont Factors'!L30="","N/A",'Table 1-C  Cont Factors'!L30)))</f>
        <v>N/A</v>
      </c>
      <c r="C51" s="649"/>
      <c r="D51" s="649"/>
      <c r="E51" s="649"/>
      <c r="F51" s="649"/>
      <c r="G51" s="649"/>
      <c r="H51" s="649"/>
      <c r="I51" s="650"/>
      <c r="J51" s="55"/>
      <c r="K51" s="733"/>
      <c r="L51" s="734"/>
      <c r="M51" s="734"/>
      <c r="N51" s="734"/>
      <c r="O51" s="734"/>
      <c r="P51" s="735"/>
      <c r="R51" s="287"/>
    </row>
    <row r="52" spans="1:18" ht="15" customHeight="1" x14ac:dyDescent="0.25">
      <c r="A52" s="691"/>
      <c r="B52" s="648" t="str">
        <f>IF('Table 1-B  Context Analysis'!$K$7="Oui",IF('Table 1-C  Cont Factors'!L31="","N/A",'Table 1-C  Cont Factors'!L31),IF('Table 1-C  Cont Factors'!O31="F0",IF('Table 1-C  Cont Factors'!L31="","N/A","Score de Fiabilité nul-F0"),IF('Table 1-C  Cont Factors'!L31="","N/A",'Table 1-C  Cont Factors'!L31)))</f>
        <v>N/A</v>
      </c>
      <c r="C52" s="649"/>
      <c r="D52" s="649"/>
      <c r="E52" s="649"/>
      <c r="F52" s="649"/>
      <c r="G52" s="649"/>
      <c r="H52" s="649"/>
      <c r="I52" s="650"/>
      <c r="J52" s="55"/>
      <c r="K52" s="243"/>
      <c r="L52" s="244"/>
      <c r="M52" s="244"/>
      <c r="N52" s="244"/>
      <c r="O52" s="244"/>
      <c r="P52" s="245"/>
    </row>
    <row r="53" spans="1:18" ht="15" customHeight="1" x14ac:dyDescent="0.25">
      <c r="A53" s="691"/>
      <c r="B53" s="648" t="str">
        <f>IF('Table 1-B  Context Analysis'!$K$7="Oui",IF('Table 1-C  Cont Factors'!L32="","N/A",'Table 1-C  Cont Factors'!L32),IF('Table 1-C  Cont Factors'!O32="F0",IF('Table 1-C  Cont Factors'!L32="","N/A","Score de Fiabilité nul-F0"),IF('Table 1-C  Cont Factors'!L32="","N/A",'Table 1-C  Cont Factors'!L32)))</f>
        <v>N/A</v>
      </c>
      <c r="C53" s="649"/>
      <c r="D53" s="649"/>
      <c r="E53" s="649"/>
      <c r="F53" s="649"/>
      <c r="G53" s="649"/>
      <c r="H53" s="649"/>
      <c r="I53" s="650"/>
      <c r="J53" s="55"/>
      <c r="K53" s="733"/>
      <c r="L53" s="734"/>
      <c r="M53" s="734"/>
      <c r="N53" s="734"/>
      <c r="O53" s="734"/>
      <c r="P53" s="735"/>
    </row>
    <row r="54" spans="1:18" ht="15" customHeight="1" x14ac:dyDescent="0.25">
      <c r="A54" s="691"/>
      <c r="B54" s="648" t="str">
        <f>IF('Table 1-B  Context Analysis'!$K$7="Oui",IF('Table 1-C  Cont Factors'!L33="","N/A",'Table 1-C  Cont Factors'!L33),IF('Table 1-C  Cont Factors'!O33="F0",IF('Table 1-C  Cont Factors'!L33="","N/A","Score de Fiabilité nul-F0"),IF('Table 1-C  Cont Factors'!L33="","N/A",'Table 1-C  Cont Factors'!L33)))</f>
        <v>N/A</v>
      </c>
      <c r="C54" s="649"/>
      <c r="D54" s="649"/>
      <c r="E54" s="649"/>
      <c r="F54" s="649"/>
      <c r="G54" s="649"/>
      <c r="H54" s="649"/>
      <c r="I54" s="650"/>
      <c r="J54" s="55"/>
      <c r="K54" s="763"/>
      <c r="L54" s="734"/>
      <c r="M54" s="734"/>
      <c r="N54" s="734"/>
      <c r="O54" s="734"/>
      <c r="P54" s="735"/>
    </row>
    <row r="55" spans="1:18" ht="15" customHeight="1" x14ac:dyDescent="0.25">
      <c r="A55" s="691"/>
      <c r="B55" s="648" t="str">
        <f>IF('Table 1-B  Context Analysis'!$K$7="Oui",IF('Table 1-C  Cont Factors'!L34="","N/A",'Table 1-C  Cont Factors'!L34),IF('Table 1-C  Cont Factors'!O34="F0",IF('Table 1-C  Cont Factors'!L34="","N/A","Score de Fiabilité nul-F0"),IF('Table 1-C  Cont Factors'!L34="","N/A",'Table 1-C  Cont Factors'!L34)))</f>
        <v>N/A</v>
      </c>
      <c r="C55" s="649"/>
      <c r="D55" s="649"/>
      <c r="E55" s="649"/>
      <c r="F55" s="649"/>
      <c r="G55" s="649"/>
      <c r="H55" s="649"/>
      <c r="I55" s="650"/>
      <c r="J55" s="55"/>
      <c r="K55" s="763"/>
      <c r="L55" s="734"/>
      <c r="M55" s="734"/>
      <c r="N55" s="734"/>
      <c r="O55" s="734"/>
      <c r="P55" s="735"/>
    </row>
    <row r="56" spans="1:18" ht="15" customHeight="1" x14ac:dyDescent="0.25">
      <c r="A56" s="691"/>
      <c r="B56" s="648" t="str">
        <f>IF('Table 1-B  Context Analysis'!$K$7="Oui",IF('Table 1-C  Cont Factors'!L35="","N/A",'Table 1-C  Cont Factors'!L35),IF('Table 1-C  Cont Factors'!O35="F0",IF('Table 1-C  Cont Factors'!L35="","N/A","Score de Fiabilité nul-F0"),IF('Table 1-C  Cont Factors'!L35="","N/A",'Table 1-C  Cont Factors'!L35)))</f>
        <v>N/A</v>
      </c>
      <c r="C56" s="649"/>
      <c r="D56" s="649"/>
      <c r="E56" s="649"/>
      <c r="F56" s="649"/>
      <c r="G56" s="649"/>
      <c r="H56" s="649"/>
      <c r="I56" s="650"/>
      <c r="J56" s="55"/>
      <c r="K56" s="733"/>
      <c r="L56" s="734"/>
      <c r="M56" s="734"/>
      <c r="N56" s="734"/>
      <c r="O56" s="734"/>
      <c r="P56" s="735"/>
      <c r="R56" s="287"/>
    </row>
    <row r="57" spans="1:18" ht="15" customHeight="1" x14ac:dyDescent="0.25">
      <c r="A57" s="691"/>
      <c r="B57" s="648" t="str">
        <f>IF('Table 1-B  Context Analysis'!$K$7="Oui",IF('Table 1-C  Cont Factors'!L36="","N/A",'Table 1-C  Cont Factors'!L36),IF('Table 1-C  Cont Factors'!O36="F0",IF('Table 1-C  Cont Factors'!L36="","N/A","Score de Fiabilité nul-F0"),IF('Table 1-C  Cont Factors'!L36="","N/A",'Table 1-C  Cont Factors'!L36)))</f>
        <v>N/A</v>
      </c>
      <c r="C57" s="649"/>
      <c r="D57" s="649"/>
      <c r="E57" s="649"/>
      <c r="F57" s="649"/>
      <c r="G57" s="649"/>
      <c r="H57" s="649"/>
      <c r="I57" s="650"/>
      <c r="J57" s="55"/>
      <c r="K57" s="307"/>
      <c r="L57" s="308"/>
      <c r="M57" s="308"/>
      <c r="N57" s="308"/>
      <c r="O57" s="308"/>
      <c r="P57" s="309"/>
    </row>
    <row r="58" spans="1:18" ht="15" customHeight="1" x14ac:dyDescent="0.25">
      <c r="A58" s="691"/>
      <c r="B58" s="648" t="str">
        <f>IF('Table 1-B  Context Analysis'!$K$7="Oui",IF('Table 1-C  Cont Factors'!L37="","N/A",'Table 1-C  Cont Factors'!L37),IF('Table 1-C  Cont Factors'!O37="F0",IF('Table 1-C  Cont Factors'!L37="","N/A","Score de Fiabilité nul-F0"),IF('Table 1-C  Cont Factors'!L37="","N/A",'Table 1-C  Cont Factors'!L37)))</f>
        <v>N/A</v>
      </c>
      <c r="C58" s="649"/>
      <c r="D58" s="649"/>
      <c r="E58" s="649"/>
      <c r="F58" s="649"/>
      <c r="G58" s="649"/>
      <c r="H58" s="649"/>
      <c r="I58" s="650"/>
      <c r="J58" s="55"/>
      <c r="K58" s="243"/>
      <c r="L58" s="244"/>
      <c r="M58" s="244"/>
      <c r="N58" s="244"/>
      <c r="O58" s="244"/>
      <c r="P58" s="245"/>
    </row>
    <row r="59" spans="1:18" ht="15" customHeight="1" x14ac:dyDescent="0.25">
      <c r="A59" s="691"/>
      <c r="B59" s="648" t="str">
        <f>IF('Table 1-B  Context Analysis'!$K$7="Oui",IF('Table 1-C  Cont Factors'!L38="","N/A",'Table 1-C  Cont Factors'!L38),IF('Table 1-C  Cont Factors'!O38="F0",IF('Table 1-C  Cont Factors'!L38="","N/A","Score de Fiabilité nul-F0"),IF('Table 1-C  Cont Factors'!L38="","N/A",'Table 1-C  Cont Factors'!L38)))</f>
        <v>N/A</v>
      </c>
      <c r="C59" s="649"/>
      <c r="D59" s="649"/>
      <c r="E59" s="649"/>
      <c r="F59" s="649"/>
      <c r="G59" s="649"/>
      <c r="H59" s="649"/>
      <c r="I59" s="650"/>
      <c r="J59" s="55"/>
      <c r="K59" s="243"/>
      <c r="L59" s="244"/>
      <c r="M59" s="244"/>
      <c r="N59" s="244"/>
      <c r="O59" s="244"/>
      <c r="P59" s="245"/>
    </row>
    <row r="60" spans="1:18" ht="15" customHeight="1" x14ac:dyDescent="0.25">
      <c r="A60" s="691"/>
      <c r="B60" s="760"/>
      <c r="C60" s="761"/>
      <c r="D60" s="761"/>
      <c r="E60" s="761"/>
      <c r="F60" s="761"/>
      <c r="G60" s="761"/>
      <c r="H60" s="761"/>
      <c r="I60" s="762"/>
      <c r="J60" s="55"/>
      <c r="K60" s="736"/>
      <c r="L60" s="737"/>
      <c r="M60" s="737"/>
      <c r="N60" s="737"/>
      <c r="O60" s="737"/>
      <c r="P60" s="738"/>
    </row>
    <row r="61" spans="1:18" ht="15" customHeight="1" x14ac:dyDescent="0.25">
      <c r="A61" s="691"/>
      <c r="B61" s="760"/>
      <c r="C61" s="761"/>
      <c r="D61" s="761"/>
      <c r="E61" s="761"/>
      <c r="F61" s="761"/>
      <c r="G61" s="761"/>
      <c r="H61" s="761"/>
      <c r="I61" s="762"/>
      <c r="J61" s="55"/>
      <c r="K61" s="736"/>
      <c r="L61" s="737"/>
      <c r="M61" s="737"/>
      <c r="N61" s="737"/>
      <c r="O61" s="737"/>
      <c r="P61" s="738"/>
    </row>
    <row r="62" spans="1:18" ht="5.85" customHeight="1" x14ac:dyDescent="0.25">
      <c r="A62" s="691"/>
      <c r="B62" s="56"/>
      <c r="C62" s="56"/>
      <c r="D62" s="56"/>
      <c r="E62" s="56"/>
      <c r="F62" s="56"/>
      <c r="G62" s="56"/>
      <c r="H62" s="56"/>
      <c r="I62" s="56"/>
      <c r="J62" s="55"/>
      <c r="K62" s="56"/>
      <c r="L62" s="56"/>
      <c r="M62" s="56"/>
      <c r="N62" s="56"/>
      <c r="O62" s="56"/>
      <c r="P62" s="56"/>
    </row>
    <row r="63" spans="1:18" ht="15.75" customHeight="1" x14ac:dyDescent="0.25">
      <c r="A63" s="691"/>
      <c r="B63" s="724" t="s">
        <v>14</v>
      </c>
      <c r="C63" s="724"/>
      <c r="D63" s="725"/>
      <c r="E63" s="714"/>
      <c r="F63" s="714"/>
      <c r="G63" s="714"/>
      <c r="H63" s="714"/>
      <c r="I63" s="715"/>
      <c r="J63" s="55"/>
      <c r="K63" s="725"/>
      <c r="L63" s="714"/>
      <c r="M63" s="714"/>
      <c r="N63" s="714"/>
      <c r="O63" s="714"/>
      <c r="P63" s="715"/>
    </row>
    <row r="64" spans="1:18" ht="15.75" x14ac:dyDescent="0.25">
      <c r="A64" s="691"/>
      <c r="B64" s="724"/>
      <c r="C64" s="724"/>
      <c r="D64" s="726"/>
      <c r="E64" s="716"/>
      <c r="F64" s="716"/>
      <c r="G64" s="716"/>
      <c r="H64" s="716"/>
      <c r="I64" s="717"/>
      <c r="J64" s="55"/>
      <c r="K64" s="726"/>
      <c r="L64" s="716"/>
      <c r="M64" s="716"/>
      <c r="N64" s="716"/>
      <c r="O64" s="716"/>
      <c r="P64" s="717"/>
    </row>
    <row r="65" spans="1:16" ht="15.75" x14ac:dyDescent="0.25">
      <c r="A65" s="691"/>
      <c r="B65" s="724"/>
      <c r="C65" s="724"/>
      <c r="D65" s="726"/>
      <c r="E65" s="716"/>
      <c r="F65" s="716"/>
      <c r="G65" s="716"/>
      <c r="H65" s="716"/>
      <c r="I65" s="717"/>
      <c r="J65" s="55"/>
      <c r="K65" s="726"/>
      <c r="L65" s="716"/>
      <c r="M65" s="716"/>
      <c r="N65" s="716"/>
      <c r="O65" s="716"/>
      <c r="P65" s="717"/>
    </row>
    <row r="66" spans="1:16" ht="15.75" x14ac:dyDescent="0.25">
      <c r="A66" s="691"/>
      <c r="B66" s="724"/>
      <c r="C66" s="724"/>
      <c r="D66" s="726"/>
      <c r="E66" s="716"/>
      <c r="F66" s="716"/>
      <c r="G66" s="716"/>
      <c r="H66" s="716"/>
      <c r="I66" s="717"/>
      <c r="J66" s="55"/>
      <c r="K66" s="726"/>
      <c r="L66" s="716"/>
      <c r="M66" s="716"/>
      <c r="N66" s="716"/>
      <c r="O66" s="716"/>
      <c r="P66" s="717"/>
    </row>
    <row r="67" spans="1:16" ht="84" customHeight="1" thickBot="1" x14ac:dyDescent="0.3">
      <c r="A67" s="691"/>
      <c r="B67" s="724"/>
      <c r="C67" s="724"/>
      <c r="D67" s="727"/>
      <c r="E67" s="728"/>
      <c r="F67" s="728"/>
      <c r="G67" s="728"/>
      <c r="H67" s="728"/>
      <c r="I67" s="729"/>
      <c r="J67" s="55"/>
      <c r="K67" s="727"/>
      <c r="L67" s="728"/>
      <c r="M67" s="728"/>
      <c r="N67" s="728"/>
      <c r="O67" s="728"/>
      <c r="P67" s="729"/>
    </row>
    <row r="68" spans="1:16" ht="15.75" customHeight="1" x14ac:dyDescent="0.25">
      <c r="A68" s="691"/>
      <c r="B68" s="644" t="s">
        <v>182</v>
      </c>
      <c r="C68" s="13"/>
      <c r="D68" s="674" t="s">
        <v>185</v>
      </c>
      <c r="E68" s="675"/>
      <c r="F68" s="676"/>
      <c r="G68" s="652" t="s">
        <v>186</v>
      </c>
      <c r="H68" s="653"/>
      <c r="I68" s="654"/>
      <c r="J68" s="14"/>
      <c r="K68" s="681" t="s">
        <v>185</v>
      </c>
      <c r="L68" s="682"/>
      <c r="M68" s="682"/>
      <c r="N68" s="655" t="s">
        <v>186</v>
      </c>
      <c r="O68" s="656"/>
      <c r="P68" s="657"/>
    </row>
    <row r="69" spans="1:16" ht="15.75" x14ac:dyDescent="0.25">
      <c r="A69" s="691"/>
      <c r="B69" s="671"/>
      <c r="C69" s="13"/>
      <c r="D69" s="311" t="s">
        <v>187</v>
      </c>
      <c r="E69" s="43" t="s">
        <v>188</v>
      </c>
      <c r="F69" s="310" t="s">
        <v>189</v>
      </c>
      <c r="G69" s="82" t="s">
        <v>189</v>
      </c>
      <c r="H69" s="83" t="s">
        <v>188</v>
      </c>
      <c r="I69" s="84" t="s">
        <v>187</v>
      </c>
      <c r="J69" s="14"/>
      <c r="K69" s="311" t="s">
        <v>187</v>
      </c>
      <c r="L69" s="43" t="s">
        <v>188</v>
      </c>
      <c r="M69" s="310" t="s">
        <v>189</v>
      </c>
      <c r="N69" s="40" t="s">
        <v>189</v>
      </c>
      <c r="O69" s="41" t="s">
        <v>188</v>
      </c>
      <c r="P69" s="42" t="s">
        <v>187</v>
      </c>
    </row>
    <row r="70" spans="1:16" ht="15.75" x14ac:dyDescent="0.25">
      <c r="A70" s="691"/>
      <c r="B70" s="671"/>
      <c r="C70" s="373" t="s">
        <v>183</v>
      </c>
      <c r="D70" s="139"/>
      <c r="E70" s="139"/>
      <c r="F70" s="164"/>
      <c r="G70" s="224"/>
      <c r="H70" s="139" t="s">
        <v>373</v>
      </c>
      <c r="I70" s="139"/>
      <c r="J70" s="165"/>
      <c r="K70" s="139"/>
      <c r="L70" s="139"/>
      <c r="M70" s="164" t="s">
        <v>373</v>
      </c>
      <c r="N70" s="224"/>
      <c r="O70" s="139"/>
      <c r="P70" s="139"/>
    </row>
    <row r="71" spans="1:16" ht="15.75" x14ac:dyDescent="0.25">
      <c r="A71" s="691"/>
      <c r="B71" s="671"/>
      <c r="C71" s="373" t="s">
        <v>184</v>
      </c>
      <c r="D71" s="139"/>
      <c r="E71" s="139"/>
      <c r="F71" s="164"/>
      <c r="G71" s="224"/>
      <c r="H71" s="139" t="s">
        <v>373</v>
      </c>
      <c r="I71" s="139"/>
      <c r="J71" s="165"/>
      <c r="K71" s="139"/>
      <c r="L71" s="139"/>
      <c r="M71" s="164" t="s">
        <v>373</v>
      </c>
      <c r="N71" s="224"/>
      <c r="O71" s="139"/>
      <c r="P71" s="139"/>
    </row>
    <row r="72" spans="1:16" ht="15.75" x14ac:dyDescent="0.25">
      <c r="A72" s="691"/>
      <c r="B72" s="671"/>
      <c r="C72" s="373" t="s">
        <v>15</v>
      </c>
      <c r="D72" s="139"/>
      <c r="E72" s="139"/>
      <c r="F72" s="164"/>
      <c r="G72" s="224"/>
      <c r="H72" s="139" t="s">
        <v>373</v>
      </c>
      <c r="I72" s="139"/>
      <c r="J72" s="165"/>
      <c r="K72" s="139"/>
      <c r="L72" s="139"/>
      <c r="M72" s="164" t="s">
        <v>373</v>
      </c>
      <c r="N72" s="224"/>
      <c r="O72" s="139"/>
      <c r="P72" s="139"/>
    </row>
    <row r="73" spans="1:16" ht="15.75" x14ac:dyDescent="0.25">
      <c r="A73" s="691"/>
      <c r="B73" s="672"/>
      <c r="C73" s="373" t="s">
        <v>16</v>
      </c>
      <c r="D73" s="139"/>
      <c r="E73" s="139"/>
      <c r="F73" s="164"/>
      <c r="G73" s="224"/>
      <c r="H73" s="139" t="s">
        <v>373</v>
      </c>
      <c r="I73" s="139"/>
      <c r="J73" s="165"/>
      <c r="K73" s="139"/>
      <c r="L73" s="139"/>
      <c r="M73" s="164" t="s">
        <v>373</v>
      </c>
      <c r="N73" s="224"/>
      <c r="O73" s="139"/>
      <c r="P73" s="139"/>
    </row>
    <row r="74" spans="1:16" ht="6.75" customHeight="1" x14ac:dyDescent="0.25">
      <c r="A74" s="691"/>
      <c r="B74" s="9"/>
      <c r="C74" s="9"/>
      <c r="D74" s="81"/>
      <c r="E74" s="81"/>
      <c r="F74" s="81"/>
      <c r="G74" s="81"/>
      <c r="H74" s="81"/>
      <c r="I74" s="81"/>
      <c r="J74" s="10"/>
      <c r="K74" s="9"/>
      <c r="L74" s="9"/>
      <c r="M74" s="9"/>
      <c r="N74" s="9"/>
      <c r="O74" s="9"/>
      <c r="P74" s="9"/>
    </row>
    <row r="75" spans="1:16" ht="24.75" x14ac:dyDescent="0.25">
      <c r="A75" s="691"/>
      <c r="B75" s="673" t="s">
        <v>195</v>
      </c>
      <c r="C75" s="673"/>
      <c r="D75" s="673"/>
      <c r="E75" s="673"/>
      <c r="F75" s="673"/>
      <c r="G75" s="516" t="s">
        <v>190</v>
      </c>
      <c r="H75" s="516" t="s">
        <v>191</v>
      </c>
      <c r="I75" s="516" t="s">
        <v>192</v>
      </c>
      <c r="J75" s="517"/>
      <c r="K75" s="662" t="s">
        <v>190</v>
      </c>
      <c r="L75" s="663"/>
      <c r="M75" s="662" t="s">
        <v>193</v>
      </c>
      <c r="N75" s="663"/>
      <c r="O75" s="662" t="s">
        <v>192</v>
      </c>
      <c r="P75" s="663"/>
    </row>
    <row r="76" spans="1:16" ht="71.25" customHeight="1" x14ac:dyDescent="0.25">
      <c r="A76" s="691"/>
      <c r="B76" s="673"/>
      <c r="C76" s="673"/>
      <c r="D76" s="673"/>
      <c r="E76" s="673"/>
      <c r="F76" s="673"/>
      <c r="G76" s="163"/>
      <c r="H76" s="163" t="s">
        <v>373</v>
      </c>
      <c r="I76" s="85"/>
      <c r="J76" s="16"/>
      <c r="K76" s="1106"/>
      <c r="L76" s="1107"/>
      <c r="M76" s="1106" t="s">
        <v>373</v>
      </c>
      <c r="N76" s="1107"/>
      <c r="O76" s="1108"/>
      <c r="P76" s="1109"/>
    </row>
    <row r="77" spans="1:16" ht="7.5" customHeight="1" x14ac:dyDescent="0.25">
      <c r="A77" s="5"/>
      <c r="B77" s="5"/>
      <c r="C77" s="8"/>
      <c r="D77" s="86"/>
      <c r="E77" s="86"/>
      <c r="F77" s="86"/>
      <c r="G77" s="86"/>
      <c r="H77" s="86"/>
      <c r="I77" s="86"/>
      <c r="J77" s="5"/>
      <c r="K77" s="5"/>
      <c r="L77" s="5"/>
      <c r="M77" s="5"/>
      <c r="N77" s="5"/>
      <c r="O77" s="5"/>
      <c r="P77" s="5"/>
    </row>
    <row r="78" spans="1:16" ht="24.75" customHeight="1" x14ac:dyDescent="0.25">
      <c r="A78" s="574" t="s">
        <v>133</v>
      </c>
      <c r="B78" s="648" t="str">
        <f>IF('Table 1-B  Context Analysis'!$K$7="Oui",IF('Table 1-C  Cont Factors'!L40="","N/A",'Table 1-C  Cont Factors'!L40),IF('Table 1-C  Cont Factors'!O40="F0",IF('Table 1-C  Cont Factors'!L40="","N/A","Score de Fiabilité nul-F0"),IF('Table 1-C  Cont Factors'!L40="","N/A",'Table 1-C  Cont Factors'!L40)))</f>
        <v>The  market price compared with  4 years average data shows that there is decrease in maize 56%, Rice 4 %, Millet 70%, Cowpea 134%, Groundnut 9% and Sorghum 80%</v>
      </c>
      <c r="C78" s="649"/>
      <c r="D78" s="649"/>
      <c r="E78" s="649"/>
      <c r="F78" s="649"/>
      <c r="G78" s="649"/>
      <c r="H78" s="649"/>
      <c r="I78" s="650"/>
      <c r="J78" s="57"/>
      <c r="K78" s="651"/>
      <c r="L78" s="646"/>
      <c r="M78" s="646"/>
      <c r="N78" s="646"/>
      <c r="O78" s="646"/>
      <c r="P78" s="647"/>
    </row>
    <row r="79" spans="1:16" ht="24.75" customHeight="1" x14ac:dyDescent="0.25">
      <c r="A79" s="691"/>
      <c r="B79" s="648" t="str">
        <f>IF('Table 1-B  Context Analysis'!$K$7="Oui",IF('Table 1-C  Cont Factors'!L41="","N/A",'Table 1-C  Cont Factors'!L41),IF('Table 1-C  Cont Factors'!O41="F0",IF('Table 1-C  Cont Factors'!L41="","N/A","Score de Fiabilité nul-F0"),IF('Table 1-C  Cont Factors'!L41="","N/A",'Table 1-C  Cont Factors'!L41)))</f>
        <v xml:space="preserve"> </v>
      </c>
      <c r="C79" s="649"/>
      <c r="D79" s="649"/>
      <c r="E79" s="649"/>
      <c r="F79" s="649"/>
      <c r="G79" s="649"/>
      <c r="H79" s="649"/>
      <c r="I79" s="650"/>
      <c r="J79" s="57"/>
      <c r="K79" s="651"/>
      <c r="L79" s="646"/>
      <c r="M79" s="646"/>
      <c r="N79" s="646"/>
      <c r="O79" s="646"/>
      <c r="P79" s="647"/>
    </row>
    <row r="80" spans="1:16" ht="24.75" customHeight="1" x14ac:dyDescent="0.25">
      <c r="A80" s="691"/>
      <c r="B80" s="648" t="str">
        <f>IF('Table 1-B  Context Analysis'!$K$7="Oui",IF('Table 1-C  Cont Factors'!L42="","N/A",'Table 1-C  Cont Factors'!L42),IF('Table 1-C  Cont Factors'!O42="F0",IF('Table 1-C  Cont Factors'!L42="","N/A","Score de Fiabilité nul-F0"),IF('Table 1-C  Cont Factors'!L42="","N/A",'Table 1-C  Cont Factors'!L42)))</f>
        <v>N/A</v>
      </c>
      <c r="C80" s="649"/>
      <c r="D80" s="649"/>
      <c r="E80" s="649"/>
      <c r="F80" s="649"/>
      <c r="G80" s="649"/>
      <c r="H80" s="649"/>
      <c r="I80" s="650"/>
      <c r="J80" s="57"/>
      <c r="K80" s="651"/>
      <c r="L80" s="646"/>
      <c r="M80" s="646"/>
      <c r="N80" s="646"/>
      <c r="O80" s="646"/>
      <c r="P80" s="647"/>
    </row>
    <row r="81" spans="1:16" ht="24.75" customHeight="1" x14ac:dyDescent="0.25">
      <c r="A81" s="691"/>
      <c r="B81" s="648" t="str">
        <f>IF('Table 1-B  Context Analysis'!$K$7="Oui",IF('Table 1-C  Cont Factors'!L43="","N/A",'Table 1-C  Cont Factors'!L43),IF('Table 1-C  Cont Factors'!O43="F0",IF('Table 1-C  Cont Factors'!L43="","N/A","Score de Fiabilité nul-F0"),IF('Table 1-C  Cont Factors'!L43="","N/A",'Table 1-C  Cont Factors'!L43)))</f>
        <v>N/A</v>
      </c>
      <c r="C81" s="649"/>
      <c r="D81" s="649"/>
      <c r="E81" s="649"/>
      <c r="F81" s="649"/>
      <c r="G81" s="649"/>
      <c r="H81" s="649"/>
      <c r="I81" s="650"/>
      <c r="J81" s="57"/>
      <c r="K81" s="651"/>
      <c r="L81" s="646"/>
      <c r="M81" s="646"/>
      <c r="N81" s="646"/>
      <c r="O81" s="646"/>
      <c r="P81" s="647"/>
    </row>
    <row r="82" spans="1:16" ht="24.75" customHeight="1" x14ac:dyDescent="0.25">
      <c r="A82" s="691"/>
      <c r="B82" s="648" t="str">
        <f>IF('Table 1-B  Context Analysis'!$K$7="Oui",IF('Table 1-C  Cont Factors'!L44="","N/A",'Table 1-C  Cont Factors'!L44),IF('Table 1-C  Cont Factors'!O44="F0",IF('Table 1-C  Cont Factors'!L44="","N/A","Score de Fiabilité nul-F0"),IF('Table 1-C  Cont Factors'!L44="","N/A",'Table 1-C  Cont Factors'!L44)))</f>
        <v>N/A</v>
      </c>
      <c r="C82" s="649"/>
      <c r="D82" s="649"/>
      <c r="E82" s="649"/>
      <c r="F82" s="649"/>
      <c r="G82" s="649"/>
      <c r="H82" s="649"/>
      <c r="I82" s="650"/>
      <c r="J82" s="57"/>
      <c r="K82" s="646"/>
      <c r="L82" s="646"/>
      <c r="M82" s="646"/>
      <c r="N82" s="646"/>
      <c r="O82" s="646"/>
      <c r="P82" s="647"/>
    </row>
    <row r="83" spans="1:16" ht="24.75" customHeight="1" x14ac:dyDescent="0.25">
      <c r="A83" s="691"/>
      <c r="B83" s="648" t="str">
        <f>IF('Table 1-B  Context Analysis'!$K$7="Oui",IF('Table 1-C  Cont Factors'!L45="","N/A",'Table 1-C  Cont Factors'!L45),IF('Table 1-C  Cont Factors'!O45="F0",IF('Table 1-C  Cont Factors'!L45="","N/A","Score de Fiabilité nul-F0"),IF('Table 1-C  Cont Factors'!L45="","N/A",'Table 1-C  Cont Factors'!L45)))</f>
        <v>N/A</v>
      </c>
      <c r="C83" s="649"/>
      <c r="D83" s="649"/>
      <c r="E83" s="649"/>
      <c r="F83" s="649"/>
      <c r="G83" s="649"/>
      <c r="H83" s="649"/>
      <c r="I83" s="650"/>
      <c r="J83" s="57"/>
      <c r="K83" s="651"/>
      <c r="L83" s="646"/>
      <c r="M83" s="646"/>
      <c r="N83" s="646"/>
      <c r="O83" s="646"/>
      <c r="P83" s="647"/>
    </row>
    <row r="84" spans="1:16" ht="42.75" customHeight="1" x14ac:dyDescent="0.25">
      <c r="A84" s="691"/>
      <c r="B84" s="730" t="str">
        <f>IF('Table 1-B  Context Analysis'!$K$7="Oui",IF('Table 1-C  Cont Factors'!L46="","N/A",'Table 1-C  Cont Factors'!L46),IF('Table 1-C  Cont Factors'!O46="F0",IF('Table 1-C  Cont Factors'!L46="","N/A","Score de Fiabilité nul-F0"),IF('Table 1-C  Cont Factors'!L46="","N/A",'Table 1-C  Cont Factors'!L46)))</f>
        <v>N/A</v>
      </c>
      <c r="C84" s="689"/>
      <c r="D84" s="689"/>
      <c r="E84" s="689"/>
      <c r="F84" s="689"/>
      <c r="G84" s="689"/>
      <c r="H84" s="689"/>
      <c r="I84" s="731"/>
      <c r="J84" s="57"/>
      <c r="K84" s="646"/>
      <c r="L84" s="646"/>
      <c r="M84" s="646"/>
      <c r="N84" s="646"/>
      <c r="O84" s="646"/>
      <c r="P84" s="647"/>
    </row>
    <row r="85" spans="1:16" ht="24.75" customHeight="1" x14ac:dyDescent="0.25">
      <c r="A85" s="691"/>
      <c r="B85" s="648" t="str">
        <f>IF('Table 1-B  Context Analysis'!$K$7="Oui",IF('Table 1-C  Cont Factors'!L47="","N/A",'Table 1-C  Cont Factors'!L47),IF('Table 1-C  Cont Factors'!O47="F0",IF('Table 1-C  Cont Factors'!L47="","N/A","Score de Fiabilité nul-F0"),IF('Table 1-C  Cont Factors'!L47="","N/A",'Table 1-C  Cont Factors'!L47)))</f>
        <v>N/A</v>
      </c>
      <c r="C85" s="649"/>
      <c r="D85" s="649"/>
      <c r="E85" s="649"/>
      <c r="F85" s="649"/>
      <c r="G85" s="649"/>
      <c r="H85" s="649"/>
      <c r="I85" s="650"/>
      <c r="J85" s="57"/>
      <c r="K85" s="646"/>
      <c r="L85" s="646"/>
      <c r="M85" s="646"/>
      <c r="N85" s="646"/>
      <c r="O85" s="646"/>
      <c r="P85" s="647"/>
    </row>
    <row r="86" spans="1:16" ht="24.75" customHeight="1" x14ac:dyDescent="0.25">
      <c r="A86" s="691"/>
      <c r="B86" s="648" t="str">
        <f>IF('Table 1-B  Context Analysis'!$K$7="Oui",IF('Table 1-C  Cont Factors'!L48="","N/A",'Table 1-C  Cont Factors'!L48),IF('Table 1-C  Cont Factors'!O48="F0",IF('Table 1-C  Cont Factors'!L48="","N/A","Score de Fiabilité nul-F0"),IF('Table 1-C  Cont Factors'!L48="","N/A",'Table 1-C  Cont Factors'!L48)))</f>
        <v>N/A</v>
      </c>
      <c r="C86" s="649"/>
      <c r="D86" s="649"/>
      <c r="E86" s="649"/>
      <c r="F86" s="649"/>
      <c r="G86" s="649"/>
      <c r="H86" s="649"/>
      <c r="I86" s="650"/>
      <c r="J86" s="57"/>
      <c r="K86" s="646"/>
      <c r="L86" s="646"/>
      <c r="M86" s="646"/>
      <c r="N86" s="646"/>
      <c r="O86" s="646"/>
      <c r="P86" s="647"/>
    </row>
    <row r="87" spans="1:16" ht="24.75" customHeight="1" x14ac:dyDescent="0.25">
      <c r="A87" s="691"/>
      <c r="B87" s="648" t="str">
        <f>IF('Table 1-B  Context Analysis'!$K$7="Oui",IF('Table 1-C  Cont Factors'!L49="","N/A",'Table 1-C  Cont Factors'!L49),IF('Table 1-C  Cont Factors'!O49="F0",IF('Table 1-C  Cont Factors'!L49="","N/A","Score de Fiabilité nul-F0"),IF('Table 1-C  Cont Factors'!L49="","N/A",'Table 1-C  Cont Factors'!L49)))</f>
        <v>N/A</v>
      </c>
      <c r="C87" s="649"/>
      <c r="D87" s="649"/>
      <c r="E87" s="649"/>
      <c r="F87" s="649"/>
      <c r="G87" s="649"/>
      <c r="H87" s="649"/>
      <c r="I87" s="650"/>
      <c r="J87" s="57"/>
      <c r="K87" s="646"/>
      <c r="L87" s="646"/>
      <c r="M87" s="646"/>
      <c r="N87" s="646"/>
      <c r="O87" s="646"/>
      <c r="P87" s="647"/>
    </row>
    <row r="88" spans="1:16" ht="24.75" customHeight="1" x14ac:dyDescent="0.25">
      <c r="A88" s="691"/>
      <c r="B88" s="648" t="str">
        <f>IF('Table 1-B  Context Analysis'!$K$7="Oui",IF('Table 1-C  Cont Factors'!L50="","N/A",'Table 1-C  Cont Factors'!L50),IF('Table 1-C  Cont Factors'!O50="F0",IF('Table 1-C  Cont Factors'!L50="","N/A","Score de Fiabilité nul-F0"),IF('Table 1-C  Cont Factors'!L50="","N/A",'Table 1-C  Cont Factors'!L50)))</f>
        <v>N/A</v>
      </c>
      <c r="C88" s="649"/>
      <c r="D88" s="649"/>
      <c r="E88" s="649"/>
      <c r="F88" s="649"/>
      <c r="G88" s="649"/>
      <c r="H88" s="649"/>
      <c r="I88" s="650"/>
      <c r="J88" s="57"/>
      <c r="K88" s="651"/>
      <c r="L88" s="646"/>
      <c r="M88" s="646"/>
      <c r="N88" s="646"/>
      <c r="O88" s="646"/>
      <c r="P88" s="647"/>
    </row>
    <row r="89" spans="1:16" ht="24.75" customHeight="1" x14ac:dyDescent="0.25">
      <c r="A89" s="691"/>
      <c r="B89" s="648" t="str">
        <f>IF('Table 1-B  Context Analysis'!$K$7="Oui",IF('Table 1-C  Cont Factors'!L51="","N/A",'Table 1-C  Cont Factors'!L51),IF('Table 1-C  Cont Factors'!O51="F0",IF('Table 1-C  Cont Factors'!L51="","N/A","Score de Fiabilité nul-F0"),IF('Table 1-C  Cont Factors'!L51="","N/A",'Table 1-C  Cont Factors'!L51)))</f>
        <v>N/A</v>
      </c>
      <c r="C89" s="649"/>
      <c r="D89" s="649"/>
      <c r="E89" s="649"/>
      <c r="F89" s="649"/>
      <c r="G89" s="649"/>
      <c r="H89" s="649"/>
      <c r="I89" s="650"/>
      <c r="J89" s="57"/>
      <c r="K89" s="646"/>
      <c r="L89" s="646"/>
      <c r="M89" s="646"/>
      <c r="N89" s="646"/>
      <c r="O89" s="646"/>
      <c r="P89" s="647"/>
    </row>
    <row r="90" spans="1:16" ht="24.75" customHeight="1" x14ac:dyDescent="0.25">
      <c r="A90" s="691"/>
      <c r="B90" s="648" t="str">
        <f>IF('Table 1-B  Context Analysis'!$K$7="Oui",IF('Table 1-C  Cont Factors'!L52="","N/A",'Table 1-C  Cont Factors'!L52),IF('Table 1-C  Cont Factors'!O52="F0",IF('Table 1-C  Cont Factors'!L52="","N/A","Score de Fiabilité nul-F0"),IF('Table 1-C  Cont Factors'!L52="","N/A",'Table 1-C  Cont Factors'!L52)))</f>
        <v>N/A</v>
      </c>
      <c r="C90" s="649"/>
      <c r="D90" s="649"/>
      <c r="E90" s="649"/>
      <c r="F90" s="649"/>
      <c r="G90" s="649"/>
      <c r="H90" s="649"/>
      <c r="I90" s="650"/>
      <c r="J90" s="57"/>
      <c r="K90" s="646"/>
      <c r="L90" s="646"/>
      <c r="M90" s="646"/>
      <c r="N90" s="646"/>
      <c r="O90" s="646"/>
      <c r="P90" s="647"/>
    </row>
    <row r="91" spans="1:16" ht="24.75" customHeight="1" x14ac:dyDescent="0.25">
      <c r="A91" s="691"/>
      <c r="B91" s="648" t="str">
        <f>IF('Table 1-B  Context Analysis'!$K$7="Oui",IF('Table 1-C  Cont Factors'!L53="","N/A",'Table 1-C  Cont Factors'!L53),IF('Table 1-C  Cont Factors'!O53="F0",IF('Table 1-C  Cont Factors'!L53="","N/A","Score de Fiabilité nul-F0"),IF('Table 1-C  Cont Factors'!L53="","N/A",'Table 1-C  Cont Factors'!L53)))</f>
        <v>N/A</v>
      </c>
      <c r="C91" s="649"/>
      <c r="D91" s="649"/>
      <c r="E91" s="649"/>
      <c r="F91" s="649"/>
      <c r="G91" s="649"/>
      <c r="H91" s="649"/>
      <c r="I91" s="650"/>
      <c r="J91" s="57"/>
      <c r="K91" s="646"/>
      <c r="L91" s="646"/>
      <c r="M91" s="646"/>
      <c r="N91" s="646"/>
      <c r="O91" s="646"/>
      <c r="P91" s="647"/>
    </row>
    <row r="92" spans="1:16" ht="24.75" customHeight="1" x14ac:dyDescent="0.25">
      <c r="A92" s="691"/>
      <c r="B92" s="648" t="str">
        <f>IF('Table 1-B  Context Analysis'!$K$7="Oui",IF('Table 1-C  Cont Factors'!L54="","N/A",'Table 1-C  Cont Factors'!L54),IF('Table 1-C  Cont Factors'!O54="F0",IF('Table 1-C  Cont Factors'!L54="","N/A","Score de Fiabilité nul-F0"),IF('Table 1-C  Cont Factors'!L54="","N/A",'Table 1-C  Cont Factors'!L54)))</f>
        <v>N/A</v>
      </c>
      <c r="C92" s="649"/>
      <c r="D92" s="649"/>
      <c r="E92" s="649"/>
      <c r="F92" s="649"/>
      <c r="G92" s="649"/>
      <c r="H92" s="649"/>
      <c r="I92" s="650"/>
      <c r="J92" s="57"/>
      <c r="K92" s="646"/>
      <c r="L92" s="646"/>
      <c r="M92" s="646"/>
      <c r="N92" s="646"/>
      <c r="O92" s="646"/>
      <c r="P92" s="647"/>
    </row>
    <row r="93" spans="1:16" ht="24.75" customHeight="1" x14ac:dyDescent="0.25">
      <c r="A93" s="691"/>
      <c r="B93" s="708"/>
      <c r="C93" s="709"/>
      <c r="D93" s="709"/>
      <c r="E93" s="709"/>
      <c r="F93" s="709"/>
      <c r="G93" s="709"/>
      <c r="H93" s="709"/>
      <c r="I93" s="709"/>
      <c r="J93" s="57"/>
      <c r="K93" s="704"/>
      <c r="L93" s="704"/>
      <c r="M93" s="704"/>
      <c r="N93" s="704"/>
      <c r="O93" s="704"/>
      <c r="P93" s="705"/>
    </row>
    <row r="94" spans="1:16" ht="7.35" customHeight="1" x14ac:dyDescent="0.25">
      <c r="A94" s="691"/>
      <c r="B94" s="9"/>
      <c r="C94" s="9"/>
      <c r="D94" s="81"/>
      <c r="E94" s="81"/>
      <c r="F94" s="81"/>
      <c r="G94" s="81"/>
      <c r="H94" s="81"/>
      <c r="I94" s="81"/>
      <c r="J94" s="10"/>
      <c r="K94" s="9"/>
      <c r="L94" s="9"/>
      <c r="M94" s="9"/>
      <c r="N94" s="9"/>
      <c r="O94" s="9"/>
      <c r="P94" s="9"/>
    </row>
    <row r="95" spans="1:16" ht="10.5" customHeight="1" x14ac:dyDescent="0.25">
      <c r="A95" s="691"/>
      <c r="B95" s="669" t="s">
        <v>14</v>
      </c>
      <c r="C95" s="670"/>
      <c r="D95" s="695"/>
      <c r="E95" s="696"/>
      <c r="F95" s="696"/>
      <c r="G95" s="696"/>
      <c r="H95" s="696"/>
      <c r="I95" s="696"/>
      <c r="J95" s="57"/>
      <c r="K95" s="699"/>
      <c r="L95" s="696"/>
      <c r="M95" s="696"/>
      <c r="N95" s="696"/>
      <c r="O95" s="696"/>
      <c r="P95" s="700"/>
    </row>
    <row r="96" spans="1:16" ht="10.5" customHeight="1" x14ac:dyDescent="0.25">
      <c r="A96" s="691"/>
      <c r="B96" s="669"/>
      <c r="C96" s="670"/>
      <c r="D96" s="697"/>
      <c r="E96" s="698"/>
      <c r="F96" s="698"/>
      <c r="G96" s="698"/>
      <c r="H96" s="698"/>
      <c r="I96" s="698"/>
      <c r="J96" s="57"/>
      <c r="K96" s="698"/>
      <c r="L96" s="698"/>
      <c r="M96" s="698"/>
      <c r="N96" s="698"/>
      <c r="O96" s="698"/>
      <c r="P96" s="701"/>
    </row>
    <row r="97" spans="1:16" ht="10.5" customHeight="1" x14ac:dyDescent="0.25">
      <c r="A97" s="691"/>
      <c r="B97" s="669"/>
      <c r="C97" s="670"/>
      <c r="D97" s="697"/>
      <c r="E97" s="698"/>
      <c r="F97" s="698"/>
      <c r="G97" s="698"/>
      <c r="H97" s="698"/>
      <c r="I97" s="698"/>
      <c r="J97" s="57"/>
      <c r="K97" s="698"/>
      <c r="L97" s="698"/>
      <c r="M97" s="698"/>
      <c r="N97" s="698"/>
      <c r="O97" s="698"/>
      <c r="P97" s="701"/>
    </row>
    <row r="98" spans="1:16" ht="10.5" customHeight="1" x14ac:dyDescent="0.25">
      <c r="A98" s="691"/>
      <c r="B98" s="669"/>
      <c r="C98" s="670"/>
      <c r="D98" s="697"/>
      <c r="E98" s="698"/>
      <c r="F98" s="698"/>
      <c r="G98" s="698"/>
      <c r="H98" s="698"/>
      <c r="I98" s="698"/>
      <c r="J98" s="57"/>
      <c r="K98" s="698"/>
      <c r="L98" s="698"/>
      <c r="M98" s="698"/>
      <c r="N98" s="698"/>
      <c r="O98" s="698"/>
      <c r="P98" s="701"/>
    </row>
    <row r="99" spans="1:16" ht="42" customHeight="1" thickBot="1" x14ac:dyDescent="0.3">
      <c r="A99" s="691"/>
      <c r="B99" s="669"/>
      <c r="C99" s="670"/>
      <c r="D99" s="697"/>
      <c r="E99" s="698"/>
      <c r="F99" s="698"/>
      <c r="G99" s="698"/>
      <c r="H99" s="698"/>
      <c r="I99" s="698"/>
      <c r="J99" s="57"/>
      <c r="K99" s="702"/>
      <c r="L99" s="702"/>
      <c r="M99" s="702"/>
      <c r="N99" s="702"/>
      <c r="O99" s="702"/>
      <c r="P99" s="703"/>
    </row>
    <row r="100" spans="1:16" ht="15.75" customHeight="1" x14ac:dyDescent="0.25">
      <c r="A100" s="691"/>
      <c r="B100" s="644" t="s">
        <v>182</v>
      </c>
      <c r="C100" s="13"/>
      <c r="D100" s="674" t="s">
        <v>185</v>
      </c>
      <c r="E100" s="675"/>
      <c r="F100" s="676"/>
      <c r="G100" s="652" t="s">
        <v>186</v>
      </c>
      <c r="H100" s="653"/>
      <c r="I100" s="654"/>
      <c r="J100" s="14"/>
      <c r="K100" s="681" t="s">
        <v>185</v>
      </c>
      <c r="L100" s="682"/>
      <c r="M100" s="682"/>
      <c r="N100" s="655" t="s">
        <v>186</v>
      </c>
      <c r="O100" s="656"/>
      <c r="P100" s="657"/>
    </row>
    <row r="101" spans="1:16" ht="15.75" x14ac:dyDescent="0.25">
      <c r="A101" s="691"/>
      <c r="B101" s="671"/>
      <c r="C101" s="13"/>
      <c r="D101" s="311" t="s">
        <v>187</v>
      </c>
      <c r="E101" s="43" t="s">
        <v>188</v>
      </c>
      <c r="F101" s="310" t="s">
        <v>189</v>
      </c>
      <c r="G101" s="82" t="s">
        <v>189</v>
      </c>
      <c r="H101" s="83" t="s">
        <v>188</v>
      </c>
      <c r="I101" s="84" t="s">
        <v>187</v>
      </c>
      <c r="J101" s="14"/>
      <c r="K101" s="311" t="s">
        <v>187</v>
      </c>
      <c r="L101" s="43" t="s">
        <v>188</v>
      </c>
      <c r="M101" s="310" t="s">
        <v>189</v>
      </c>
      <c r="N101" s="40" t="s">
        <v>189</v>
      </c>
      <c r="O101" s="41" t="s">
        <v>188</v>
      </c>
      <c r="P101" s="42" t="s">
        <v>187</v>
      </c>
    </row>
    <row r="102" spans="1:16" ht="15.75" x14ac:dyDescent="0.25">
      <c r="A102" s="691"/>
      <c r="B102" s="671"/>
      <c r="C102" s="373" t="s">
        <v>183</v>
      </c>
      <c r="D102" s="139"/>
      <c r="E102" s="139"/>
      <c r="F102" s="164"/>
      <c r="G102" s="224"/>
      <c r="H102" s="139" t="s">
        <v>373</v>
      </c>
      <c r="I102" s="139"/>
      <c r="J102" s="165"/>
      <c r="K102" s="139"/>
      <c r="L102" s="139"/>
      <c r="M102" s="164" t="s">
        <v>373</v>
      </c>
      <c r="N102" s="224"/>
      <c r="O102" s="139"/>
      <c r="P102" s="139"/>
    </row>
    <row r="103" spans="1:16" ht="15.75" x14ac:dyDescent="0.25">
      <c r="A103" s="691"/>
      <c r="B103" s="671"/>
      <c r="C103" s="373" t="s">
        <v>184</v>
      </c>
      <c r="D103" s="139"/>
      <c r="E103" s="139"/>
      <c r="F103" s="164"/>
      <c r="G103" s="224"/>
      <c r="H103" s="139" t="s">
        <v>373</v>
      </c>
      <c r="I103" s="139"/>
      <c r="J103" s="165"/>
      <c r="K103" s="139"/>
      <c r="L103" s="139"/>
      <c r="M103" s="164" t="s">
        <v>373</v>
      </c>
      <c r="N103" s="224"/>
      <c r="O103" s="139"/>
      <c r="P103" s="139"/>
    </row>
    <row r="104" spans="1:16" ht="15.75" x14ac:dyDescent="0.25">
      <c r="A104" s="691"/>
      <c r="B104" s="671"/>
      <c r="C104" s="373" t="s">
        <v>15</v>
      </c>
      <c r="D104" s="139"/>
      <c r="E104" s="139"/>
      <c r="F104" s="164"/>
      <c r="G104" s="224"/>
      <c r="H104" s="139" t="s">
        <v>373</v>
      </c>
      <c r="I104" s="139"/>
      <c r="J104" s="165"/>
      <c r="K104" s="139"/>
      <c r="L104" s="139"/>
      <c r="M104" s="164" t="s">
        <v>373</v>
      </c>
      <c r="N104" s="224"/>
      <c r="O104" s="139"/>
      <c r="P104" s="139"/>
    </row>
    <row r="105" spans="1:16" ht="15.75" x14ac:dyDescent="0.25">
      <c r="A105" s="691"/>
      <c r="B105" s="672"/>
      <c r="C105" s="373" t="s">
        <v>16</v>
      </c>
      <c r="D105" s="139"/>
      <c r="E105" s="139"/>
      <c r="F105" s="164"/>
      <c r="G105" s="224"/>
      <c r="H105" s="139" t="s">
        <v>373</v>
      </c>
      <c r="I105" s="139"/>
      <c r="J105" s="165"/>
      <c r="K105" s="139"/>
      <c r="L105" s="139"/>
      <c r="M105" s="164" t="s">
        <v>373</v>
      </c>
      <c r="N105" s="224"/>
      <c r="O105" s="139"/>
      <c r="P105" s="139"/>
    </row>
    <row r="106" spans="1:16" ht="15.75" x14ac:dyDescent="0.25">
      <c r="A106" s="691"/>
      <c r="B106" s="9"/>
      <c r="C106" s="9"/>
      <c r="D106" s="81"/>
      <c r="E106" s="81"/>
      <c r="F106" s="81"/>
      <c r="G106" s="81"/>
      <c r="H106" s="81"/>
      <c r="I106" s="81"/>
      <c r="J106" s="10"/>
      <c r="K106" s="9"/>
      <c r="L106" s="9"/>
      <c r="M106" s="9"/>
      <c r="N106" s="9"/>
      <c r="O106" s="9"/>
      <c r="P106" s="9"/>
    </row>
    <row r="107" spans="1:16" ht="24.75" x14ac:dyDescent="0.25">
      <c r="A107" s="691"/>
      <c r="B107" s="673" t="s">
        <v>196</v>
      </c>
      <c r="C107" s="673"/>
      <c r="D107" s="673"/>
      <c r="E107" s="673"/>
      <c r="F107" s="673"/>
      <c r="G107" s="516" t="s">
        <v>190</v>
      </c>
      <c r="H107" s="516" t="s">
        <v>191</v>
      </c>
      <c r="I107" s="516" t="s">
        <v>192</v>
      </c>
      <c r="J107" s="517"/>
      <c r="K107" s="662" t="s">
        <v>190</v>
      </c>
      <c r="L107" s="663"/>
      <c r="M107" s="662" t="s">
        <v>193</v>
      </c>
      <c r="N107" s="663"/>
      <c r="O107" s="662" t="s">
        <v>192</v>
      </c>
      <c r="P107" s="663"/>
    </row>
    <row r="108" spans="1:16" ht="64.5" customHeight="1" x14ac:dyDescent="0.25">
      <c r="A108" s="691"/>
      <c r="B108" s="673"/>
      <c r="C108" s="673"/>
      <c r="D108" s="673"/>
      <c r="E108" s="673"/>
      <c r="F108" s="673"/>
      <c r="G108" s="85"/>
      <c r="H108" s="163" t="s">
        <v>373</v>
      </c>
      <c r="I108" s="85"/>
      <c r="J108" s="16"/>
      <c r="K108" s="1106"/>
      <c r="L108" s="1107"/>
      <c r="M108" s="1106" t="s">
        <v>373</v>
      </c>
      <c r="N108" s="1107"/>
      <c r="O108" s="1108"/>
      <c r="P108" s="1109"/>
    </row>
    <row r="109" spans="1:16" ht="7.35" customHeight="1" x14ac:dyDescent="0.25">
      <c r="A109" s="5"/>
      <c r="B109" s="5"/>
      <c r="C109" s="8"/>
      <c r="D109" s="86"/>
      <c r="E109" s="86"/>
      <c r="F109" s="86"/>
      <c r="G109" s="86"/>
      <c r="H109" s="86"/>
      <c r="I109" s="86"/>
      <c r="J109" s="5"/>
      <c r="K109" s="5"/>
      <c r="L109" s="5"/>
      <c r="M109" s="5"/>
      <c r="N109" s="5"/>
      <c r="O109" s="5"/>
      <c r="P109" s="5"/>
    </row>
    <row r="110" spans="1:16" ht="49.5" customHeight="1" x14ac:dyDescent="0.25">
      <c r="A110" s="574" t="s">
        <v>134</v>
      </c>
      <c r="B110" s="730" t="str">
        <f>IF('Table 1-B  Context Analysis'!$K$7="Oui",IF('Table 1-C  Cont Factors'!L56="","N/A",'Table 1-C  Cont Factors'!L56),IF('Table 1-C  Cont Factors'!O56="F0",IF('Table 1-C  Cont Factors'!L56="","N/A","Score de Fiabilité nul-F0"),IF('Table 1-C  Cont Factors'!L56="","N/A",'Table 1-C  Cont Factors'!L56)))</f>
        <v>46.0% Have access to portable drinking water</v>
      </c>
      <c r="C110" s="689"/>
      <c r="D110" s="689"/>
      <c r="E110" s="689"/>
      <c r="F110" s="689"/>
      <c r="G110" s="689"/>
      <c r="H110" s="689"/>
      <c r="I110" s="731"/>
      <c r="J110" s="57"/>
      <c r="K110" s="651"/>
      <c r="L110" s="646"/>
      <c r="M110" s="646"/>
      <c r="N110" s="646"/>
      <c r="O110" s="646"/>
      <c r="P110" s="647"/>
    </row>
    <row r="111" spans="1:16" ht="50.25" customHeight="1" x14ac:dyDescent="0.25">
      <c r="A111" s="691"/>
      <c r="B111" s="730" t="str">
        <f>IF('Table 1-B  Context Analysis'!$K$7="Oui",IF('Table 1-C  Cont Factors'!L57="","N/A",'Table 1-C  Cont Factors'!L57),IF('Table 1-C  Cont Factors'!O57="F0",IF('Table 1-C  Cont Factors'!L57="","N/A","Score de Fiabilité nul-F0"),IF('Table 1-C  Cont Factors'!L57="","N/A",'Table 1-C  Cont Factors'!L57)))</f>
        <v>about 1.0% of the population uses own flush toilet,  0.7% uses standared flush toilet, 18.3% uses cement pit toilet, 57.3% uses dirt pit laterin, 22.7% uses open defication(bush).but majority(57.3%) of the HH are seen to use dirty pit laterin.</v>
      </c>
      <c r="C111" s="689"/>
      <c r="D111" s="689"/>
      <c r="E111" s="689"/>
      <c r="F111" s="689"/>
      <c r="G111" s="689"/>
      <c r="H111" s="689"/>
      <c r="I111" s="731"/>
      <c r="J111" s="57"/>
      <c r="K111" s="646"/>
      <c r="L111" s="646"/>
      <c r="M111" s="646"/>
      <c r="N111" s="646"/>
      <c r="O111" s="646"/>
      <c r="P111" s="647"/>
    </row>
    <row r="112" spans="1:16" ht="44.25" customHeight="1" x14ac:dyDescent="0.25">
      <c r="A112" s="691"/>
      <c r="B112" s="648" t="str">
        <f>IF('Table 1-B  Context Analysis'!$K$7="Oui",IF('Table 1-C  Cont Factors'!L58="","N/A",'Table 1-C  Cont Factors'!L58),IF('Table 1-C  Cont Factors'!O58="F0",IF('Table 1-C  Cont Factors'!L58="","N/A","Score de Fiabilité nul-F0"),IF('Table 1-C  Cont Factors'!L58="","N/A",'Table 1-C  Cont Factors'!L58)))</f>
        <v>About 20.2 % reported cases of sickness</v>
      </c>
      <c r="C112" s="649"/>
      <c r="D112" s="649"/>
      <c r="E112" s="649"/>
      <c r="F112" s="649"/>
      <c r="G112" s="649"/>
      <c r="H112" s="649"/>
      <c r="I112" s="650"/>
      <c r="J112" s="57"/>
      <c r="K112" s="699"/>
      <c r="L112" s="696"/>
      <c r="M112" s="696"/>
      <c r="N112" s="696"/>
      <c r="O112" s="696"/>
      <c r="P112" s="700"/>
    </row>
    <row r="113" spans="1:16" ht="27" customHeight="1" x14ac:dyDescent="0.25">
      <c r="A113" s="691"/>
      <c r="B113" s="648" t="str">
        <f>IF('Table 1-B  Context Analysis'!$K$7="Oui",IF('Table 1-C  Cont Factors'!L59="","N/A",'Table 1-C  Cont Factors'!L59),IF('Table 1-C  Cont Factors'!O59="F0",IF('Table 1-C  Cont Factors'!L59="","N/A","Score de Fiabilité nul-F0"),IF('Table 1-C  Cont Factors'!L59="","N/A",'Table 1-C  Cont Factors'!L59)))</f>
        <v>only 4.5% of the population have unsafe drinking water.</v>
      </c>
      <c r="C113" s="649"/>
      <c r="D113" s="649"/>
      <c r="E113" s="649"/>
      <c r="F113" s="649"/>
      <c r="G113" s="649"/>
      <c r="H113" s="649"/>
      <c r="I113" s="650"/>
      <c r="J113" s="57"/>
      <c r="K113" s="651"/>
      <c r="L113" s="646"/>
      <c r="M113" s="646"/>
      <c r="N113" s="646"/>
      <c r="O113" s="646"/>
      <c r="P113" s="647"/>
    </row>
    <row r="114" spans="1:16" ht="27" customHeight="1" x14ac:dyDescent="0.25">
      <c r="A114" s="691"/>
      <c r="B114" s="648" t="str">
        <f>IF('Table 1-B  Context Analysis'!$K$7="Oui",IF('Table 1-C  Cont Factors'!L60="","N/A",'Table 1-C  Cont Factors'!L60),IF('Table 1-C  Cont Factors'!O60="F0",IF('Table 1-C  Cont Factors'!L60="","N/A","Score de Fiabilité nul-F0"),IF('Table 1-C  Cont Factors'!L60="","N/A",'Table 1-C  Cont Factors'!L60)))</f>
        <v>N/A</v>
      </c>
      <c r="C114" s="649"/>
      <c r="D114" s="649"/>
      <c r="E114" s="649"/>
      <c r="F114" s="649"/>
      <c r="G114" s="649"/>
      <c r="H114" s="649"/>
      <c r="I114" s="650"/>
      <c r="J114" s="57"/>
      <c r="K114" s="646"/>
      <c r="L114" s="646"/>
      <c r="M114" s="646"/>
      <c r="N114" s="646"/>
      <c r="O114" s="646"/>
      <c r="P114" s="647"/>
    </row>
    <row r="115" spans="1:16" ht="53.25" customHeight="1" x14ac:dyDescent="0.25">
      <c r="A115" s="691"/>
      <c r="B115" s="730" t="str">
        <f>IF('Table 1-B  Context Analysis'!$K$7="Oui",IF('Table 1-C  Cont Factors'!L61="","N/A",'Table 1-C  Cont Factors'!L61),IF('Table 1-C  Cont Factors'!O61="F0",IF('Table 1-C  Cont Factors'!L61="","N/A","Score de Fiabilité nul-F0"),IF('Table 1-C  Cont Factors'!L61="","N/A",'Table 1-C  Cont Factors'!L61)))</f>
        <v>N/A</v>
      </c>
      <c r="C115" s="689"/>
      <c r="D115" s="689"/>
      <c r="E115" s="689"/>
      <c r="F115" s="689"/>
      <c r="G115" s="689"/>
      <c r="H115" s="689"/>
      <c r="I115" s="731"/>
      <c r="J115" s="57"/>
      <c r="K115" s="699"/>
      <c r="L115" s="696"/>
      <c r="M115" s="696"/>
      <c r="N115" s="696"/>
      <c r="O115" s="696"/>
      <c r="P115" s="700"/>
    </row>
    <row r="116" spans="1:16" ht="39" customHeight="1" x14ac:dyDescent="0.25">
      <c r="A116" s="691"/>
      <c r="B116" s="648" t="str">
        <f>IF('Table 1-B  Context Analysis'!$K$7="Oui",IF('Table 1-C  Cont Factors'!L62="","N/A",'Table 1-C  Cont Factors'!L62),IF('Table 1-C  Cont Factors'!O62="F0",IF('Table 1-C  Cont Factors'!L62="","N/A","Score de Fiabilité nul-F0"),IF('Table 1-C  Cont Factors'!L62="","N/A",'Table 1-C  Cont Factors'!L62)))</f>
        <v>N/A</v>
      </c>
      <c r="C116" s="649"/>
      <c r="D116" s="649"/>
      <c r="E116" s="649"/>
      <c r="F116" s="649"/>
      <c r="G116" s="649"/>
      <c r="H116" s="649"/>
      <c r="I116" s="650"/>
      <c r="J116" s="57"/>
      <c r="K116" s="699"/>
      <c r="L116" s="696"/>
      <c r="M116" s="696"/>
      <c r="N116" s="696"/>
      <c r="O116" s="696"/>
      <c r="P116" s="700"/>
    </row>
    <row r="117" spans="1:16" ht="27" customHeight="1" x14ac:dyDescent="0.25">
      <c r="A117" s="691"/>
      <c r="B117" s="648" t="str">
        <f>IF('Table 1-B  Context Analysis'!$K$7="Oui",IF('Table 1-C  Cont Factors'!L63="","N/A",'Table 1-C  Cont Factors'!L63),IF('Table 1-C  Cont Factors'!O63="F0",IF('Table 1-C  Cont Factors'!L63="","N/A","Score de Fiabilité nul-F0"),IF('Table 1-C  Cont Factors'!L63="","N/A",'Table 1-C  Cont Factors'!L63)))</f>
        <v>N/A</v>
      </c>
      <c r="C117" s="649"/>
      <c r="D117" s="649"/>
      <c r="E117" s="649"/>
      <c r="F117" s="649"/>
      <c r="G117" s="649"/>
      <c r="H117" s="649"/>
      <c r="I117" s="650"/>
      <c r="J117" s="57"/>
      <c r="K117" s="646"/>
      <c r="L117" s="646"/>
      <c r="M117" s="646"/>
      <c r="N117" s="646"/>
      <c r="O117" s="646"/>
      <c r="P117" s="647"/>
    </row>
    <row r="118" spans="1:16" ht="27" customHeight="1" x14ac:dyDescent="0.25">
      <c r="A118" s="691"/>
      <c r="B118" s="648" t="str">
        <f>IF('Table 1-B  Context Analysis'!$K$7="Oui",IF('Table 1-C  Cont Factors'!L64="","N/A",'Table 1-C  Cont Factors'!L64),IF('Table 1-C  Cont Factors'!O64="F0",IF('Table 1-C  Cont Factors'!L64="","N/A","Score de Fiabilité nul-F0"),IF('Table 1-C  Cont Factors'!L64="","N/A",'Table 1-C  Cont Factors'!L64)))</f>
        <v>N/A</v>
      </c>
      <c r="C118" s="649"/>
      <c r="D118" s="649"/>
      <c r="E118" s="649"/>
      <c r="F118" s="649"/>
      <c r="G118" s="649"/>
      <c r="H118" s="649"/>
      <c r="I118" s="650"/>
      <c r="J118" s="57"/>
      <c r="K118" s="646"/>
      <c r="L118" s="646"/>
      <c r="M118" s="646"/>
      <c r="N118" s="646"/>
      <c r="O118" s="646"/>
      <c r="P118" s="647"/>
    </row>
    <row r="119" spans="1:16" ht="27" customHeight="1" x14ac:dyDescent="0.25">
      <c r="A119" s="691"/>
      <c r="B119" s="648" t="str">
        <f>IF('Table 1-B  Context Analysis'!$K$7="Oui",IF('Table 1-C  Cont Factors'!L65="","N/A",'Table 1-C  Cont Factors'!L65),IF('Table 1-C  Cont Factors'!O65="F0",IF('Table 1-C  Cont Factors'!L65="","N/A","Score de Fiabilité nul-F0"),IF('Table 1-C  Cont Factors'!L65="","N/A",'Table 1-C  Cont Factors'!L65)))</f>
        <v>N/A</v>
      </c>
      <c r="C119" s="649"/>
      <c r="D119" s="649"/>
      <c r="E119" s="649"/>
      <c r="F119" s="649"/>
      <c r="G119" s="649"/>
      <c r="H119" s="649"/>
      <c r="I119" s="650"/>
      <c r="J119" s="57"/>
      <c r="K119" s="646"/>
      <c r="L119" s="646"/>
      <c r="M119" s="646"/>
      <c r="N119" s="646"/>
      <c r="O119" s="646"/>
      <c r="P119" s="647"/>
    </row>
    <row r="120" spans="1:16" ht="27" customHeight="1" x14ac:dyDescent="0.25">
      <c r="A120" s="691"/>
      <c r="B120" s="648" t="str">
        <f>IF('Table 1-B  Context Analysis'!$K$7="Oui",IF('Table 1-C  Cont Factors'!L66="","N/A",'Table 1-C  Cont Factors'!L66),IF('Table 1-C  Cont Factors'!O66="F0",IF('Table 1-C  Cont Factors'!L66="","N/A","Score de Fiabilité nul-F0"),IF('Table 1-C  Cont Factors'!L66="","N/A",'Table 1-C  Cont Factors'!L66)))</f>
        <v>N/A</v>
      </c>
      <c r="C120" s="649"/>
      <c r="D120" s="649"/>
      <c r="E120" s="649"/>
      <c r="F120" s="649"/>
      <c r="G120" s="649"/>
      <c r="H120" s="649"/>
      <c r="I120" s="650"/>
      <c r="J120" s="57"/>
      <c r="K120" s="646"/>
      <c r="L120" s="646"/>
      <c r="M120" s="646"/>
      <c r="N120" s="646"/>
      <c r="O120" s="646"/>
      <c r="P120" s="647"/>
    </row>
    <row r="121" spans="1:16" ht="27" customHeight="1" x14ac:dyDescent="0.25">
      <c r="A121" s="691"/>
      <c r="B121" s="648" t="str">
        <f>IF('Table 1-B  Context Analysis'!$K$7="Oui",IF('Table 1-C  Cont Factors'!L67="","N/A",'Table 1-C  Cont Factors'!L67),IF('Table 1-C  Cont Factors'!O67="F0",IF('Table 1-C  Cont Factors'!L67="","N/A","Score de Fiabilité nul-F0"),IF('Table 1-C  Cont Factors'!L67="","N/A",'Table 1-C  Cont Factors'!L67)))</f>
        <v>N/A</v>
      </c>
      <c r="C121" s="649"/>
      <c r="D121" s="649"/>
      <c r="E121" s="649"/>
      <c r="F121" s="649"/>
      <c r="G121" s="649"/>
      <c r="H121" s="649"/>
      <c r="I121" s="650"/>
      <c r="J121" s="57"/>
      <c r="K121" s="651"/>
      <c r="L121" s="646"/>
      <c r="M121" s="646"/>
      <c r="N121" s="646"/>
      <c r="O121" s="646"/>
      <c r="P121" s="647"/>
    </row>
    <row r="122" spans="1:16" ht="27" customHeight="1" x14ac:dyDescent="0.25">
      <c r="A122" s="691"/>
      <c r="B122" s="648" t="str">
        <f>IF('Table 1-B  Context Analysis'!$K$7="Oui",IF('Table 1-C  Cont Factors'!L68="","N/A",'Table 1-C  Cont Factors'!L68),IF('Table 1-C  Cont Factors'!O68="F0",IF('Table 1-C  Cont Factors'!L68="","N/A","Score de Fiabilité nul-F0"),IF('Table 1-C  Cont Factors'!L68="","N/A",'Table 1-C  Cont Factors'!L68)))</f>
        <v>N/A</v>
      </c>
      <c r="C122" s="649"/>
      <c r="D122" s="649"/>
      <c r="E122" s="649"/>
      <c r="F122" s="649"/>
      <c r="G122" s="649"/>
      <c r="H122" s="649"/>
      <c r="I122" s="650"/>
      <c r="J122" s="57"/>
      <c r="K122" s="646"/>
      <c r="L122" s="646"/>
      <c r="M122" s="646"/>
      <c r="N122" s="646"/>
      <c r="O122" s="646"/>
      <c r="P122" s="647"/>
    </row>
    <row r="123" spans="1:16" ht="27" customHeight="1" x14ac:dyDescent="0.25">
      <c r="A123" s="691"/>
      <c r="B123" s="648" t="str">
        <f>IF('Table 1-B  Context Analysis'!$K$7="Oui",IF('Table 1-C  Cont Factors'!L69="","N/A",'Table 1-C  Cont Factors'!L69),IF('Table 1-C  Cont Factors'!O69="F0",IF('Table 1-C  Cont Factors'!L69="","N/A","Score de Fiabilité nul-F0"),IF('Table 1-C  Cont Factors'!L69="","N/A",'Table 1-C  Cont Factors'!L69)))</f>
        <v>N/A</v>
      </c>
      <c r="C123" s="649"/>
      <c r="D123" s="649"/>
      <c r="E123" s="649"/>
      <c r="F123" s="649"/>
      <c r="G123" s="649"/>
      <c r="H123" s="649"/>
      <c r="I123" s="650"/>
      <c r="J123" s="57"/>
      <c r="K123" s="646"/>
      <c r="L123" s="646"/>
      <c r="M123" s="646"/>
      <c r="N123" s="646"/>
      <c r="O123" s="646"/>
      <c r="P123" s="647"/>
    </row>
    <row r="124" spans="1:16" ht="27" customHeight="1" x14ac:dyDescent="0.25">
      <c r="A124" s="691"/>
      <c r="B124" s="648" t="str">
        <f>IF('Table 1-B  Context Analysis'!$K$7="Oui",IF('Table 1-C  Cont Factors'!L70="","N/A",'Table 1-C  Cont Factors'!L70),IF('Table 1-C  Cont Factors'!O70="F0",IF('Table 1-C  Cont Factors'!L70="","N/A","Score de Fiabilité nul-F0"),IF('Table 1-C  Cont Factors'!L70="","N/A",'Table 1-C  Cont Factors'!L70)))</f>
        <v>N/A</v>
      </c>
      <c r="C124" s="649"/>
      <c r="D124" s="649"/>
      <c r="E124" s="649"/>
      <c r="F124" s="649"/>
      <c r="G124" s="649"/>
      <c r="H124" s="649"/>
      <c r="I124" s="650"/>
      <c r="J124" s="57"/>
      <c r="K124" s="651"/>
      <c r="L124" s="646"/>
      <c r="M124" s="646"/>
      <c r="N124" s="646"/>
      <c r="O124" s="646"/>
      <c r="P124" s="647"/>
    </row>
    <row r="125" spans="1:16" ht="34.5" customHeight="1" x14ac:dyDescent="0.25">
      <c r="A125" s="691"/>
      <c r="B125" s="706"/>
      <c r="C125" s="707"/>
      <c r="D125" s="707"/>
      <c r="E125" s="707"/>
      <c r="F125" s="707"/>
      <c r="G125" s="707"/>
      <c r="H125" s="707"/>
      <c r="I125" s="707"/>
      <c r="J125" s="57"/>
      <c r="K125" s="704"/>
      <c r="L125" s="704"/>
      <c r="M125" s="704"/>
      <c r="N125" s="704"/>
      <c r="O125" s="704"/>
      <c r="P125" s="705"/>
    </row>
    <row r="126" spans="1:16" ht="6.75" customHeight="1" x14ac:dyDescent="0.25">
      <c r="A126" s="691"/>
      <c r="B126" s="9"/>
      <c r="C126" s="9"/>
      <c r="D126" s="81"/>
      <c r="E126" s="81"/>
      <c r="F126" s="81"/>
      <c r="G126" s="81"/>
      <c r="H126" s="81"/>
      <c r="I126" s="81"/>
      <c r="J126" s="10"/>
      <c r="K126" s="9"/>
      <c r="L126" s="9"/>
      <c r="M126" s="9"/>
      <c r="N126" s="9"/>
      <c r="O126" s="9"/>
      <c r="P126" s="9"/>
    </row>
    <row r="127" spans="1:16" ht="12" customHeight="1" x14ac:dyDescent="0.25">
      <c r="A127" s="691"/>
      <c r="B127" s="669" t="s">
        <v>14</v>
      </c>
      <c r="C127" s="670"/>
      <c r="D127" s="695"/>
      <c r="E127" s="696"/>
      <c r="F127" s="696"/>
      <c r="G127" s="696"/>
      <c r="H127" s="696"/>
      <c r="I127" s="696"/>
      <c r="J127" s="57"/>
      <c r="K127" s="699"/>
      <c r="L127" s="696"/>
      <c r="M127" s="696"/>
      <c r="N127" s="696"/>
      <c r="O127" s="696"/>
      <c r="P127" s="700"/>
    </row>
    <row r="128" spans="1:16" ht="12" customHeight="1" x14ac:dyDescent="0.25">
      <c r="A128" s="691"/>
      <c r="B128" s="669"/>
      <c r="C128" s="670"/>
      <c r="D128" s="697"/>
      <c r="E128" s="698"/>
      <c r="F128" s="698"/>
      <c r="G128" s="698"/>
      <c r="H128" s="698"/>
      <c r="I128" s="698"/>
      <c r="J128" s="57"/>
      <c r="K128" s="698"/>
      <c r="L128" s="698"/>
      <c r="M128" s="698"/>
      <c r="N128" s="698"/>
      <c r="O128" s="698"/>
      <c r="P128" s="701"/>
    </row>
    <row r="129" spans="1:16" ht="12" customHeight="1" x14ac:dyDescent="0.25">
      <c r="A129" s="691"/>
      <c r="B129" s="669"/>
      <c r="C129" s="670"/>
      <c r="D129" s="697"/>
      <c r="E129" s="698"/>
      <c r="F129" s="698"/>
      <c r="G129" s="698"/>
      <c r="H129" s="698"/>
      <c r="I129" s="698"/>
      <c r="J129" s="57"/>
      <c r="K129" s="698"/>
      <c r="L129" s="698"/>
      <c r="M129" s="698"/>
      <c r="N129" s="698"/>
      <c r="O129" s="698"/>
      <c r="P129" s="701"/>
    </row>
    <row r="130" spans="1:16" ht="12" customHeight="1" x14ac:dyDescent="0.25">
      <c r="A130" s="691"/>
      <c r="B130" s="669"/>
      <c r="C130" s="670"/>
      <c r="D130" s="697"/>
      <c r="E130" s="698"/>
      <c r="F130" s="698"/>
      <c r="G130" s="698"/>
      <c r="H130" s="698"/>
      <c r="I130" s="698"/>
      <c r="J130" s="57"/>
      <c r="K130" s="698"/>
      <c r="L130" s="698"/>
      <c r="M130" s="698"/>
      <c r="N130" s="698"/>
      <c r="O130" s="698"/>
      <c r="P130" s="701"/>
    </row>
    <row r="131" spans="1:16" ht="12" customHeight="1" thickBot="1" x14ac:dyDescent="0.3">
      <c r="A131" s="691"/>
      <c r="B131" s="669"/>
      <c r="C131" s="670"/>
      <c r="D131" s="697"/>
      <c r="E131" s="698"/>
      <c r="F131" s="698"/>
      <c r="G131" s="698"/>
      <c r="H131" s="698"/>
      <c r="I131" s="698"/>
      <c r="J131" s="57"/>
      <c r="K131" s="702"/>
      <c r="L131" s="702"/>
      <c r="M131" s="702"/>
      <c r="N131" s="702"/>
      <c r="O131" s="702"/>
      <c r="P131" s="703"/>
    </row>
    <row r="132" spans="1:16" ht="15.75" customHeight="1" x14ac:dyDescent="0.25">
      <c r="A132" s="691"/>
      <c r="B132" s="644" t="s">
        <v>182</v>
      </c>
      <c r="C132" s="13"/>
      <c r="D132" s="674" t="s">
        <v>185</v>
      </c>
      <c r="E132" s="675"/>
      <c r="F132" s="676"/>
      <c r="G132" s="652" t="s">
        <v>186</v>
      </c>
      <c r="H132" s="653"/>
      <c r="I132" s="654"/>
      <c r="J132" s="14"/>
      <c r="K132" s="681" t="s">
        <v>185</v>
      </c>
      <c r="L132" s="682"/>
      <c r="M132" s="682"/>
      <c r="N132" s="655" t="s">
        <v>186</v>
      </c>
      <c r="O132" s="656"/>
      <c r="P132" s="657"/>
    </row>
    <row r="133" spans="1:16" ht="15.75" x14ac:dyDescent="0.25">
      <c r="A133" s="691"/>
      <c r="B133" s="671"/>
      <c r="C133" s="13"/>
      <c r="D133" s="311" t="s">
        <v>187</v>
      </c>
      <c r="E133" s="43" t="s">
        <v>188</v>
      </c>
      <c r="F133" s="310" t="s">
        <v>189</v>
      </c>
      <c r="G133" s="82" t="s">
        <v>189</v>
      </c>
      <c r="H133" s="83" t="s">
        <v>188</v>
      </c>
      <c r="I133" s="84" t="s">
        <v>187</v>
      </c>
      <c r="J133" s="14"/>
      <c r="K133" s="311" t="s">
        <v>187</v>
      </c>
      <c r="L133" s="43" t="s">
        <v>188</v>
      </c>
      <c r="M133" s="310" t="s">
        <v>189</v>
      </c>
      <c r="N133" s="40" t="s">
        <v>189</v>
      </c>
      <c r="O133" s="41" t="s">
        <v>188</v>
      </c>
      <c r="P133" s="42" t="s">
        <v>187</v>
      </c>
    </row>
    <row r="134" spans="1:16" ht="15.75" x14ac:dyDescent="0.25">
      <c r="A134" s="691"/>
      <c r="B134" s="671"/>
      <c r="C134" s="373" t="s">
        <v>183</v>
      </c>
      <c r="D134" s="139"/>
      <c r="E134" s="139"/>
      <c r="F134" s="164"/>
      <c r="G134" s="224"/>
      <c r="H134" s="139" t="s">
        <v>373</v>
      </c>
      <c r="I134" s="139"/>
      <c r="J134" s="10"/>
      <c r="K134" s="139"/>
      <c r="L134" s="139"/>
      <c r="M134" s="164"/>
      <c r="N134" s="224"/>
      <c r="O134" s="302" t="s">
        <v>373</v>
      </c>
      <c r="P134" s="139"/>
    </row>
    <row r="135" spans="1:16" ht="15.75" x14ac:dyDescent="0.25">
      <c r="A135" s="691"/>
      <c r="B135" s="671"/>
      <c r="C135" s="373" t="s">
        <v>184</v>
      </c>
      <c r="D135" s="139"/>
      <c r="E135" s="139"/>
      <c r="F135" s="164"/>
      <c r="G135" s="224"/>
      <c r="H135" s="139" t="s">
        <v>373</v>
      </c>
      <c r="I135" s="139"/>
      <c r="J135" s="10"/>
      <c r="K135" s="139"/>
      <c r="L135" s="139"/>
      <c r="M135" s="164"/>
      <c r="N135" s="224"/>
      <c r="O135" s="302" t="s">
        <v>373</v>
      </c>
      <c r="P135" s="139"/>
    </row>
    <row r="136" spans="1:16" ht="15.75" x14ac:dyDescent="0.25">
      <c r="A136" s="691"/>
      <c r="B136" s="671"/>
      <c r="C136" s="373" t="s">
        <v>15</v>
      </c>
      <c r="D136" s="139"/>
      <c r="E136" s="139"/>
      <c r="F136" s="164"/>
      <c r="G136" s="224"/>
      <c r="H136" s="139" t="s">
        <v>373</v>
      </c>
      <c r="I136" s="139"/>
      <c r="J136" s="10"/>
      <c r="K136" s="139"/>
      <c r="L136" s="139"/>
      <c r="M136" s="164"/>
      <c r="N136" s="224"/>
      <c r="O136" s="302" t="s">
        <v>373</v>
      </c>
      <c r="P136" s="139"/>
    </row>
    <row r="137" spans="1:16" ht="15.75" x14ac:dyDescent="0.25">
      <c r="A137" s="691"/>
      <c r="B137" s="672"/>
      <c r="C137" s="373" t="s">
        <v>16</v>
      </c>
      <c r="D137" s="139"/>
      <c r="E137" s="139"/>
      <c r="F137" s="164"/>
      <c r="G137" s="224"/>
      <c r="H137" s="139" t="s">
        <v>373</v>
      </c>
      <c r="I137" s="139"/>
      <c r="J137" s="10"/>
      <c r="K137" s="139"/>
      <c r="L137" s="139"/>
      <c r="M137" s="164"/>
      <c r="N137" s="224"/>
      <c r="O137" s="302" t="s">
        <v>373</v>
      </c>
      <c r="P137" s="139"/>
    </row>
    <row r="138" spans="1:16" ht="5.25" customHeight="1" x14ac:dyDescent="0.25">
      <c r="A138" s="691"/>
      <c r="B138" s="9"/>
      <c r="C138" s="9"/>
      <c r="D138" s="81"/>
      <c r="E138" s="81"/>
      <c r="F138" s="81"/>
      <c r="G138" s="81"/>
      <c r="H138" s="81"/>
      <c r="I138" s="81"/>
      <c r="J138" s="10"/>
      <c r="K138" s="9"/>
      <c r="L138" s="9"/>
      <c r="M138" s="9"/>
      <c r="N138" s="9"/>
      <c r="O138" s="9"/>
      <c r="P138" s="9"/>
    </row>
    <row r="139" spans="1:16" ht="24.75" x14ac:dyDescent="0.25">
      <c r="A139" s="691"/>
      <c r="B139" s="673" t="s">
        <v>197</v>
      </c>
      <c r="C139" s="673"/>
      <c r="D139" s="673"/>
      <c r="E139" s="673"/>
      <c r="F139" s="673"/>
      <c r="G139" s="516" t="s">
        <v>190</v>
      </c>
      <c r="H139" s="516" t="s">
        <v>191</v>
      </c>
      <c r="I139" s="516" t="s">
        <v>192</v>
      </c>
      <c r="J139" s="517"/>
      <c r="K139" s="662" t="s">
        <v>190</v>
      </c>
      <c r="L139" s="663"/>
      <c r="M139" s="662" t="s">
        <v>193</v>
      </c>
      <c r="N139" s="663"/>
      <c r="O139" s="662" t="s">
        <v>192</v>
      </c>
      <c r="P139" s="663"/>
    </row>
    <row r="140" spans="1:16" ht="76.5" customHeight="1" x14ac:dyDescent="0.25">
      <c r="A140" s="691"/>
      <c r="B140" s="673"/>
      <c r="C140" s="673"/>
      <c r="D140" s="673"/>
      <c r="E140" s="673"/>
      <c r="F140" s="673"/>
      <c r="G140" s="85"/>
      <c r="H140" s="163"/>
      <c r="I140" s="85"/>
      <c r="J140" s="16"/>
      <c r="K140" s="11"/>
      <c r="L140" s="4"/>
      <c r="M140" s="372"/>
      <c r="N140" s="372"/>
      <c r="O140" s="4"/>
      <c r="P140" s="4"/>
    </row>
    <row r="141" spans="1:16" ht="7.5" customHeight="1" x14ac:dyDescent="0.25">
      <c r="A141" s="5"/>
      <c r="B141" s="5"/>
      <c r="C141" s="8"/>
      <c r="D141" s="86"/>
      <c r="E141" s="86"/>
      <c r="F141" s="86"/>
      <c r="G141" s="86"/>
      <c r="H141" s="86"/>
      <c r="I141" s="86"/>
      <c r="J141" s="5"/>
      <c r="K141" s="5"/>
      <c r="L141" s="5"/>
      <c r="M141" s="5"/>
      <c r="N141" s="5"/>
      <c r="O141" s="5"/>
      <c r="P141" s="5"/>
    </row>
    <row r="142" spans="1:16" ht="22.5" customHeight="1" x14ac:dyDescent="0.25">
      <c r="A142" s="574" t="s">
        <v>135</v>
      </c>
      <c r="B142" s="648" t="str">
        <f>IF('Table 1-B  Context Analysis'!$K$7="Oui",IF('Table 1-C  Cont Factors'!L72="","N/A",'Table 1-C  Cont Factors'!L72),IF('Table 1-C  Cont Factors'!O72="F0",IF('Table 1-C  Cont Factors'!L72="","N/A","Score de Fiabilité nul-F0"),IF('Table 1-C  Cont Factors'!L72="","N/A",'Table 1-C  Cont Factors'!L72)))</f>
        <v>About 42.7% of the population will participate in the next dry season farming</v>
      </c>
      <c r="C142" s="649"/>
      <c r="D142" s="649"/>
      <c r="E142" s="649"/>
      <c r="F142" s="649"/>
      <c r="G142" s="649"/>
      <c r="H142" s="649"/>
      <c r="I142" s="650"/>
      <c r="J142" s="57"/>
      <c r="K142" s="651"/>
      <c r="L142" s="646"/>
      <c r="M142" s="646"/>
      <c r="N142" s="646"/>
      <c r="O142" s="646"/>
      <c r="P142" s="647"/>
    </row>
    <row r="143" spans="1:16" ht="36" customHeight="1" x14ac:dyDescent="0.25">
      <c r="A143" s="691"/>
      <c r="B143" s="730" t="str">
        <f>IF('Table 1-B  Context Analysis'!$K$7="Oui",IF('Table 1-C  Cont Factors'!L73="","N/A",'Table 1-C  Cont Factors'!L73),IF('Table 1-C  Cont Factors'!O73="F0",IF('Table 1-C  Cont Factors'!L73="","N/A","Score de Fiabilité nul-F0"),IF('Table 1-C  Cont Factors'!L73="","N/A",'Table 1-C  Cont Factors'!L73)))</f>
        <v>39.3% of the population have food stock to last only for 3-6 months and 20.0% will have stock for about 6-9months while 6% in 9-12 will experince low stock.</v>
      </c>
      <c r="C143" s="689"/>
      <c r="D143" s="689"/>
      <c r="E143" s="689"/>
      <c r="F143" s="689"/>
      <c r="G143" s="689"/>
      <c r="H143" s="689"/>
      <c r="I143" s="731"/>
      <c r="J143" s="57"/>
      <c r="K143" s="646"/>
      <c r="L143" s="646"/>
      <c r="M143" s="646"/>
      <c r="N143" s="646"/>
      <c r="O143" s="646"/>
      <c r="P143" s="647"/>
    </row>
    <row r="144" spans="1:16" ht="93.75" customHeight="1" x14ac:dyDescent="0.25">
      <c r="A144" s="691"/>
      <c r="B144" s="730" t="str">
        <f>IF('Table 1-B  Context Analysis'!$K$7="Oui",IF('Table 1-C  Cont Factors'!L74="","N/A",'Table 1-C  Cont Factors'!L74),IF('Table 1-C  Cont Factors'!O74="F0",IF('Table 1-C  Cont Factors'!L74="","N/A","Score de Fiabilité nul-F0"),IF('Table 1-C  Cont Factors'!L74="","N/A",'Table 1-C  Cont Factors'!L74)))</f>
        <v>N/A</v>
      </c>
      <c r="C144" s="689"/>
      <c r="D144" s="689"/>
      <c r="E144" s="689"/>
      <c r="F144" s="689"/>
      <c r="G144" s="689"/>
      <c r="H144" s="689"/>
      <c r="I144" s="731"/>
      <c r="J144" s="57"/>
      <c r="K144" s="651"/>
      <c r="L144" s="646"/>
      <c r="M144" s="646"/>
      <c r="N144" s="646"/>
      <c r="O144" s="646"/>
      <c r="P144" s="647"/>
    </row>
    <row r="145" spans="1:16" ht="22.5" customHeight="1" x14ac:dyDescent="0.25">
      <c r="A145" s="691"/>
      <c r="B145" s="648" t="str">
        <f>IF('Table 1-B  Context Analysis'!$K$7="Oui",IF('Table 1-C  Cont Factors'!L75="","N/A",'Table 1-C  Cont Factors'!L75),IF('Table 1-C  Cont Factors'!O75="F0",IF('Table 1-C  Cont Factors'!L75="","N/A","Score de Fiabilité nul-F0"),IF('Table 1-C  Cont Factors'!L75="","N/A",'Table 1-C  Cont Factors'!L75)))</f>
        <v>N/A</v>
      </c>
      <c r="C145" s="649"/>
      <c r="D145" s="649"/>
      <c r="E145" s="649"/>
      <c r="F145" s="649"/>
      <c r="G145" s="649"/>
      <c r="H145" s="649"/>
      <c r="I145" s="650"/>
      <c r="J145" s="57"/>
      <c r="K145" s="651"/>
      <c r="L145" s="646"/>
      <c r="M145" s="646"/>
      <c r="N145" s="646"/>
      <c r="O145" s="646"/>
      <c r="P145" s="647"/>
    </row>
    <row r="146" spans="1:16" ht="22.5" customHeight="1" x14ac:dyDescent="0.25">
      <c r="A146" s="691"/>
      <c r="B146" s="648" t="str">
        <f>IF('Table 1-B  Context Analysis'!$K$7="Oui",IF('Table 1-C  Cont Factors'!L76="","N/A",'Table 1-C  Cont Factors'!L76),IF('Table 1-C  Cont Factors'!O76="F0",IF('Table 1-C  Cont Factors'!L76="","N/A","Score de Fiabilité nul-F0"),IF('Table 1-C  Cont Factors'!L76="","N/A",'Table 1-C  Cont Factors'!L76)))</f>
        <v>N/A</v>
      </c>
      <c r="C146" s="649"/>
      <c r="D146" s="649"/>
      <c r="E146" s="649"/>
      <c r="F146" s="649"/>
      <c r="G146" s="649"/>
      <c r="H146" s="649"/>
      <c r="I146" s="650"/>
      <c r="J146" s="57"/>
      <c r="K146" s="646"/>
      <c r="L146" s="646"/>
      <c r="M146" s="646"/>
      <c r="N146" s="646"/>
      <c r="O146" s="646"/>
      <c r="P146" s="647"/>
    </row>
    <row r="147" spans="1:16" ht="22.5" customHeight="1" x14ac:dyDescent="0.25">
      <c r="A147" s="691"/>
      <c r="B147" s="648" t="str">
        <f>IF('Table 1-B  Context Analysis'!$K$7="Oui",IF('Table 1-C  Cont Factors'!L77="","N/A",'Table 1-C  Cont Factors'!L77),IF('Table 1-C  Cont Factors'!O77="F0",IF('Table 1-C  Cont Factors'!L77="","N/A","Score de Fiabilité nul-F0"),IF('Table 1-C  Cont Factors'!L77="","N/A",'Table 1-C  Cont Factors'!L77)))</f>
        <v>N/A</v>
      </c>
      <c r="C147" s="649"/>
      <c r="D147" s="649"/>
      <c r="E147" s="649"/>
      <c r="F147" s="649"/>
      <c r="G147" s="649"/>
      <c r="H147" s="649"/>
      <c r="I147" s="650"/>
      <c r="J147" s="57"/>
      <c r="K147" s="646"/>
      <c r="L147" s="646"/>
      <c r="M147" s="646"/>
      <c r="N147" s="646"/>
      <c r="O147" s="646"/>
      <c r="P147" s="647"/>
    </row>
    <row r="148" spans="1:16" ht="22.5" customHeight="1" x14ac:dyDescent="0.25">
      <c r="A148" s="691"/>
      <c r="B148" s="648" t="str">
        <f>IF('Table 1-B  Context Analysis'!$K$7="Oui",IF('Table 1-C  Cont Factors'!L78="","N/A",'Table 1-C  Cont Factors'!L78),IF('Table 1-C  Cont Factors'!O78="F0",IF('Table 1-C  Cont Factors'!L78="","N/A","Score de Fiabilité nul-F0"),IF('Table 1-C  Cont Factors'!L78="","N/A",'Table 1-C  Cont Factors'!L78)))</f>
        <v>N/A</v>
      </c>
      <c r="C148" s="649"/>
      <c r="D148" s="649"/>
      <c r="E148" s="649"/>
      <c r="F148" s="649"/>
      <c r="G148" s="649"/>
      <c r="H148" s="649"/>
      <c r="I148" s="650"/>
      <c r="J148" s="57"/>
      <c r="K148" s="651"/>
      <c r="L148" s="646"/>
      <c r="M148" s="646"/>
      <c r="N148" s="646"/>
      <c r="O148" s="646"/>
      <c r="P148" s="647"/>
    </row>
    <row r="149" spans="1:16" ht="22.5" customHeight="1" x14ac:dyDescent="0.25">
      <c r="A149" s="691"/>
      <c r="B149" s="648" t="str">
        <f>IF('Table 1-B  Context Analysis'!$K$7="Oui",IF('Table 1-C  Cont Factors'!L79="","N/A",'Table 1-C  Cont Factors'!L79),IF('Table 1-C  Cont Factors'!O79="F0",IF('Table 1-C  Cont Factors'!L79="","N/A","Score de Fiabilité nul-F0"),IF('Table 1-C  Cont Factors'!L79="","N/A",'Table 1-C  Cont Factors'!L79)))</f>
        <v>N/A</v>
      </c>
      <c r="C149" s="649"/>
      <c r="D149" s="649"/>
      <c r="E149" s="649"/>
      <c r="F149" s="649"/>
      <c r="G149" s="649"/>
      <c r="H149" s="649"/>
      <c r="I149" s="650"/>
      <c r="J149" s="57"/>
      <c r="K149" s="646"/>
      <c r="L149" s="646"/>
      <c r="M149" s="646"/>
      <c r="N149" s="646"/>
      <c r="O149" s="646"/>
      <c r="P149" s="647"/>
    </row>
    <row r="150" spans="1:16" ht="22.5" customHeight="1" x14ac:dyDescent="0.25">
      <c r="A150" s="691"/>
      <c r="B150" s="648" t="str">
        <f>IF('Table 1-B  Context Analysis'!$K$7="Oui",IF('Table 1-C  Cont Factors'!L80="","N/A",'Table 1-C  Cont Factors'!L80),IF('Table 1-C  Cont Factors'!O80="F0",IF('Table 1-C  Cont Factors'!L80="","N/A","Score de Fiabilité nul-F0"),IF('Table 1-C  Cont Factors'!L80="","N/A",'Table 1-C  Cont Factors'!L80)))</f>
        <v>N/A</v>
      </c>
      <c r="C150" s="649"/>
      <c r="D150" s="649"/>
      <c r="E150" s="649"/>
      <c r="F150" s="649"/>
      <c r="G150" s="649"/>
      <c r="H150" s="649"/>
      <c r="I150" s="650"/>
      <c r="J150" s="57"/>
      <c r="K150" s="646"/>
      <c r="L150" s="646"/>
      <c r="M150" s="646"/>
      <c r="N150" s="646"/>
      <c r="O150" s="646"/>
      <c r="P150" s="647"/>
    </row>
    <row r="151" spans="1:16" ht="22.5" customHeight="1" x14ac:dyDescent="0.25">
      <c r="A151" s="691"/>
      <c r="B151" s="648" t="str">
        <f>IF('Table 1-B  Context Analysis'!$K$7="Oui",IF('Table 1-C  Cont Factors'!L81="","N/A",'Table 1-C  Cont Factors'!L81),IF('Table 1-C  Cont Factors'!O81="F0",IF('Table 1-C  Cont Factors'!L81="","N/A","Score de Fiabilité nul-F0"),IF('Table 1-C  Cont Factors'!L81="","N/A",'Table 1-C  Cont Factors'!L81)))</f>
        <v>N/A</v>
      </c>
      <c r="C151" s="649"/>
      <c r="D151" s="649"/>
      <c r="E151" s="649"/>
      <c r="F151" s="649"/>
      <c r="G151" s="649"/>
      <c r="H151" s="649"/>
      <c r="I151" s="650"/>
      <c r="J151" s="57"/>
      <c r="K151" s="651"/>
      <c r="L151" s="646"/>
      <c r="M151" s="646"/>
      <c r="N151" s="646"/>
      <c r="O151" s="646"/>
      <c r="P151" s="647"/>
    </row>
    <row r="152" spans="1:16" ht="22.5" customHeight="1" x14ac:dyDescent="0.25">
      <c r="A152" s="691"/>
      <c r="B152" s="648" t="str">
        <f>IF('Table 1-B  Context Analysis'!$K$7="Oui",IF('Table 1-C  Cont Factors'!L82="","N/A",'Table 1-C  Cont Factors'!L82),IF('Table 1-C  Cont Factors'!O82="F0",IF('Table 1-C  Cont Factors'!L82="","N/A","Score de Fiabilité nul-F0"),IF('Table 1-C  Cont Factors'!L82="","N/A",'Table 1-C  Cont Factors'!L82)))</f>
        <v>N/A</v>
      </c>
      <c r="C152" s="649"/>
      <c r="D152" s="649"/>
      <c r="E152" s="649"/>
      <c r="F152" s="649"/>
      <c r="G152" s="649"/>
      <c r="H152" s="649"/>
      <c r="I152" s="650"/>
      <c r="J152" s="57"/>
      <c r="K152" s="646"/>
      <c r="L152" s="646"/>
      <c r="M152" s="646"/>
      <c r="N152" s="646"/>
      <c r="O152" s="646"/>
      <c r="P152" s="647"/>
    </row>
    <row r="153" spans="1:16" ht="22.5" customHeight="1" x14ac:dyDescent="0.25">
      <c r="A153" s="691"/>
      <c r="B153" s="648" t="str">
        <f>IF('Table 1-B  Context Analysis'!$K$7="Oui",IF('Table 1-C  Cont Factors'!L83="","N/A",'Table 1-C  Cont Factors'!L83),IF('Table 1-C  Cont Factors'!O83="F0",IF('Table 1-C  Cont Factors'!L83="","N/A","Score de Fiabilité nul-F0"),IF('Table 1-C  Cont Factors'!L83="","N/A",'Table 1-C  Cont Factors'!L83)))</f>
        <v>N/A</v>
      </c>
      <c r="C153" s="649"/>
      <c r="D153" s="649"/>
      <c r="E153" s="649"/>
      <c r="F153" s="649"/>
      <c r="G153" s="649"/>
      <c r="H153" s="649"/>
      <c r="I153" s="650"/>
      <c r="J153" s="57"/>
      <c r="K153" s="646"/>
      <c r="L153" s="646"/>
      <c r="M153" s="646"/>
      <c r="N153" s="646"/>
      <c r="O153" s="646"/>
      <c r="P153" s="647"/>
    </row>
    <row r="154" spans="1:16" ht="22.5" customHeight="1" x14ac:dyDescent="0.25">
      <c r="A154" s="691"/>
      <c r="B154" s="648" t="str">
        <f>IF('Table 1-B  Context Analysis'!$K$7="Oui",IF('Table 1-C  Cont Factors'!L84="","N/A",'Table 1-C  Cont Factors'!L84),IF('Table 1-C  Cont Factors'!O84="F0",IF('Table 1-C  Cont Factors'!L84="","N/A","Score de Fiabilité nul-F0"),IF('Table 1-C  Cont Factors'!L84="","N/A",'Table 1-C  Cont Factors'!L84)))</f>
        <v>N/A</v>
      </c>
      <c r="C154" s="649"/>
      <c r="D154" s="649"/>
      <c r="E154" s="649"/>
      <c r="F154" s="649"/>
      <c r="G154" s="649"/>
      <c r="H154" s="649"/>
      <c r="I154" s="650"/>
      <c r="J154" s="57"/>
      <c r="K154" s="651"/>
      <c r="L154" s="646"/>
      <c r="M154" s="646"/>
      <c r="N154" s="646"/>
      <c r="O154" s="646"/>
      <c r="P154" s="647"/>
    </row>
    <row r="155" spans="1:16" ht="22.5" customHeight="1" x14ac:dyDescent="0.25">
      <c r="A155" s="691"/>
      <c r="B155" s="648" t="str">
        <f>IF('Table 1-B  Context Analysis'!$K$7="Oui",IF('Table 1-C  Cont Factors'!L85="","N/A",'Table 1-C  Cont Factors'!L85),IF('Table 1-C  Cont Factors'!O85="F0",IF('Table 1-C  Cont Factors'!L85="","N/A","Score de Fiabilité nul-F0"),IF('Table 1-C  Cont Factors'!L85="","N/A",'Table 1-C  Cont Factors'!L85)))</f>
        <v>N/A</v>
      </c>
      <c r="C155" s="649"/>
      <c r="D155" s="649"/>
      <c r="E155" s="649"/>
      <c r="F155" s="649"/>
      <c r="G155" s="649"/>
      <c r="H155" s="649"/>
      <c r="I155" s="650"/>
      <c r="J155" s="57"/>
      <c r="K155" s="646"/>
      <c r="L155" s="646"/>
      <c r="M155" s="646"/>
      <c r="N155" s="646"/>
      <c r="O155" s="646"/>
      <c r="P155" s="647"/>
    </row>
    <row r="156" spans="1:16" ht="22.5" customHeight="1" x14ac:dyDescent="0.25">
      <c r="A156" s="691"/>
      <c r="B156" s="648" t="str">
        <f>IF('Table 1-B  Context Analysis'!$K$7="Oui",IF('Table 1-C  Cont Factors'!L86="","N/A",'Table 1-C  Cont Factors'!L86),IF('Table 1-C  Cont Factors'!O86="F0",IF('Table 1-C  Cont Factors'!L86="","N/A","Score de Fiabilité nul-F0"),IF('Table 1-C  Cont Factors'!L86="","N/A",'Table 1-C  Cont Factors'!L86)))</f>
        <v>N/A</v>
      </c>
      <c r="C156" s="649"/>
      <c r="D156" s="649"/>
      <c r="E156" s="649"/>
      <c r="F156" s="649"/>
      <c r="G156" s="649"/>
      <c r="H156" s="649"/>
      <c r="I156" s="650"/>
      <c r="J156" s="57"/>
      <c r="K156" s="646"/>
      <c r="L156" s="646"/>
      <c r="M156" s="646"/>
      <c r="N156" s="646"/>
      <c r="O156" s="646"/>
      <c r="P156" s="647"/>
    </row>
    <row r="157" spans="1:16" ht="22.5" customHeight="1" x14ac:dyDescent="0.25">
      <c r="A157" s="691"/>
      <c r="B157" s="88"/>
      <c r="C157" s="89"/>
      <c r="D157" s="89"/>
      <c r="E157" s="89"/>
      <c r="F157" s="89"/>
      <c r="G157" s="89"/>
      <c r="H157" s="89"/>
      <c r="I157" s="89"/>
      <c r="J157" s="57"/>
      <c r="K157" s="704"/>
      <c r="L157" s="704"/>
      <c r="M157" s="704"/>
      <c r="N157" s="704"/>
      <c r="O157" s="704"/>
      <c r="P157" s="705"/>
    </row>
    <row r="158" spans="1:16" ht="9.6" customHeight="1" x14ac:dyDescent="0.25">
      <c r="A158" s="691"/>
      <c r="B158" s="9"/>
      <c r="C158" s="9"/>
      <c r="D158" s="81"/>
      <c r="E158" s="81"/>
      <c r="F158" s="81"/>
      <c r="G158" s="81"/>
      <c r="H158" s="81"/>
      <c r="I158" s="81"/>
      <c r="J158" s="10"/>
      <c r="K158" s="9"/>
      <c r="L158" s="9"/>
      <c r="M158" s="9"/>
      <c r="N158" s="9"/>
      <c r="O158" s="9"/>
      <c r="P158" s="9"/>
    </row>
    <row r="159" spans="1:16" ht="15" customHeight="1" x14ac:dyDescent="0.25">
      <c r="A159" s="691"/>
      <c r="B159" s="693" t="s">
        <v>14</v>
      </c>
      <c r="C159" s="694"/>
      <c r="D159" s="695"/>
      <c r="E159" s="696"/>
      <c r="F159" s="696"/>
      <c r="G159" s="696"/>
      <c r="H159" s="696"/>
      <c r="I159" s="696"/>
      <c r="J159" s="57"/>
      <c r="K159" s="699"/>
      <c r="L159" s="696"/>
      <c r="M159" s="696"/>
      <c r="N159" s="696"/>
      <c r="O159" s="696"/>
      <c r="P159" s="700"/>
    </row>
    <row r="160" spans="1:16" ht="15" customHeight="1" x14ac:dyDescent="0.25">
      <c r="A160" s="691"/>
      <c r="B160" s="693"/>
      <c r="C160" s="694"/>
      <c r="D160" s="697"/>
      <c r="E160" s="698"/>
      <c r="F160" s="698"/>
      <c r="G160" s="698"/>
      <c r="H160" s="698"/>
      <c r="I160" s="698"/>
      <c r="J160" s="57"/>
      <c r="K160" s="698"/>
      <c r="L160" s="698"/>
      <c r="M160" s="698"/>
      <c r="N160" s="698"/>
      <c r="O160" s="698"/>
      <c r="P160" s="701"/>
    </row>
    <row r="161" spans="1:16" ht="15" customHeight="1" x14ac:dyDescent="0.25">
      <c r="A161" s="691"/>
      <c r="B161" s="693"/>
      <c r="C161" s="694"/>
      <c r="D161" s="697"/>
      <c r="E161" s="698"/>
      <c r="F161" s="698"/>
      <c r="G161" s="698"/>
      <c r="H161" s="698"/>
      <c r="I161" s="698"/>
      <c r="J161" s="57"/>
      <c r="K161" s="698"/>
      <c r="L161" s="698"/>
      <c r="M161" s="698"/>
      <c r="N161" s="698"/>
      <c r="O161" s="698"/>
      <c r="P161" s="701"/>
    </row>
    <row r="162" spans="1:16" ht="15" customHeight="1" x14ac:dyDescent="0.25">
      <c r="A162" s="691"/>
      <c r="B162" s="693"/>
      <c r="C162" s="694"/>
      <c r="D162" s="697"/>
      <c r="E162" s="698"/>
      <c r="F162" s="698"/>
      <c r="G162" s="698"/>
      <c r="H162" s="698"/>
      <c r="I162" s="698"/>
      <c r="J162" s="57"/>
      <c r="K162" s="698"/>
      <c r="L162" s="698"/>
      <c r="M162" s="698"/>
      <c r="N162" s="698"/>
      <c r="O162" s="698"/>
      <c r="P162" s="701"/>
    </row>
    <row r="163" spans="1:16" ht="15" customHeight="1" thickBot="1" x14ac:dyDescent="0.3">
      <c r="A163" s="691"/>
      <c r="B163" s="693"/>
      <c r="C163" s="694"/>
      <c r="D163" s="697"/>
      <c r="E163" s="698"/>
      <c r="F163" s="698"/>
      <c r="G163" s="698"/>
      <c r="H163" s="698"/>
      <c r="I163" s="698"/>
      <c r="J163" s="57"/>
      <c r="K163" s="702"/>
      <c r="L163" s="702"/>
      <c r="M163" s="702"/>
      <c r="N163" s="702"/>
      <c r="O163" s="702"/>
      <c r="P163" s="703"/>
    </row>
    <row r="164" spans="1:16" ht="15.75" customHeight="1" x14ac:dyDescent="0.25">
      <c r="A164" s="691"/>
      <c r="B164" s="644" t="s">
        <v>182</v>
      </c>
      <c r="C164" s="13"/>
      <c r="D164" s="674" t="s">
        <v>185</v>
      </c>
      <c r="E164" s="675"/>
      <c r="F164" s="676"/>
      <c r="G164" s="652" t="s">
        <v>186</v>
      </c>
      <c r="H164" s="653"/>
      <c r="I164" s="654"/>
      <c r="J164" s="14"/>
      <c r="K164" s="681" t="s">
        <v>185</v>
      </c>
      <c r="L164" s="682"/>
      <c r="M164" s="682"/>
      <c r="N164" s="655" t="s">
        <v>186</v>
      </c>
      <c r="O164" s="656"/>
      <c r="P164" s="657"/>
    </row>
    <row r="165" spans="1:16" ht="15.75" x14ac:dyDescent="0.25">
      <c r="A165" s="691"/>
      <c r="B165" s="671"/>
      <c r="C165" s="13"/>
      <c r="D165" s="311" t="s">
        <v>187</v>
      </c>
      <c r="E165" s="43" t="s">
        <v>188</v>
      </c>
      <c r="F165" s="310" t="s">
        <v>189</v>
      </c>
      <c r="G165" s="82" t="s">
        <v>189</v>
      </c>
      <c r="H165" s="83" t="s">
        <v>188</v>
      </c>
      <c r="I165" s="84" t="s">
        <v>187</v>
      </c>
      <c r="J165" s="14"/>
      <c r="K165" s="311" t="s">
        <v>187</v>
      </c>
      <c r="L165" s="43" t="s">
        <v>188</v>
      </c>
      <c r="M165" s="310" t="s">
        <v>189</v>
      </c>
      <c r="N165" s="40" t="s">
        <v>189</v>
      </c>
      <c r="O165" s="41" t="s">
        <v>188</v>
      </c>
      <c r="P165" s="42" t="s">
        <v>187</v>
      </c>
    </row>
    <row r="166" spans="1:16" ht="15.75" x14ac:dyDescent="0.25">
      <c r="A166" s="691"/>
      <c r="B166" s="671"/>
      <c r="C166" s="373" t="s">
        <v>183</v>
      </c>
      <c r="D166" s="139"/>
      <c r="E166" s="139"/>
      <c r="F166" s="164" t="s">
        <v>373</v>
      </c>
      <c r="G166" s="224"/>
      <c r="H166" s="139"/>
      <c r="I166" s="139"/>
      <c r="J166" s="165"/>
      <c r="K166" s="139"/>
      <c r="L166" s="139"/>
      <c r="M166" s="164"/>
      <c r="N166" s="224"/>
      <c r="O166" s="139"/>
      <c r="P166" s="139" t="s">
        <v>373</v>
      </c>
    </row>
    <row r="167" spans="1:16" ht="15.75" x14ac:dyDescent="0.25">
      <c r="A167" s="691"/>
      <c r="B167" s="671"/>
      <c r="C167" s="373" t="s">
        <v>184</v>
      </c>
      <c r="D167" s="139"/>
      <c r="E167" s="139"/>
      <c r="F167" s="164" t="s">
        <v>373</v>
      </c>
      <c r="G167" s="224"/>
      <c r="H167" s="139"/>
      <c r="I167" s="139"/>
      <c r="J167" s="165"/>
      <c r="K167" s="139"/>
      <c r="L167" s="139"/>
      <c r="M167" s="164"/>
      <c r="N167" s="224"/>
      <c r="O167" s="139"/>
      <c r="P167" s="139" t="s">
        <v>373</v>
      </c>
    </row>
    <row r="168" spans="1:16" ht="15.75" x14ac:dyDescent="0.25">
      <c r="A168" s="691"/>
      <c r="B168" s="671"/>
      <c r="C168" s="373" t="s">
        <v>15</v>
      </c>
      <c r="D168" s="139"/>
      <c r="E168" s="139"/>
      <c r="F168" s="164" t="s">
        <v>373</v>
      </c>
      <c r="G168" s="224"/>
      <c r="H168" s="139"/>
      <c r="I168" s="139"/>
      <c r="J168" s="165"/>
      <c r="K168" s="139"/>
      <c r="L168" s="139"/>
      <c r="M168" s="164"/>
      <c r="N168" s="224"/>
      <c r="O168" s="139"/>
      <c r="P168" s="139" t="s">
        <v>373</v>
      </c>
    </row>
    <row r="169" spans="1:16" ht="15.75" x14ac:dyDescent="0.25">
      <c r="A169" s="691"/>
      <c r="B169" s="672"/>
      <c r="C169" s="373" t="s">
        <v>16</v>
      </c>
      <c r="D169" s="139"/>
      <c r="E169" s="139"/>
      <c r="F169" s="164" t="s">
        <v>373</v>
      </c>
      <c r="G169" s="224"/>
      <c r="H169" s="139"/>
      <c r="I169" s="139"/>
      <c r="J169" s="165"/>
      <c r="K169" s="139"/>
      <c r="L169" s="139"/>
      <c r="M169" s="164"/>
      <c r="N169" s="224"/>
      <c r="O169" s="139"/>
      <c r="P169" s="139" t="s">
        <v>373</v>
      </c>
    </row>
    <row r="170" spans="1:16" ht="8.85" customHeight="1" x14ac:dyDescent="0.25">
      <c r="A170" s="691"/>
      <c r="B170" s="9"/>
      <c r="C170" s="9"/>
      <c r="D170" s="81"/>
      <c r="E170" s="81"/>
      <c r="F170" s="81"/>
      <c r="G170" s="81"/>
      <c r="H170" s="81"/>
      <c r="I170" s="81"/>
      <c r="J170" s="10"/>
      <c r="K170" s="9"/>
      <c r="L170" s="9"/>
      <c r="M170" s="9"/>
      <c r="N170" s="9"/>
      <c r="O170" s="9"/>
      <c r="P170" s="9"/>
    </row>
    <row r="171" spans="1:16" ht="24.75" x14ac:dyDescent="0.25">
      <c r="A171" s="691"/>
      <c r="B171" s="673" t="s">
        <v>198</v>
      </c>
      <c r="C171" s="673"/>
      <c r="D171" s="673"/>
      <c r="E171" s="673"/>
      <c r="F171" s="673"/>
      <c r="G171" s="516" t="s">
        <v>190</v>
      </c>
      <c r="H171" s="516" t="s">
        <v>191</v>
      </c>
      <c r="I171" s="516" t="s">
        <v>192</v>
      </c>
      <c r="J171" s="517"/>
      <c r="K171" s="662" t="s">
        <v>190</v>
      </c>
      <c r="L171" s="663"/>
      <c r="M171" s="662" t="s">
        <v>193</v>
      </c>
      <c r="N171" s="663"/>
      <c r="O171" s="662" t="s">
        <v>192</v>
      </c>
      <c r="P171" s="663"/>
    </row>
    <row r="172" spans="1:16" ht="64.5" customHeight="1" x14ac:dyDescent="0.25">
      <c r="A172" s="691"/>
      <c r="B172" s="673"/>
      <c r="C172" s="673"/>
      <c r="D172" s="673"/>
      <c r="E172" s="673"/>
      <c r="F172" s="673"/>
      <c r="G172" s="139"/>
      <c r="H172" s="139"/>
      <c r="I172" s="404"/>
      <c r="J172" s="405"/>
      <c r="K172" s="139"/>
      <c r="L172" s="404"/>
      <c r="M172" s="139"/>
      <c r="N172" s="404"/>
      <c r="O172" s="404"/>
      <c r="P172" s="404"/>
    </row>
    <row r="173" spans="1:16" ht="7.5" customHeight="1" x14ac:dyDescent="0.25">
      <c r="A173" s="5"/>
      <c r="B173" s="5"/>
      <c r="C173" s="8"/>
      <c r="D173" s="86"/>
      <c r="E173" s="86"/>
      <c r="F173" s="86"/>
      <c r="G173" s="86"/>
      <c r="H173" s="86"/>
      <c r="I173" s="86"/>
      <c r="J173" s="5"/>
      <c r="K173" s="5"/>
      <c r="L173" s="5"/>
      <c r="M173" s="5"/>
      <c r="N173" s="5"/>
      <c r="O173" s="5"/>
      <c r="P173" s="5"/>
    </row>
  </sheetData>
  <sheetProtection formatCells="0" formatColumns="0" formatRows="0" insertRows="0"/>
  <protectedRanges>
    <protectedRange sqref="D63:I67" name="Range5"/>
    <protectedRange sqref="D95:I99 K95:P99" name="Range3"/>
    <protectedRange sqref="K13:P17 K140:P140 K28:P32 K35:P38 K41:P43 K45:P59 K63:P67 K70:P73 K159:P163 K78:P92 K96:P99 K102:P105 K76:P76 K110:P124 K127:P131 K134:P137 K108:P108 K142:P156 K21:P25" name="Range2"/>
    <protectedRange sqref="G140:I140 D166:I169 D159:I163 G108:I108 D134:I137 D127:I131 G76:I76 D102:I105 D97:I99 D28:I32 D70:I73 D63:I66 G41:I43 D35:I38 G172:I172" name="Range1"/>
    <protectedRange sqref="K166:P169 K172:P172" name="Range4"/>
  </protectedRanges>
  <mergeCells count="242">
    <mergeCell ref="B84:I84"/>
    <mergeCell ref="K84:P84"/>
    <mergeCell ref="B117:I117"/>
    <mergeCell ref="K117:P117"/>
    <mergeCell ref="B143:I143"/>
    <mergeCell ref="K143:P143"/>
    <mergeCell ref="B144:I144"/>
    <mergeCell ref="K144:P144"/>
    <mergeCell ref="B145:I145"/>
    <mergeCell ref="K145:P145"/>
    <mergeCell ref="B115:I115"/>
    <mergeCell ref="B116:I116"/>
    <mergeCell ref="B123:I123"/>
    <mergeCell ref="B124:I124"/>
    <mergeCell ref="K85:P85"/>
    <mergeCell ref="K92:P92"/>
    <mergeCell ref="K112:P112"/>
    <mergeCell ref="K93:P93"/>
    <mergeCell ref="B110:I110"/>
    <mergeCell ref="B111:I111"/>
    <mergeCell ref="B112:I112"/>
    <mergeCell ref="B87:I87"/>
    <mergeCell ref="K87:P87"/>
    <mergeCell ref="B88:I88"/>
    <mergeCell ref="K50:P50"/>
    <mergeCell ref="I41:I43"/>
    <mergeCell ref="K41:L43"/>
    <mergeCell ref="N68:P68"/>
    <mergeCell ref="B81:I81"/>
    <mergeCell ref="K81:P81"/>
    <mergeCell ref="B82:I82"/>
    <mergeCell ref="K82:P82"/>
    <mergeCell ref="B57:I57"/>
    <mergeCell ref="K61:P61"/>
    <mergeCell ref="K75:L75"/>
    <mergeCell ref="M75:N75"/>
    <mergeCell ref="O75:P75"/>
    <mergeCell ref="O41:P43"/>
    <mergeCell ref="K76:L76"/>
    <mergeCell ref="M76:N76"/>
    <mergeCell ref="O76:P76"/>
    <mergeCell ref="B83:I83"/>
    <mergeCell ref="K83:P83"/>
    <mergeCell ref="G68:I68"/>
    <mergeCell ref="B46:I46"/>
    <mergeCell ref="K46:P46"/>
    <mergeCell ref="B47:I47"/>
    <mergeCell ref="K47:P47"/>
    <mergeCell ref="B48:I48"/>
    <mergeCell ref="K48:P48"/>
    <mergeCell ref="B49:I49"/>
    <mergeCell ref="K49:P49"/>
    <mergeCell ref="K51:P51"/>
    <mergeCell ref="B60:I60"/>
    <mergeCell ref="B58:I58"/>
    <mergeCell ref="B59:I59"/>
    <mergeCell ref="B61:I61"/>
    <mergeCell ref="B53:I53"/>
    <mergeCell ref="K53:P53"/>
    <mergeCell ref="B54:I54"/>
    <mergeCell ref="K54:P54"/>
    <mergeCell ref="B55:I55"/>
    <mergeCell ref="K55:P55"/>
    <mergeCell ref="B56:I56"/>
    <mergeCell ref="K56:P56"/>
    <mergeCell ref="D6:E6"/>
    <mergeCell ref="G33:I33"/>
    <mergeCell ref="N33:P33"/>
    <mergeCell ref="M41:N43"/>
    <mergeCell ref="D14:I14"/>
    <mergeCell ref="D16:I16"/>
    <mergeCell ref="D17:I17"/>
    <mergeCell ref="D15:I15"/>
    <mergeCell ref="D18:I18"/>
    <mergeCell ref="D8:E8"/>
    <mergeCell ref="D19:I19"/>
    <mergeCell ref="D26:I26"/>
    <mergeCell ref="K21:P21"/>
    <mergeCell ref="K22:P22"/>
    <mergeCell ref="D21:I21"/>
    <mergeCell ref="K23:P23"/>
    <mergeCell ref="K24:P24"/>
    <mergeCell ref="K25:P25"/>
    <mergeCell ref="K26:P26"/>
    <mergeCell ref="D23:I23"/>
    <mergeCell ref="D24:I24"/>
    <mergeCell ref="D25:I25"/>
    <mergeCell ref="A45:A76"/>
    <mergeCell ref="G41:G43"/>
    <mergeCell ref="H41:H43"/>
    <mergeCell ref="D28:I32"/>
    <mergeCell ref="K28:P32"/>
    <mergeCell ref="B13:C19"/>
    <mergeCell ref="B21:C27"/>
    <mergeCell ref="B63:C67"/>
    <mergeCell ref="D63:I67"/>
    <mergeCell ref="K63:P67"/>
    <mergeCell ref="B68:B73"/>
    <mergeCell ref="D68:F68"/>
    <mergeCell ref="K68:M68"/>
    <mergeCell ref="B45:I45"/>
    <mergeCell ref="B50:I50"/>
    <mergeCell ref="B51:I51"/>
    <mergeCell ref="K13:P13"/>
    <mergeCell ref="K14:P14"/>
    <mergeCell ref="D22:I22"/>
    <mergeCell ref="B52:I52"/>
    <mergeCell ref="K45:P45"/>
    <mergeCell ref="B75:F76"/>
    <mergeCell ref="K15:P15"/>
    <mergeCell ref="K60:P60"/>
    <mergeCell ref="A78:A108"/>
    <mergeCell ref="B95:C99"/>
    <mergeCell ref="D95:I99"/>
    <mergeCell ref="K95:P99"/>
    <mergeCell ref="B100:B105"/>
    <mergeCell ref="D100:F100"/>
    <mergeCell ref="K100:M100"/>
    <mergeCell ref="B107:F108"/>
    <mergeCell ref="K107:L107"/>
    <mergeCell ref="M107:N107"/>
    <mergeCell ref="O107:P107"/>
    <mergeCell ref="B78:I78"/>
    <mergeCell ref="B79:I79"/>
    <mergeCell ref="B80:I80"/>
    <mergeCell ref="B85:I85"/>
    <mergeCell ref="B91:I91"/>
    <mergeCell ref="B92:I92"/>
    <mergeCell ref="B93:I93"/>
    <mergeCell ref="K78:P78"/>
    <mergeCell ref="K79:P79"/>
    <mergeCell ref="K80:P80"/>
    <mergeCell ref="K91:P91"/>
    <mergeCell ref="B86:I86"/>
    <mergeCell ref="K86:P86"/>
    <mergeCell ref="A110:A140"/>
    <mergeCell ref="B127:C131"/>
    <mergeCell ref="D127:I131"/>
    <mergeCell ref="K127:P131"/>
    <mergeCell ref="B132:B137"/>
    <mergeCell ref="D132:F132"/>
    <mergeCell ref="K132:M132"/>
    <mergeCell ref="B139:F140"/>
    <mergeCell ref="K139:L139"/>
    <mergeCell ref="M139:N139"/>
    <mergeCell ref="O139:P139"/>
    <mergeCell ref="K110:P110"/>
    <mergeCell ref="K111:P111"/>
    <mergeCell ref="K115:P115"/>
    <mergeCell ref="B125:I125"/>
    <mergeCell ref="K116:P116"/>
    <mergeCell ref="K123:P123"/>
    <mergeCell ref="K124:P124"/>
    <mergeCell ref="K125:P125"/>
    <mergeCell ref="B113:I113"/>
    <mergeCell ref="K113:P113"/>
    <mergeCell ref="B114:I114"/>
    <mergeCell ref="K114:P114"/>
    <mergeCell ref="B120:I120"/>
    <mergeCell ref="A142:A172"/>
    <mergeCell ref="B159:C163"/>
    <mergeCell ref="D159:I163"/>
    <mergeCell ref="K159:P163"/>
    <mergeCell ref="B164:B169"/>
    <mergeCell ref="D164:F164"/>
    <mergeCell ref="K164:M164"/>
    <mergeCell ref="B171:F172"/>
    <mergeCell ref="K171:L171"/>
    <mergeCell ref="M171:N171"/>
    <mergeCell ref="O171:P171"/>
    <mergeCell ref="B142:I142"/>
    <mergeCell ref="B147:I147"/>
    <mergeCell ref="B148:I148"/>
    <mergeCell ref="K157:P157"/>
    <mergeCell ref="B154:I154"/>
    <mergeCell ref="B156:I156"/>
    <mergeCell ref="K142:P142"/>
    <mergeCell ref="K147:P147"/>
    <mergeCell ref="K148:P148"/>
    <mergeCell ref="K154:P154"/>
    <mergeCell ref="B155:I155"/>
    <mergeCell ref="K155:P155"/>
    <mergeCell ref="B146:I146"/>
    <mergeCell ref="A2:H2"/>
    <mergeCell ref="I2:P2"/>
    <mergeCell ref="K12:P12"/>
    <mergeCell ref="M40:N40"/>
    <mergeCell ref="O40:P40"/>
    <mergeCell ref="A10:P10"/>
    <mergeCell ref="B12:C12"/>
    <mergeCell ref="B28:C32"/>
    <mergeCell ref="B33:B38"/>
    <mergeCell ref="B40:F43"/>
    <mergeCell ref="K40:L40"/>
    <mergeCell ref="D33:F33"/>
    <mergeCell ref="K16:P16"/>
    <mergeCell ref="K17:P17"/>
    <mergeCell ref="K18:P18"/>
    <mergeCell ref="K19:P19"/>
    <mergeCell ref="K33:M33"/>
    <mergeCell ref="K11:P11"/>
    <mergeCell ref="D11:I11"/>
    <mergeCell ref="D12:I12"/>
    <mergeCell ref="D13:I13"/>
    <mergeCell ref="D4:E4"/>
    <mergeCell ref="D5:E5"/>
    <mergeCell ref="A13:A43"/>
    <mergeCell ref="K88:P88"/>
    <mergeCell ref="B89:I89"/>
    <mergeCell ref="K89:P89"/>
    <mergeCell ref="B90:I90"/>
    <mergeCell ref="K90:P90"/>
    <mergeCell ref="B118:I118"/>
    <mergeCell ref="K118:P118"/>
    <mergeCell ref="B119:I119"/>
    <mergeCell ref="K119:P119"/>
    <mergeCell ref="G100:I100"/>
    <mergeCell ref="N100:P100"/>
    <mergeCell ref="K108:L108"/>
    <mergeCell ref="M108:N108"/>
    <mergeCell ref="O108:P108"/>
    <mergeCell ref="K120:P120"/>
    <mergeCell ref="B121:I121"/>
    <mergeCell ref="K121:P121"/>
    <mergeCell ref="B122:I122"/>
    <mergeCell ref="K122:P122"/>
    <mergeCell ref="G164:I164"/>
    <mergeCell ref="N164:P164"/>
    <mergeCell ref="B149:I149"/>
    <mergeCell ref="K149:P149"/>
    <mergeCell ref="B150:I150"/>
    <mergeCell ref="K150:P150"/>
    <mergeCell ref="B151:I151"/>
    <mergeCell ref="K151:P151"/>
    <mergeCell ref="B152:I152"/>
    <mergeCell ref="K152:P152"/>
    <mergeCell ref="B153:I153"/>
    <mergeCell ref="K153:P153"/>
    <mergeCell ref="K156:P156"/>
    <mergeCell ref="K146:P146"/>
    <mergeCell ref="G132:I132"/>
    <mergeCell ref="N132:P132"/>
  </mergeCells>
  <phoneticPr fontId="18" type="noConversion"/>
  <conditionalFormatting sqref="D166">
    <cfRule type="containsText" dxfId="965" priority="260" operator="containsText" text="X">
      <formula>NOT(ISERROR(SEARCH("X",D166)))</formula>
    </cfRule>
  </conditionalFormatting>
  <conditionalFormatting sqref="E166">
    <cfRule type="containsText" dxfId="964" priority="259" operator="containsText" text="x">
      <formula>NOT(ISERROR(SEARCH("x",E166)))</formula>
    </cfRule>
  </conditionalFormatting>
  <conditionalFormatting sqref="F166">
    <cfRule type="containsText" dxfId="963" priority="258" operator="containsText" text="X">
      <formula>NOT(ISERROR(SEARCH("X",F166)))</formula>
    </cfRule>
  </conditionalFormatting>
  <conditionalFormatting sqref="G166">
    <cfRule type="containsText" dxfId="962" priority="257" operator="containsText" text="x">
      <formula>NOT(ISERROR(SEARCH("x",G166)))</formula>
    </cfRule>
  </conditionalFormatting>
  <conditionalFormatting sqref="H166">
    <cfRule type="containsText" dxfId="961" priority="256" operator="containsText" text="x">
      <formula>NOT(ISERROR(SEARCH("x",H166)))</formula>
    </cfRule>
  </conditionalFormatting>
  <conditionalFormatting sqref="I166">
    <cfRule type="containsText" dxfId="960" priority="255" operator="containsText" text="x">
      <formula>NOT(ISERROR(SEARCH("x",I166)))</formula>
    </cfRule>
  </conditionalFormatting>
  <conditionalFormatting sqref="D167:D169">
    <cfRule type="containsText" dxfId="959" priority="254" operator="containsText" text="X">
      <formula>NOT(ISERROR(SEARCH("X",D167)))</formula>
    </cfRule>
  </conditionalFormatting>
  <conditionalFormatting sqref="E167:E169">
    <cfRule type="containsText" dxfId="958" priority="253" operator="containsText" text="x">
      <formula>NOT(ISERROR(SEARCH("x",E167)))</formula>
    </cfRule>
  </conditionalFormatting>
  <conditionalFormatting sqref="F167:F169">
    <cfRule type="containsText" dxfId="957" priority="252" operator="containsText" text="X">
      <formula>NOT(ISERROR(SEARCH("X",F167)))</formula>
    </cfRule>
  </conditionalFormatting>
  <conditionalFormatting sqref="G167:G169">
    <cfRule type="containsText" dxfId="956" priority="251" operator="containsText" text="x">
      <formula>NOT(ISERROR(SEARCH("x",G167)))</formula>
    </cfRule>
  </conditionalFormatting>
  <conditionalFormatting sqref="H167:H169">
    <cfRule type="containsText" dxfId="955" priority="250" operator="containsText" text="x">
      <formula>NOT(ISERROR(SEARCH("x",H167)))</formula>
    </cfRule>
  </conditionalFormatting>
  <conditionalFormatting sqref="I167:I169">
    <cfRule type="containsText" dxfId="954" priority="249" operator="containsText" text="x">
      <formula>NOT(ISERROR(SEARCH("x",I167)))</formula>
    </cfRule>
  </conditionalFormatting>
  <conditionalFormatting sqref="N166">
    <cfRule type="containsText" dxfId="953" priority="245" operator="containsText" text="x">
      <formula>NOT(ISERROR(SEARCH("x",N166)))</formula>
    </cfRule>
  </conditionalFormatting>
  <conditionalFormatting sqref="O166">
    <cfRule type="containsText" dxfId="952" priority="244" operator="containsText" text="x">
      <formula>NOT(ISERROR(SEARCH("x",O166)))</formula>
    </cfRule>
  </conditionalFormatting>
  <conditionalFormatting sqref="P166">
    <cfRule type="containsText" dxfId="951" priority="243" operator="containsText" text="x">
      <formula>NOT(ISERROR(SEARCH("x",P166)))</formula>
    </cfRule>
  </conditionalFormatting>
  <conditionalFormatting sqref="N167:N169">
    <cfRule type="containsText" dxfId="950" priority="239" operator="containsText" text="x">
      <formula>NOT(ISERROR(SEARCH("x",N167)))</formula>
    </cfRule>
  </conditionalFormatting>
  <conditionalFormatting sqref="O167:O169">
    <cfRule type="containsText" dxfId="949" priority="238" operator="containsText" text="x">
      <formula>NOT(ISERROR(SEARCH("x",O167)))</formula>
    </cfRule>
  </conditionalFormatting>
  <conditionalFormatting sqref="P167:P169">
    <cfRule type="containsText" dxfId="948" priority="237" operator="containsText" text="x">
      <formula>NOT(ISERROR(SEARCH("x",P167)))</formula>
    </cfRule>
  </conditionalFormatting>
  <conditionalFormatting sqref="E134">
    <cfRule type="containsText" dxfId="947" priority="235" operator="containsText" text="x">
      <formula>NOT(ISERROR(SEARCH("x",E134)))</formula>
    </cfRule>
  </conditionalFormatting>
  <conditionalFormatting sqref="F134">
    <cfRule type="containsText" dxfId="946" priority="234" operator="containsText" text="X">
      <formula>NOT(ISERROR(SEARCH("X",F134)))</formula>
    </cfRule>
  </conditionalFormatting>
  <conditionalFormatting sqref="G134">
    <cfRule type="containsText" dxfId="945" priority="233" operator="containsText" text="x">
      <formula>NOT(ISERROR(SEARCH("x",G134)))</formula>
    </cfRule>
  </conditionalFormatting>
  <conditionalFormatting sqref="H134">
    <cfRule type="containsText" dxfId="944" priority="232" operator="containsText" text="x">
      <formula>NOT(ISERROR(SEARCH("x",H134)))</formula>
    </cfRule>
  </conditionalFormatting>
  <conditionalFormatting sqref="I134">
    <cfRule type="containsText" dxfId="943" priority="231" operator="containsText" text="x">
      <formula>NOT(ISERROR(SEARCH("x",I134)))</formula>
    </cfRule>
  </conditionalFormatting>
  <conditionalFormatting sqref="D135:D137">
    <cfRule type="containsText" dxfId="942" priority="230" operator="containsText" text="X">
      <formula>NOT(ISERROR(SEARCH("X",D135)))</formula>
    </cfRule>
  </conditionalFormatting>
  <conditionalFormatting sqref="E135:E137">
    <cfRule type="containsText" dxfId="941" priority="229" operator="containsText" text="x">
      <formula>NOT(ISERROR(SEARCH("x",E135)))</formula>
    </cfRule>
  </conditionalFormatting>
  <conditionalFormatting sqref="F135:F137">
    <cfRule type="containsText" dxfId="940" priority="228" operator="containsText" text="X">
      <formula>NOT(ISERROR(SEARCH("X",F135)))</formula>
    </cfRule>
  </conditionalFormatting>
  <conditionalFormatting sqref="G135:G137">
    <cfRule type="containsText" dxfId="939" priority="227" operator="containsText" text="x">
      <formula>NOT(ISERROR(SEARCH("x",G135)))</formula>
    </cfRule>
  </conditionalFormatting>
  <conditionalFormatting sqref="H135:H137">
    <cfRule type="containsText" dxfId="938" priority="226" operator="containsText" text="x">
      <formula>NOT(ISERROR(SEARCH("x",H135)))</formula>
    </cfRule>
  </conditionalFormatting>
  <conditionalFormatting sqref="I135:I137">
    <cfRule type="containsText" dxfId="937" priority="225" operator="containsText" text="x">
      <formula>NOT(ISERROR(SEARCH("x",I135)))</formula>
    </cfRule>
  </conditionalFormatting>
  <conditionalFormatting sqref="N134">
    <cfRule type="containsText" dxfId="936" priority="221" operator="containsText" text="x">
      <formula>NOT(ISERROR(SEARCH("x",N134)))</formula>
    </cfRule>
  </conditionalFormatting>
  <conditionalFormatting sqref="O134">
    <cfRule type="containsText" dxfId="935" priority="220" operator="containsText" text="x">
      <formula>NOT(ISERROR(SEARCH("x",O134)))</formula>
    </cfRule>
  </conditionalFormatting>
  <conditionalFormatting sqref="P134">
    <cfRule type="containsText" dxfId="934" priority="219" operator="containsText" text="x">
      <formula>NOT(ISERROR(SEARCH("x",P134)))</formula>
    </cfRule>
  </conditionalFormatting>
  <conditionalFormatting sqref="N135:N137">
    <cfRule type="containsText" dxfId="933" priority="215" operator="containsText" text="x">
      <formula>NOT(ISERROR(SEARCH("x",N135)))</formula>
    </cfRule>
  </conditionalFormatting>
  <conditionalFormatting sqref="O135:O137">
    <cfRule type="containsText" dxfId="932" priority="214" operator="containsText" text="x">
      <formula>NOT(ISERROR(SEARCH("x",O135)))</formula>
    </cfRule>
  </conditionalFormatting>
  <conditionalFormatting sqref="P135:P137">
    <cfRule type="containsText" dxfId="931" priority="213" operator="containsText" text="x">
      <formula>NOT(ISERROR(SEARCH("x",P135)))</formula>
    </cfRule>
  </conditionalFormatting>
  <conditionalFormatting sqref="D102">
    <cfRule type="containsText" dxfId="930" priority="212" operator="containsText" text="X">
      <formula>NOT(ISERROR(SEARCH("X",D102)))</formula>
    </cfRule>
  </conditionalFormatting>
  <conditionalFormatting sqref="E102">
    <cfRule type="containsText" dxfId="929" priority="211" operator="containsText" text="x">
      <formula>NOT(ISERROR(SEARCH("x",E102)))</formula>
    </cfRule>
  </conditionalFormatting>
  <conditionalFormatting sqref="F102">
    <cfRule type="containsText" dxfId="928" priority="210" operator="containsText" text="X">
      <formula>NOT(ISERROR(SEARCH("X",F102)))</formula>
    </cfRule>
  </conditionalFormatting>
  <conditionalFormatting sqref="G102">
    <cfRule type="containsText" dxfId="927" priority="209" operator="containsText" text="x">
      <formula>NOT(ISERROR(SEARCH("x",G102)))</formula>
    </cfRule>
  </conditionalFormatting>
  <conditionalFormatting sqref="H102">
    <cfRule type="containsText" dxfId="926" priority="208" operator="containsText" text="x">
      <formula>NOT(ISERROR(SEARCH("x",H102)))</formula>
    </cfRule>
  </conditionalFormatting>
  <conditionalFormatting sqref="I102">
    <cfRule type="containsText" dxfId="925" priority="207" operator="containsText" text="x">
      <formula>NOT(ISERROR(SEARCH("x",I102)))</formula>
    </cfRule>
  </conditionalFormatting>
  <conditionalFormatting sqref="D103:D105">
    <cfRule type="containsText" dxfId="924" priority="206" operator="containsText" text="X">
      <formula>NOT(ISERROR(SEARCH("X",D103)))</formula>
    </cfRule>
  </conditionalFormatting>
  <conditionalFormatting sqref="E103:E105">
    <cfRule type="containsText" dxfId="923" priority="205" operator="containsText" text="x">
      <formula>NOT(ISERROR(SEARCH("x",E103)))</formula>
    </cfRule>
  </conditionalFormatting>
  <conditionalFormatting sqref="F103:F105">
    <cfRule type="containsText" dxfId="922" priority="204" operator="containsText" text="X">
      <formula>NOT(ISERROR(SEARCH("X",F103)))</formula>
    </cfRule>
  </conditionalFormatting>
  <conditionalFormatting sqref="G103:G105">
    <cfRule type="containsText" dxfId="921" priority="203" operator="containsText" text="x">
      <formula>NOT(ISERROR(SEARCH("x",G103)))</formula>
    </cfRule>
  </conditionalFormatting>
  <conditionalFormatting sqref="H103:H105">
    <cfRule type="containsText" dxfId="920" priority="202" operator="containsText" text="x">
      <formula>NOT(ISERROR(SEARCH("x",H103)))</formula>
    </cfRule>
  </conditionalFormatting>
  <conditionalFormatting sqref="I103:I105">
    <cfRule type="containsText" dxfId="919" priority="201" operator="containsText" text="x">
      <formula>NOT(ISERROR(SEARCH("x",I103)))</formula>
    </cfRule>
  </conditionalFormatting>
  <conditionalFormatting sqref="N102">
    <cfRule type="containsText" dxfId="918" priority="197" operator="containsText" text="x">
      <formula>NOT(ISERROR(SEARCH("x",N102)))</formula>
    </cfRule>
  </conditionalFormatting>
  <conditionalFormatting sqref="O102">
    <cfRule type="containsText" dxfId="917" priority="196" operator="containsText" text="x">
      <formula>NOT(ISERROR(SEARCH("x",O102)))</formula>
    </cfRule>
  </conditionalFormatting>
  <conditionalFormatting sqref="P102">
    <cfRule type="containsText" dxfId="916" priority="195" operator="containsText" text="x">
      <formula>NOT(ISERROR(SEARCH("x",P102)))</formula>
    </cfRule>
  </conditionalFormatting>
  <conditionalFormatting sqref="N103:N105">
    <cfRule type="containsText" dxfId="915" priority="191" operator="containsText" text="x">
      <formula>NOT(ISERROR(SEARCH("x",N103)))</formula>
    </cfRule>
  </conditionalFormatting>
  <conditionalFormatting sqref="O103:O105">
    <cfRule type="containsText" dxfId="914" priority="190" operator="containsText" text="x">
      <formula>NOT(ISERROR(SEARCH("x",O103)))</formula>
    </cfRule>
  </conditionalFormatting>
  <conditionalFormatting sqref="P103:P105">
    <cfRule type="containsText" dxfId="913" priority="189" operator="containsText" text="x">
      <formula>NOT(ISERROR(SEARCH("x",P103)))</formula>
    </cfRule>
  </conditionalFormatting>
  <conditionalFormatting sqref="D70">
    <cfRule type="containsText" dxfId="912" priority="188" operator="containsText" text="X">
      <formula>NOT(ISERROR(SEARCH("X",D70)))</formula>
    </cfRule>
  </conditionalFormatting>
  <conditionalFormatting sqref="E70">
    <cfRule type="containsText" dxfId="911" priority="187" operator="containsText" text="x">
      <formula>NOT(ISERROR(SEARCH("x",E70)))</formula>
    </cfRule>
  </conditionalFormatting>
  <conditionalFormatting sqref="F70">
    <cfRule type="containsText" dxfId="910" priority="186" operator="containsText" text="X">
      <formula>NOT(ISERROR(SEARCH("X",F70)))</formula>
    </cfRule>
  </conditionalFormatting>
  <conditionalFormatting sqref="G70">
    <cfRule type="containsText" dxfId="909" priority="185" operator="containsText" text="x">
      <formula>NOT(ISERROR(SEARCH("x",G70)))</formula>
    </cfRule>
  </conditionalFormatting>
  <conditionalFormatting sqref="H70">
    <cfRule type="containsText" dxfId="908" priority="184" operator="containsText" text="x">
      <formula>NOT(ISERROR(SEARCH("x",H70)))</formula>
    </cfRule>
  </conditionalFormatting>
  <conditionalFormatting sqref="I70">
    <cfRule type="containsText" dxfId="907" priority="183" operator="containsText" text="x">
      <formula>NOT(ISERROR(SEARCH("x",I70)))</formula>
    </cfRule>
  </conditionalFormatting>
  <conditionalFormatting sqref="D71:D73">
    <cfRule type="containsText" dxfId="906" priority="182" operator="containsText" text="X">
      <formula>NOT(ISERROR(SEARCH("X",D71)))</formula>
    </cfRule>
  </conditionalFormatting>
  <conditionalFormatting sqref="E71:E73">
    <cfRule type="containsText" dxfId="905" priority="181" operator="containsText" text="x">
      <formula>NOT(ISERROR(SEARCH("x",E71)))</formula>
    </cfRule>
  </conditionalFormatting>
  <conditionalFormatting sqref="F71:F73">
    <cfRule type="containsText" dxfId="904" priority="180" operator="containsText" text="X">
      <formula>NOT(ISERROR(SEARCH("X",F71)))</formula>
    </cfRule>
  </conditionalFormatting>
  <conditionalFormatting sqref="G71:G73">
    <cfRule type="containsText" dxfId="903" priority="179" operator="containsText" text="x">
      <formula>NOT(ISERROR(SEARCH("x",G71)))</formula>
    </cfRule>
  </conditionalFormatting>
  <conditionalFormatting sqref="H71:H73">
    <cfRule type="containsText" dxfId="902" priority="178" operator="containsText" text="x">
      <formula>NOT(ISERROR(SEARCH("x",H71)))</formula>
    </cfRule>
  </conditionalFormatting>
  <conditionalFormatting sqref="I71:I73">
    <cfRule type="containsText" dxfId="901" priority="177" operator="containsText" text="x">
      <formula>NOT(ISERROR(SEARCH("x",I71)))</formula>
    </cfRule>
  </conditionalFormatting>
  <conditionalFormatting sqref="N70">
    <cfRule type="containsText" dxfId="900" priority="173" operator="containsText" text="x">
      <formula>NOT(ISERROR(SEARCH("x",N70)))</formula>
    </cfRule>
  </conditionalFormatting>
  <conditionalFormatting sqref="O70">
    <cfRule type="containsText" dxfId="899" priority="172" operator="containsText" text="x">
      <formula>NOT(ISERROR(SEARCH("x",O70)))</formula>
    </cfRule>
  </conditionalFormatting>
  <conditionalFormatting sqref="P70">
    <cfRule type="containsText" dxfId="898" priority="171" operator="containsText" text="x">
      <formula>NOT(ISERROR(SEARCH("x",P70)))</formula>
    </cfRule>
  </conditionalFormatting>
  <conditionalFormatting sqref="N71:N73">
    <cfRule type="containsText" dxfId="897" priority="167" operator="containsText" text="x">
      <formula>NOT(ISERROR(SEARCH("x",N71)))</formula>
    </cfRule>
  </conditionalFormatting>
  <conditionalFormatting sqref="O71:O73">
    <cfRule type="containsText" dxfId="896" priority="166" operator="containsText" text="x">
      <formula>NOT(ISERROR(SEARCH("x",O71)))</formula>
    </cfRule>
  </conditionalFormatting>
  <conditionalFormatting sqref="P71:P73">
    <cfRule type="containsText" dxfId="895" priority="165" operator="containsText" text="x">
      <formula>NOT(ISERROR(SEARCH("x",P71)))</formula>
    </cfRule>
  </conditionalFormatting>
  <conditionalFormatting sqref="D35:D38">
    <cfRule type="containsText" dxfId="894" priority="164" operator="containsText" text="X">
      <formula>NOT(ISERROR(SEARCH("X",D35)))</formula>
    </cfRule>
  </conditionalFormatting>
  <conditionalFormatting sqref="E35:F35">
    <cfRule type="containsText" dxfId="893" priority="163" operator="containsText" text="x">
      <formula>NOT(ISERROR(SEARCH("x",E35)))</formula>
    </cfRule>
  </conditionalFormatting>
  <conditionalFormatting sqref="G35">
    <cfRule type="containsText" dxfId="892" priority="161" operator="containsText" text="x">
      <formula>NOT(ISERROR(SEARCH("x",G35)))</formula>
    </cfRule>
  </conditionalFormatting>
  <conditionalFormatting sqref="H35">
    <cfRule type="containsText" dxfId="891" priority="160" operator="containsText" text="x">
      <formula>NOT(ISERROR(SEARCH("x",H35)))</formula>
    </cfRule>
  </conditionalFormatting>
  <conditionalFormatting sqref="I35">
    <cfRule type="containsText" dxfId="890" priority="159" operator="containsText" text="x">
      <formula>NOT(ISERROR(SEARCH("x",I35)))</formula>
    </cfRule>
  </conditionalFormatting>
  <conditionalFormatting sqref="E36:E38 F36">
    <cfRule type="containsText" dxfId="889" priority="157" operator="containsText" text="x">
      <formula>NOT(ISERROR(SEARCH("x",E36)))</formula>
    </cfRule>
  </conditionalFormatting>
  <conditionalFormatting sqref="F36:F38">
    <cfRule type="containsText" dxfId="888" priority="156" operator="containsText" text="X">
      <formula>NOT(ISERROR(SEARCH("X",F36)))</formula>
    </cfRule>
  </conditionalFormatting>
  <conditionalFormatting sqref="G36:G38">
    <cfRule type="containsText" dxfId="887" priority="155" operator="containsText" text="x">
      <formula>NOT(ISERROR(SEARCH("x",G36)))</formula>
    </cfRule>
  </conditionalFormatting>
  <conditionalFormatting sqref="H36:H38">
    <cfRule type="containsText" dxfId="886" priority="154" operator="containsText" text="x">
      <formula>NOT(ISERROR(SEARCH("x",H36)))</formula>
    </cfRule>
  </conditionalFormatting>
  <conditionalFormatting sqref="I36:I38">
    <cfRule type="containsText" dxfId="885" priority="153" operator="containsText" text="x">
      <formula>NOT(ISERROR(SEARCH("x",I36)))</formula>
    </cfRule>
  </conditionalFormatting>
  <conditionalFormatting sqref="M135:M137">
    <cfRule type="containsText" dxfId="884" priority="84" operator="containsText" text="X">
      <formula>NOT(ISERROR(SEARCH("X",M135)))</formula>
    </cfRule>
  </conditionalFormatting>
  <conditionalFormatting sqref="N35">
    <cfRule type="containsText" dxfId="883" priority="149" operator="containsText" text="x">
      <formula>NOT(ISERROR(SEARCH("x",N35)))</formula>
    </cfRule>
  </conditionalFormatting>
  <conditionalFormatting sqref="O35">
    <cfRule type="containsText" dxfId="882" priority="148" operator="containsText" text="x">
      <formula>NOT(ISERROR(SEARCH("x",O35)))</formula>
    </cfRule>
  </conditionalFormatting>
  <conditionalFormatting sqref="P35">
    <cfRule type="containsText" dxfId="881" priority="147" operator="containsText" text="x">
      <formula>NOT(ISERROR(SEARCH("x",P35)))</formula>
    </cfRule>
  </conditionalFormatting>
  <conditionalFormatting sqref="F167:F169">
    <cfRule type="containsText" dxfId="880" priority="78" operator="containsText" text="X">
      <formula>NOT(ISERROR(SEARCH("X",F167)))</formula>
    </cfRule>
  </conditionalFormatting>
  <conditionalFormatting sqref="N36:N38">
    <cfRule type="containsText" dxfId="879" priority="143" operator="containsText" text="x">
      <formula>NOT(ISERROR(SEARCH("x",N36)))</formula>
    </cfRule>
  </conditionalFormatting>
  <conditionalFormatting sqref="O36:O38">
    <cfRule type="containsText" dxfId="878" priority="142" operator="containsText" text="x">
      <formula>NOT(ISERROR(SEARCH("x",O36)))</formula>
    </cfRule>
  </conditionalFormatting>
  <conditionalFormatting sqref="P36:P38">
    <cfRule type="containsText" dxfId="877" priority="141" operator="containsText" text="x">
      <formula>NOT(ISERROR(SEARCH("x",P36)))</formula>
    </cfRule>
  </conditionalFormatting>
  <conditionalFormatting sqref="D13:I17 B110:I124">
    <cfRule type="containsText" dxfId="876" priority="140" operator="containsText" text="Score de Fiabilité nul-F0">
      <formula>NOT(ISERROR(SEARCH("Score de Fiabilité nul-F0",B13)))</formula>
    </cfRule>
  </conditionalFormatting>
  <conditionalFormatting sqref="B78:I92">
    <cfRule type="containsText" dxfId="875" priority="136" operator="containsText" text="Score de Fiabilité nul-F0">
      <formula>NOT(ISERROR(SEARCH("Score de Fiabilité nul-F0",B78)))</formula>
    </cfRule>
  </conditionalFormatting>
  <conditionalFormatting sqref="B45:I59">
    <cfRule type="containsText" dxfId="874" priority="135" operator="containsText" text="Score de Fiabilité nul-F0">
      <formula>NOT(ISERROR(SEARCH("Score de Fiabilité nul-F0",B45)))</formula>
    </cfRule>
  </conditionalFormatting>
  <conditionalFormatting sqref="B142:I156">
    <cfRule type="containsText" dxfId="873" priority="132" operator="containsText" text="Score de Fiabilité nul-F0">
      <formula>NOT(ISERROR(SEARCH("Score de Fiabilité nul-F0",B142)))</formula>
    </cfRule>
  </conditionalFormatting>
  <conditionalFormatting sqref="D21:I25">
    <cfRule type="containsText" dxfId="872" priority="126" operator="containsText" text="Score de Fiabilité nul-F0">
      <formula>NOT(ISERROR(SEARCH("Score de Fiabilité nul-F0",D21)))</formula>
    </cfRule>
  </conditionalFormatting>
  <conditionalFormatting sqref="K34:M34">
    <cfRule type="containsText" dxfId="871" priority="118" operator="containsText" text="N/A">
      <formula>NOT(ISERROR(SEARCH("N/A",K34)))</formula>
    </cfRule>
    <cfRule type="cellIs" dxfId="870" priority="119" operator="equal">
      <formula>"Score de Fiabilité F3 exigé"</formula>
    </cfRule>
  </conditionalFormatting>
  <conditionalFormatting sqref="K35:K38">
    <cfRule type="containsText" dxfId="869" priority="117" operator="containsText" text="X">
      <formula>NOT(ISERROR(SEARCH("X",K35)))</formula>
    </cfRule>
  </conditionalFormatting>
  <conditionalFormatting sqref="L35">
    <cfRule type="containsText" dxfId="868" priority="116" operator="containsText" text="x">
      <formula>NOT(ISERROR(SEARCH("x",L35)))</formula>
    </cfRule>
  </conditionalFormatting>
  <conditionalFormatting sqref="L36:L38">
    <cfRule type="containsText" dxfId="867" priority="115" operator="containsText" text="x">
      <formula>NOT(ISERROR(SEARCH("x",L36)))</formula>
    </cfRule>
  </conditionalFormatting>
  <conditionalFormatting sqref="M36:M38">
    <cfRule type="containsText" dxfId="866" priority="114" operator="containsText" text="X">
      <formula>NOT(ISERROR(SEARCH("X",M36)))</formula>
    </cfRule>
  </conditionalFormatting>
  <conditionalFormatting sqref="K35:M38">
    <cfRule type="containsText" dxfId="865" priority="112" operator="containsText" text="N/A">
      <formula>NOT(ISERROR(SEARCH("N/A",K35)))</formula>
    </cfRule>
    <cfRule type="cellIs" dxfId="864" priority="113" operator="equal">
      <formula>"Score de Fiabilité F3 exigé"</formula>
    </cfRule>
  </conditionalFormatting>
  <conditionalFormatting sqref="M35">
    <cfRule type="containsText" dxfId="863" priority="50" operator="containsText" text="X">
      <formula>NOT(ISERROR(SEARCH("X",M35)))</formula>
    </cfRule>
  </conditionalFormatting>
  <conditionalFormatting sqref="D70:D73">
    <cfRule type="containsText" dxfId="862" priority="111" operator="containsText" text="X">
      <formula>NOT(ISERROR(SEARCH("X",D70)))</formula>
    </cfRule>
  </conditionalFormatting>
  <conditionalFormatting sqref="E70">
    <cfRule type="containsText" dxfId="861" priority="110" operator="containsText" text="x">
      <formula>NOT(ISERROR(SEARCH("x",E70)))</formula>
    </cfRule>
  </conditionalFormatting>
  <conditionalFormatting sqref="E71:E73">
    <cfRule type="containsText" dxfId="860" priority="109" operator="containsText" text="x">
      <formula>NOT(ISERROR(SEARCH("x",E71)))</formula>
    </cfRule>
  </conditionalFormatting>
  <conditionalFormatting sqref="F71:F73">
    <cfRule type="containsText" dxfId="859" priority="108" operator="containsText" text="X">
      <formula>NOT(ISERROR(SEARCH("X",F71)))</formula>
    </cfRule>
  </conditionalFormatting>
  <conditionalFormatting sqref="K70:K73">
    <cfRule type="containsText" dxfId="858" priority="107" operator="containsText" text="X">
      <formula>NOT(ISERROR(SEARCH("X",K70)))</formula>
    </cfRule>
  </conditionalFormatting>
  <conditionalFormatting sqref="L70">
    <cfRule type="containsText" dxfId="857" priority="106" operator="containsText" text="x">
      <formula>NOT(ISERROR(SEARCH("x",L70)))</formula>
    </cfRule>
  </conditionalFormatting>
  <conditionalFormatting sqref="L71:L73">
    <cfRule type="containsText" dxfId="856" priority="105" operator="containsText" text="x">
      <formula>NOT(ISERROR(SEARCH("x",L71)))</formula>
    </cfRule>
  </conditionalFormatting>
  <conditionalFormatting sqref="M71:M73">
    <cfRule type="containsText" dxfId="855" priority="104" operator="containsText" text="X">
      <formula>NOT(ISERROR(SEARCH("X",M71)))</formula>
    </cfRule>
  </conditionalFormatting>
  <conditionalFormatting sqref="K70:M73">
    <cfRule type="containsText" dxfId="854" priority="102" operator="containsText" text="N/A">
      <formula>NOT(ISERROR(SEARCH("N/A",K70)))</formula>
    </cfRule>
    <cfRule type="cellIs" dxfId="853" priority="103" operator="equal">
      <formula>"Score de Fiabilité F3 exigé"</formula>
    </cfRule>
  </conditionalFormatting>
  <conditionalFormatting sqref="D102:D105">
    <cfRule type="containsText" dxfId="852" priority="101" operator="containsText" text="X">
      <formula>NOT(ISERROR(SEARCH("X",D102)))</formula>
    </cfRule>
  </conditionalFormatting>
  <conditionalFormatting sqref="E102">
    <cfRule type="containsText" dxfId="851" priority="100" operator="containsText" text="x">
      <formula>NOT(ISERROR(SEARCH("x",E102)))</formula>
    </cfRule>
  </conditionalFormatting>
  <conditionalFormatting sqref="E103:E105">
    <cfRule type="containsText" dxfId="850" priority="99" operator="containsText" text="x">
      <formula>NOT(ISERROR(SEARCH("x",E103)))</formula>
    </cfRule>
  </conditionalFormatting>
  <conditionalFormatting sqref="F103:F105">
    <cfRule type="containsText" dxfId="849" priority="98" operator="containsText" text="X">
      <formula>NOT(ISERROR(SEARCH("X",F103)))</formula>
    </cfRule>
  </conditionalFormatting>
  <conditionalFormatting sqref="K102:K105">
    <cfRule type="containsText" dxfId="848" priority="97" operator="containsText" text="X">
      <formula>NOT(ISERROR(SEARCH("X",K102)))</formula>
    </cfRule>
  </conditionalFormatting>
  <conditionalFormatting sqref="L102">
    <cfRule type="containsText" dxfId="847" priority="96" operator="containsText" text="x">
      <formula>NOT(ISERROR(SEARCH("x",L102)))</formula>
    </cfRule>
  </conditionalFormatting>
  <conditionalFormatting sqref="L103:L105">
    <cfRule type="containsText" dxfId="846" priority="95" operator="containsText" text="x">
      <formula>NOT(ISERROR(SEARCH("x",L103)))</formula>
    </cfRule>
  </conditionalFormatting>
  <conditionalFormatting sqref="M103:M105">
    <cfRule type="containsText" dxfId="845" priority="94" operator="containsText" text="X">
      <formula>NOT(ISERROR(SEARCH("X",M103)))</formula>
    </cfRule>
  </conditionalFormatting>
  <conditionalFormatting sqref="K103:M105 K102:L102">
    <cfRule type="containsText" dxfId="844" priority="92" operator="containsText" text="N/A">
      <formula>NOT(ISERROR(SEARCH("N/A",K102)))</formula>
    </cfRule>
    <cfRule type="cellIs" dxfId="843" priority="93" operator="equal">
      <formula>"Score de Fiabilité F3 exigé"</formula>
    </cfRule>
  </conditionalFormatting>
  <conditionalFormatting sqref="D134:D137">
    <cfRule type="containsText" dxfId="842" priority="91" operator="containsText" text="X">
      <formula>NOT(ISERROR(SEARCH("X",D134)))</formula>
    </cfRule>
  </conditionalFormatting>
  <conditionalFormatting sqref="E134">
    <cfRule type="containsText" dxfId="841" priority="90" operator="containsText" text="x">
      <formula>NOT(ISERROR(SEARCH("x",E134)))</formula>
    </cfRule>
  </conditionalFormatting>
  <conditionalFormatting sqref="E135:E137">
    <cfRule type="containsText" dxfId="840" priority="89" operator="containsText" text="x">
      <formula>NOT(ISERROR(SEARCH("x",E135)))</formula>
    </cfRule>
  </conditionalFormatting>
  <conditionalFormatting sqref="F135:F137">
    <cfRule type="containsText" dxfId="839" priority="88" operator="containsText" text="X">
      <formula>NOT(ISERROR(SEARCH("X",F135)))</formula>
    </cfRule>
  </conditionalFormatting>
  <conditionalFormatting sqref="K134:K137">
    <cfRule type="containsText" dxfId="838" priority="87" operator="containsText" text="X">
      <formula>NOT(ISERROR(SEARCH("X",K134)))</formula>
    </cfRule>
  </conditionalFormatting>
  <conditionalFormatting sqref="L134">
    <cfRule type="containsText" dxfId="837" priority="86" operator="containsText" text="x">
      <formula>NOT(ISERROR(SEARCH("x",L134)))</formula>
    </cfRule>
  </conditionalFormatting>
  <conditionalFormatting sqref="L135:L137">
    <cfRule type="containsText" dxfId="836" priority="85" operator="containsText" text="x">
      <formula>NOT(ISERROR(SEARCH("x",L135)))</formula>
    </cfRule>
  </conditionalFormatting>
  <conditionalFormatting sqref="K135:M137 K134:L134">
    <cfRule type="containsText" dxfId="835" priority="82" operator="containsText" text="N/A">
      <formula>NOT(ISERROR(SEARCH("N/A",K134)))</formula>
    </cfRule>
    <cfRule type="cellIs" dxfId="834" priority="83" operator="equal">
      <formula>"Score de Fiabilité F3 exigé"</formula>
    </cfRule>
  </conditionalFormatting>
  <conditionalFormatting sqref="D166:D169">
    <cfRule type="containsText" dxfId="833" priority="81" operator="containsText" text="X">
      <formula>NOT(ISERROR(SEARCH("X",D166)))</formula>
    </cfRule>
  </conditionalFormatting>
  <conditionalFormatting sqref="E166">
    <cfRule type="containsText" dxfId="832" priority="80" operator="containsText" text="x">
      <formula>NOT(ISERROR(SEARCH("x",E166)))</formula>
    </cfRule>
  </conditionalFormatting>
  <conditionalFormatting sqref="E167:E169">
    <cfRule type="containsText" dxfId="831" priority="79" operator="containsText" text="x">
      <formula>NOT(ISERROR(SEARCH("x",E167)))</formula>
    </cfRule>
  </conditionalFormatting>
  <conditionalFormatting sqref="K166:K169">
    <cfRule type="containsText" dxfId="830" priority="77" operator="containsText" text="X">
      <formula>NOT(ISERROR(SEARCH("X",K166)))</formula>
    </cfRule>
  </conditionalFormatting>
  <conditionalFormatting sqref="L166">
    <cfRule type="containsText" dxfId="829" priority="76" operator="containsText" text="x">
      <formula>NOT(ISERROR(SEARCH("x",L166)))</formula>
    </cfRule>
  </conditionalFormatting>
  <conditionalFormatting sqref="L167:L169">
    <cfRule type="containsText" dxfId="828" priority="75" operator="containsText" text="x">
      <formula>NOT(ISERROR(SEARCH("x",L167)))</formula>
    </cfRule>
  </conditionalFormatting>
  <conditionalFormatting sqref="M167:M169">
    <cfRule type="containsText" dxfId="827" priority="74" operator="containsText" text="X">
      <formula>NOT(ISERROR(SEARCH("X",M167)))</formula>
    </cfRule>
  </conditionalFormatting>
  <conditionalFormatting sqref="K166:M169">
    <cfRule type="containsText" dxfId="826" priority="72" operator="containsText" text="N/A">
      <formula>NOT(ISERROR(SEARCH("N/A",K166)))</formula>
    </cfRule>
    <cfRule type="cellIs" dxfId="825" priority="73" operator="equal">
      <formula>"Score de Fiabilité F3 exigé"</formula>
    </cfRule>
  </conditionalFormatting>
  <conditionalFormatting sqref="F166">
    <cfRule type="containsText" dxfId="824" priority="71" operator="containsText" text="X">
      <formula>NOT(ISERROR(SEARCH("X",F166)))</formula>
    </cfRule>
  </conditionalFormatting>
  <conditionalFormatting sqref="F166">
    <cfRule type="containsText" dxfId="823" priority="70" operator="containsText" text="X">
      <formula>NOT(ISERROR(SEARCH("X",F166)))</formula>
    </cfRule>
  </conditionalFormatting>
  <conditionalFormatting sqref="M166">
    <cfRule type="containsText" dxfId="822" priority="69" operator="containsText" text="X">
      <formula>NOT(ISERROR(SEARCH("X",M166)))</formula>
    </cfRule>
  </conditionalFormatting>
  <conditionalFormatting sqref="F134">
    <cfRule type="containsText" dxfId="821" priority="68" operator="containsText" text="X">
      <formula>NOT(ISERROR(SEARCH("X",F134)))</formula>
    </cfRule>
  </conditionalFormatting>
  <conditionalFormatting sqref="F134">
    <cfRule type="containsText" dxfId="820" priority="67" operator="containsText" text="X">
      <formula>NOT(ISERROR(SEARCH("X",F134)))</formula>
    </cfRule>
  </conditionalFormatting>
  <conditionalFormatting sqref="M134">
    <cfRule type="containsText" dxfId="819" priority="66" operator="containsText" text="X">
      <formula>NOT(ISERROR(SEARCH("X",M134)))</formula>
    </cfRule>
  </conditionalFormatting>
  <conditionalFormatting sqref="M134">
    <cfRule type="containsText" dxfId="818" priority="64" operator="containsText" text="N/A">
      <formula>NOT(ISERROR(SEARCH("N/A",M134)))</formula>
    </cfRule>
    <cfRule type="cellIs" dxfId="817" priority="65" operator="equal">
      <formula>"Score de Fiabilité F3 exigé"</formula>
    </cfRule>
  </conditionalFormatting>
  <conditionalFormatting sqref="M134">
    <cfRule type="containsText" dxfId="816" priority="63" operator="containsText" text="X">
      <formula>NOT(ISERROR(SEARCH("X",M134)))</formula>
    </cfRule>
  </conditionalFormatting>
  <conditionalFormatting sqref="M134">
    <cfRule type="containsText" dxfId="815" priority="62" operator="containsText" text="X">
      <formula>NOT(ISERROR(SEARCH("X",M134)))</formula>
    </cfRule>
  </conditionalFormatting>
  <conditionalFormatting sqref="F102">
    <cfRule type="containsText" dxfId="814" priority="61" operator="containsText" text="X">
      <formula>NOT(ISERROR(SEARCH("X",F102)))</formula>
    </cfRule>
  </conditionalFormatting>
  <conditionalFormatting sqref="F102">
    <cfRule type="containsText" dxfId="813" priority="60" operator="containsText" text="X">
      <formula>NOT(ISERROR(SEARCH("X",F102)))</formula>
    </cfRule>
  </conditionalFormatting>
  <conditionalFormatting sqref="M102">
    <cfRule type="containsText" dxfId="812" priority="59" operator="containsText" text="X">
      <formula>NOT(ISERROR(SEARCH("X",M102)))</formula>
    </cfRule>
  </conditionalFormatting>
  <conditionalFormatting sqref="M102">
    <cfRule type="containsText" dxfId="811" priority="57" operator="containsText" text="N/A">
      <formula>NOT(ISERROR(SEARCH("N/A",M102)))</formula>
    </cfRule>
    <cfRule type="cellIs" dxfId="810" priority="58" operator="equal">
      <formula>"Score de Fiabilité F3 exigé"</formula>
    </cfRule>
  </conditionalFormatting>
  <conditionalFormatting sqref="M102">
    <cfRule type="containsText" dxfId="809" priority="56" operator="containsText" text="X">
      <formula>NOT(ISERROR(SEARCH("X",M102)))</formula>
    </cfRule>
  </conditionalFormatting>
  <conditionalFormatting sqref="M102">
    <cfRule type="containsText" dxfId="808" priority="55" operator="containsText" text="X">
      <formula>NOT(ISERROR(SEARCH("X",M102)))</formula>
    </cfRule>
  </conditionalFormatting>
  <conditionalFormatting sqref="F70">
    <cfRule type="containsText" dxfId="807" priority="54" operator="containsText" text="X">
      <formula>NOT(ISERROR(SEARCH("X",F70)))</formula>
    </cfRule>
  </conditionalFormatting>
  <conditionalFormatting sqref="F70">
    <cfRule type="containsText" dxfId="806" priority="53" operator="containsText" text="X">
      <formula>NOT(ISERROR(SEARCH("X",F70)))</formula>
    </cfRule>
  </conditionalFormatting>
  <conditionalFormatting sqref="M70">
    <cfRule type="containsText" dxfId="805" priority="52" operator="containsText" text="X">
      <formula>NOT(ISERROR(SEARCH("X",M70)))</formula>
    </cfRule>
  </conditionalFormatting>
  <conditionalFormatting sqref="F35">
    <cfRule type="containsText" dxfId="804" priority="51" operator="containsText" text="X">
      <formula>NOT(ISERROR(SEARCH("X",F35)))</formula>
    </cfRule>
  </conditionalFormatting>
  <conditionalFormatting sqref="B12:C12">
    <cfRule type="containsText" dxfId="803" priority="37" operator="containsText" text="N/A">
      <formula>NOT(ISERROR(SEARCH("N/A",B12)))</formula>
    </cfRule>
  </conditionalFormatting>
  <conditionalFormatting sqref="D12:I12">
    <cfRule type="containsText" dxfId="802" priority="35" operator="containsText" text="N/A">
      <formula>NOT(ISERROR(SEARCH("N/A",D12)))</formula>
    </cfRule>
    <cfRule type="cellIs" dxfId="801" priority="36" operator="equal">
      <formula>"Score de Fiabilité F3 exigé"</formula>
    </cfRule>
  </conditionalFormatting>
  <conditionalFormatting sqref="D11:I11">
    <cfRule type="containsText" dxfId="800" priority="33" operator="containsText" text="N/A">
      <formula>NOT(ISERROR(SEARCH("N/A",D11)))</formula>
    </cfRule>
    <cfRule type="cellIs" dxfId="799" priority="34" operator="equal">
      <formula>"Score de Fiabilité F3 exigé"</formula>
    </cfRule>
  </conditionalFormatting>
  <conditionalFormatting sqref="B13:C19">
    <cfRule type="containsText" dxfId="798" priority="31" operator="containsText" text="N/A">
      <formula>NOT(ISERROR(SEARCH("N/A",B13)))</formula>
    </cfRule>
    <cfRule type="cellIs" dxfId="797" priority="32" operator="equal">
      <formula>"Score de Fiabilité F3 exigé"</formula>
    </cfRule>
  </conditionalFormatting>
  <conditionalFormatting sqref="C35:C38">
    <cfRule type="containsText" dxfId="796" priority="29" operator="containsText" text="N/A">
      <formula>NOT(ISERROR(SEARCH("N/A",C35)))</formula>
    </cfRule>
    <cfRule type="cellIs" dxfId="795" priority="30" operator="equal">
      <formula>"Score de Fiabilité F3 exigé"</formula>
    </cfRule>
  </conditionalFormatting>
  <conditionalFormatting sqref="G40:I40">
    <cfRule type="containsText" dxfId="794" priority="27" operator="containsText" text="N/A">
      <formula>NOT(ISERROR(SEARCH("N/A",G40)))</formula>
    </cfRule>
    <cfRule type="cellIs" dxfId="793" priority="28" operator="equal">
      <formula>"Score de Fiabilité F3 exigé"</formula>
    </cfRule>
  </conditionalFormatting>
  <conditionalFormatting sqref="K69:M69">
    <cfRule type="containsText" dxfId="792" priority="25" operator="containsText" text="N/A">
      <formula>NOT(ISERROR(SEARCH("N/A",K69)))</formula>
    </cfRule>
    <cfRule type="cellIs" dxfId="791" priority="26" operator="equal">
      <formula>"Score de Fiabilité F3 exigé"</formula>
    </cfRule>
  </conditionalFormatting>
  <conditionalFormatting sqref="G75:I75">
    <cfRule type="containsText" dxfId="790" priority="23" operator="containsText" text="N/A">
      <formula>NOT(ISERROR(SEARCH("N/A",G75)))</formula>
    </cfRule>
    <cfRule type="cellIs" dxfId="789" priority="24" operator="equal">
      <formula>"Score de Fiabilité F3 exigé"</formula>
    </cfRule>
  </conditionalFormatting>
  <conditionalFormatting sqref="C70:C73">
    <cfRule type="containsText" dxfId="788" priority="19" operator="containsText" text="N/A">
      <formula>NOT(ISERROR(SEARCH("N/A",C70)))</formula>
    </cfRule>
    <cfRule type="cellIs" dxfId="787" priority="20" operator="equal">
      <formula>"Score de Fiabilité F3 exigé"</formula>
    </cfRule>
  </conditionalFormatting>
  <conditionalFormatting sqref="C102:C105">
    <cfRule type="containsText" dxfId="786" priority="17" operator="containsText" text="N/A">
      <formula>NOT(ISERROR(SEARCH("N/A",C102)))</formula>
    </cfRule>
    <cfRule type="cellIs" dxfId="785" priority="18" operator="equal">
      <formula>"Score de Fiabilité F3 exigé"</formula>
    </cfRule>
  </conditionalFormatting>
  <conditionalFormatting sqref="K101:M101">
    <cfRule type="containsText" dxfId="784" priority="15" operator="containsText" text="N/A">
      <formula>NOT(ISERROR(SEARCH("N/A",K101)))</formula>
    </cfRule>
    <cfRule type="cellIs" dxfId="783" priority="16" operator="equal">
      <formula>"Score de Fiabilité F3 exigé"</formula>
    </cfRule>
  </conditionalFormatting>
  <conditionalFormatting sqref="G107:I107">
    <cfRule type="containsText" dxfId="782" priority="13" operator="containsText" text="N/A">
      <formula>NOT(ISERROR(SEARCH("N/A",G107)))</formula>
    </cfRule>
    <cfRule type="cellIs" dxfId="781" priority="14" operator="equal">
      <formula>"Score de Fiabilité F3 exigé"</formula>
    </cfRule>
  </conditionalFormatting>
  <conditionalFormatting sqref="K133:M133">
    <cfRule type="containsText" dxfId="780" priority="11" operator="containsText" text="N/A">
      <formula>NOT(ISERROR(SEARCH("N/A",K133)))</formula>
    </cfRule>
    <cfRule type="cellIs" dxfId="779" priority="12" operator="equal">
      <formula>"Score de Fiabilité F3 exigé"</formula>
    </cfRule>
  </conditionalFormatting>
  <conditionalFormatting sqref="C134:C137">
    <cfRule type="containsText" dxfId="778" priority="9" operator="containsText" text="N/A">
      <formula>NOT(ISERROR(SEARCH("N/A",C134)))</formula>
    </cfRule>
    <cfRule type="cellIs" dxfId="777" priority="10" operator="equal">
      <formula>"Score de Fiabilité F3 exigé"</formula>
    </cfRule>
  </conditionalFormatting>
  <conditionalFormatting sqref="G139:I139">
    <cfRule type="containsText" dxfId="776" priority="7" operator="containsText" text="N/A">
      <formula>NOT(ISERROR(SEARCH("N/A",G139)))</formula>
    </cfRule>
    <cfRule type="cellIs" dxfId="775" priority="8" operator="equal">
      <formula>"Score de Fiabilité F3 exigé"</formula>
    </cfRule>
  </conditionalFormatting>
  <conditionalFormatting sqref="K165:M165">
    <cfRule type="containsText" dxfId="774" priority="5" operator="containsText" text="N/A">
      <formula>NOT(ISERROR(SEARCH("N/A",K165)))</formula>
    </cfRule>
    <cfRule type="cellIs" dxfId="773" priority="6" operator="equal">
      <formula>"Score de Fiabilité F3 exigé"</formula>
    </cfRule>
  </conditionalFormatting>
  <conditionalFormatting sqref="C166:C169">
    <cfRule type="containsText" dxfId="772" priority="3" operator="containsText" text="N/A">
      <formula>NOT(ISERROR(SEARCH("N/A",C166)))</formula>
    </cfRule>
    <cfRule type="cellIs" dxfId="771" priority="4" operator="equal">
      <formula>"Score de Fiabilité F3 exigé"</formula>
    </cfRule>
  </conditionalFormatting>
  <conditionalFormatting sqref="G171:I171">
    <cfRule type="containsText" dxfId="770" priority="1" operator="containsText" text="N/A">
      <formula>NOT(ISERROR(SEARCH("N/A",G171)))</formula>
    </cfRule>
    <cfRule type="cellIs" dxfId="769" priority="2" operator="equal">
      <formula>"Score de Fiabilité F3 exigé"</formula>
    </cfRule>
  </conditionalFormatting>
  <pageMargins left="0.7" right="0.7" top="0.75" bottom="0.75" header="0.3" footer="0.3"/>
  <pageSetup paperSize="9" scale="52"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W85"/>
  <sheetViews>
    <sheetView topLeftCell="A42" zoomScale="80" zoomScaleNormal="80" zoomScaleSheetLayoutView="120" workbookViewId="0">
      <selection activeCell="C55" sqref="C55"/>
    </sheetView>
  </sheetViews>
  <sheetFormatPr defaultColWidth="10.5703125" defaultRowHeight="15" x14ac:dyDescent="0.25"/>
  <cols>
    <col min="1" max="1" width="10.5703125" style="17"/>
    <col min="2" max="2" width="11.85546875" style="17" customWidth="1"/>
    <col min="3" max="3" width="9" style="17" customWidth="1"/>
    <col min="4" max="4" width="13" style="17" customWidth="1"/>
    <col min="5" max="6" width="9" style="17" customWidth="1"/>
    <col min="7" max="7" width="7" style="17" customWidth="1"/>
    <col min="8" max="8" width="8.28515625" style="17" customWidth="1"/>
    <col min="9" max="9" width="7.42578125" style="17" customWidth="1"/>
    <col min="10" max="10" width="10.5703125" style="17" customWidth="1"/>
    <col min="11" max="11" width="9.42578125" style="17" customWidth="1"/>
    <col min="12" max="12" width="9.5703125" style="17" customWidth="1"/>
    <col min="13" max="13" width="11" style="17" customWidth="1"/>
    <col min="14" max="14" width="10.140625" style="17" customWidth="1"/>
    <col min="15" max="15" width="12" style="17" customWidth="1"/>
    <col min="16" max="18" width="8" style="17" customWidth="1"/>
    <col min="19" max="16384" width="10.5703125" style="17"/>
  </cols>
  <sheetData>
    <row r="2" spans="1:23" ht="23.25" x14ac:dyDescent="0.25">
      <c r="A2" s="658" t="s">
        <v>200</v>
      </c>
      <c r="B2" s="658"/>
      <c r="C2" s="658"/>
      <c r="D2" s="658"/>
      <c r="E2" s="658"/>
      <c r="F2" s="658"/>
      <c r="G2" s="658"/>
      <c r="H2" s="658"/>
      <c r="I2" s="658"/>
      <c r="J2" s="658"/>
      <c r="K2" s="658"/>
      <c r="L2" s="246"/>
      <c r="M2" s="65"/>
      <c r="N2" s="65"/>
      <c r="O2" s="65"/>
      <c r="P2" s="65"/>
      <c r="Q2" s="65"/>
      <c r="R2" s="65"/>
      <c r="S2" s="65"/>
      <c r="T2" s="65"/>
      <c r="U2" s="65"/>
      <c r="V2" s="266"/>
      <c r="W2" s="266"/>
    </row>
    <row r="3" spans="1:23" x14ac:dyDescent="0.25">
      <c r="A3" s="65"/>
      <c r="B3" s="65"/>
      <c r="C3" s="65"/>
      <c r="D3" s="65"/>
      <c r="E3" s="65"/>
      <c r="F3" s="65"/>
      <c r="G3" s="65"/>
      <c r="H3" s="65"/>
      <c r="I3" s="65"/>
      <c r="J3" s="65"/>
      <c r="K3" s="65"/>
      <c r="L3" s="65"/>
      <c r="M3" s="65"/>
      <c r="N3" s="65"/>
      <c r="O3" s="65"/>
      <c r="P3" s="65"/>
      <c r="Q3" s="65"/>
      <c r="R3" s="65"/>
      <c r="S3" s="65"/>
      <c r="T3" s="65"/>
      <c r="U3" s="65"/>
      <c r="V3" s="266"/>
      <c r="W3" s="266"/>
    </row>
    <row r="4" spans="1:23" ht="15.75" x14ac:dyDescent="0.25">
      <c r="A4" s="485" t="s">
        <v>72</v>
      </c>
      <c r="B4" s="66"/>
      <c r="C4" s="284" t="str">
        <f>'Table 1-B  Context Analysis'!$C$5</f>
        <v xml:space="preserve"> Nigeria</v>
      </c>
      <c r="D4" s="65"/>
      <c r="E4" s="65"/>
      <c r="F4" s="65"/>
      <c r="G4" s="67"/>
      <c r="H4" s="67"/>
      <c r="I4" s="67"/>
      <c r="J4" s="67"/>
      <c r="K4" s="67"/>
      <c r="L4" s="67"/>
      <c r="M4" s="65"/>
      <c r="N4" s="65"/>
      <c r="O4" s="65"/>
      <c r="P4" s="65"/>
      <c r="Q4" s="65"/>
      <c r="R4" s="65"/>
      <c r="S4" s="65"/>
      <c r="T4" s="65"/>
      <c r="U4" s="65"/>
      <c r="V4" s="266"/>
      <c r="W4" s="266"/>
    </row>
    <row r="5" spans="1:23" ht="15.75" x14ac:dyDescent="0.25">
      <c r="A5" s="486" t="s">
        <v>80</v>
      </c>
      <c r="B5" s="66"/>
      <c r="C5" s="176" t="str">
        <f>'Table 1-B  Context Analysis'!$C$6</f>
        <v>Borno</v>
      </c>
      <c r="D5" s="65"/>
      <c r="E5" s="65"/>
      <c r="F5" s="65"/>
      <c r="G5" s="67"/>
      <c r="H5" s="67"/>
      <c r="I5" s="67"/>
      <c r="J5" s="67"/>
      <c r="K5" s="67"/>
      <c r="L5" s="67"/>
      <c r="M5" s="65"/>
      <c r="N5" s="65"/>
      <c r="O5" s="65"/>
      <c r="P5" s="65"/>
      <c r="Q5" s="65"/>
      <c r="R5" s="65"/>
      <c r="S5" s="65"/>
      <c r="T5" s="65"/>
      <c r="U5" s="65"/>
      <c r="V5" s="266"/>
      <c r="W5" s="266"/>
    </row>
    <row r="6" spans="1:23" ht="15.75" x14ac:dyDescent="0.25">
      <c r="A6" s="486" t="s">
        <v>81</v>
      </c>
      <c r="B6" s="66"/>
      <c r="C6" s="176" t="str">
        <f>'Table 1-B  Context Analysis'!$C$7</f>
        <v>Shani</v>
      </c>
      <c r="D6" s="65"/>
      <c r="E6" s="65"/>
      <c r="F6" s="65"/>
      <c r="G6" s="67"/>
      <c r="H6" s="67"/>
      <c r="I6" s="67"/>
      <c r="J6" s="67"/>
      <c r="K6" s="67"/>
      <c r="L6" s="67"/>
      <c r="M6" s="65"/>
      <c r="N6" s="65"/>
      <c r="O6" s="65"/>
      <c r="P6" s="65"/>
      <c r="Q6" s="65"/>
      <c r="R6" s="65"/>
      <c r="S6" s="65"/>
      <c r="T6" s="65"/>
      <c r="U6" s="65"/>
      <c r="V6" s="266"/>
      <c r="W6" s="266"/>
    </row>
    <row r="7" spans="1:23" x14ac:dyDescent="0.25">
      <c r="A7" s="518" t="s">
        <v>123</v>
      </c>
      <c r="B7" s="66"/>
      <c r="C7" s="789" t="str">
        <f>'Table 1-B  Context Analysis'!$C$9</f>
        <v xml:space="preserve"> oct-19</v>
      </c>
      <c r="D7" s="789"/>
      <c r="E7" s="237"/>
      <c r="F7" s="237"/>
      <c r="G7" s="67"/>
      <c r="H7" s="67"/>
      <c r="I7" s="67"/>
      <c r="J7" s="67"/>
      <c r="K7" s="67"/>
      <c r="L7" s="67"/>
      <c r="M7" s="65"/>
      <c r="N7" s="65"/>
      <c r="O7" s="65"/>
      <c r="P7" s="65"/>
      <c r="Q7" s="65"/>
      <c r="R7" s="65"/>
      <c r="S7" s="65"/>
      <c r="T7" s="65"/>
      <c r="U7" s="65"/>
      <c r="V7" s="266"/>
      <c r="W7" s="266"/>
    </row>
    <row r="8" spans="1:23" ht="23.85" customHeight="1" x14ac:dyDescent="0.25">
      <c r="A8" s="65"/>
      <c r="B8" s="65"/>
      <c r="C8" s="65"/>
      <c r="D8" s="65"/>
      <c r="E8" s="65"/>
      <c r="F8" s="65"/>
      <c r="G8" s="65"/>
      <c r="H8" s="65"/>
      <c r="I8" s="65"/>
      <c r="J8" s="65"/>
      <c r="K8" s="65"/>
      <c r="L8" s="65"/>
      <c r="M8" s="65"/>
      <c r="N8" s="65"/>
      <c r="O8" s="65"/>
      <c r="P8" s="65"/>
      <c r="Q8" s="65"/>
      <c r="R8" s="65"/>
      <c r="S8" s="65"/>
      <c r="T8" s="65"/>
      <c r="U8" s="65"/>
      <c r="V8" s="266"/>
      <c r="W8" s="266"/>
    </row>
    <row r="9" spans="1:23" customFormat="1" ht="23.25" customHeight="1" thickBot="1" x14ac:dyDescent="0.3">
      <c r="A9" s="790" t="s">
        <v>201</v>
      </c>
      <c r="B9" s="791"/>
      <c r="C9" s="791"/>
      <c r="D9" s="791"/>
      <c r="E9" s="791"/>
      <c r="F9" s="791"/>
      <c r="G9" s="791"/>
      <c r="H9" s="791"/>
      <c r="I9" s="791"/>
      <c r="J9" s="791"/>
      <c r="K9" s="791"/>
      <c r="L9" s="791"/>
      <c r="M9" s="791"/>
      <c r="N9" s="791"/>
      <c r="O9" s="791"/>
      <c r="P9" s="791"/>
      <c r="Q9" s="791"/>
      <c r="R9" s="791"/>
      <c r="S9" s="791"/>
      <c r="T9" s="791"/>
      <c r="U9" s="791"/>
      <c r="V9" s="791"/>
      <c r="W9" s="791"/>
    </row>
    <row r="10" spans="1:23" ht="21.75" customHeight="1" thickBot="1" x14ac:dyDescent="0.3">
      <c r="A10" s="30" t="s">
        <v>139</v>
      </c>
      <c r="B10" s="778" t="s">
        <v>202</v>
      </c>
      <c r="C10" s="779"/>
      <c r="D10" s="779"/>
      <c r="E10" s="779"/>
      <c r="F10" s="779"/>
      <c r="G10" s="779"/>
      <c r="H10" s="779"/>
      <c r="I10" s="779"/>
      <c r="J10" s="779"/>
      <c r="K10" s="779"/>
      <c r="L10" s="251"/>
      <c r="M10" s="775" t="s">
        <v>203</v>
      </c>
      <c r="N10" s="776"/>
      <c r="O10" s="776"/>
      <c r="P10" s="776"/>
      <c r="Q10" s="776"/>
      <c r="R10" s="776"/>
      <c r="S10" s="776"/>
      <c r="T10" s="776"/>
      <c r="U10" s="776"/>
      <c r="V10" s="776"/>
      <c r="W10" s="777"/>
    </row>
    <row r="11" spans="1:23" ht="14.85" customHeight="1" thickBot="1" x14ac:dyDescent="0.3">
      <c r="A11" s="848" t="s">
        <v>22</v>
      </c>
      <c r="B11" s="792" t="s">
        <v>204</v>
      </c>
      <c r="C11" s="793"/>
      <c r="D11" s="793"/>
      <c r="E11" s="793"/>
      <c r="F11" s="793"/>
      <c r="G11" s="793"/>
      <c r="H11" s="793"/>
      <c r="I11" s="793"/>
      <c r="J11" s="793"/>
      <c r="K11" s="793"/>
      <c r="L11" s="793"/>
      <c r="M11" s="809" t="s">
        <v>204</v>
      </c>
      <c r="N11" s="810"/>
      <c r="O11" s="810"/>
      <c r="P11" s="810"/>
      <c r="Q11" s="810"/>
      <c r="R11" s="810"/>
      <c r="S11" s="810"/>
      <c r="T11" s="810"/>
      <c r="U11" s="810"/>
      <c r="V11" s="810"/>
      <c r="W11" s="811"/>
    </row>
    <row r="12" spans="1:23" ht="15.75" customHeight="1" thickBot="1" x14ac:dyDescent="0.3">
      <c r="A12" s="848"/>
      <c r="B12" s="814" t="s">
        <v>25</v>
      </c>
      <c r="C12" s="801"/>
      <c r="D12" s="801"/>
      <c r="E12" s="801"/>
      <c r="F12" s="801"/>
      <c r="G12" s="815"/>
      <c r="H12" s="815"/>
      <c r="I12" s="815"/>
      <c r="J12" s="815"/>
      <c r="K12" s="815"/>
      <c r="L12" s="815"/>
      <c r="M12" s="252"/>
      <c r="N12" s="253"/>
      <c r="O12" s="253"/>
      <c r="P12" s="253"/>
      <c r="Q12" s="413"/>
      <c r="R12" s="253"/>
      <c r="S12" s="253"/>
      <c r="T12" s="253"/>
      <c r="U12" s="253"/>
      <c r="V12" s="253"/>
      <c r="W12" s="254"/>
    </row>
    <row r="13" spans="1:23" ht="30.75" customHeight="1" thickBot="1" x14ac:dyDescent="0.3">
      <c r="A13" s="848"/>
      <c r="B13" s="273" t="s">
        <v>23</v>
      </c>
      <c r="C13" s="296" t="s">
        <v>24</v>
      </c>
      <c r="D13" s="916"/>
      <c r="E13" s="916"/>
      <c r="F13" s="916"/>
      <c r="G13" s="312" t="s">
        <v>17</v>
      </c>
      <c r="H13" s="229" t="s">
        <v>18</v>
      </c>
      <c r="I13" s="171" t="s">
        <v>19</v>
      </c>
      <c r="J13" s="172" t="s">
        <v>20</v>
      </c>
      <c r="K13" s="173" t="s">
        <v>21</v>
      </c>
      <c r="L13" s="483" t="s">
        <v>205</v>
      </c>
      <c r="M13" s="816"/>
      <c r="N13" s="817"/>
      <c r="O13" s="817"/>
      <c r="P13" s="817"/>
      <c r="Q13" s="817"/>
      <c r="R13" s="817"/>
      <c r="S13" s="817"/>
      <c r="T13" s="817"/>
      <c r="U13" s="817"/>
      <c r="V13" s="817"/>
      <c r="W13" s="818"/>
    </row>
    <row r="14" spans="1:23" ht="23.25" customHeight="1" thickBot="1" x14ac:dyDescent="0.3">
      <c r="A14" s="848"/>
      <c r="B14" s="519" t="s">
        <v>159</v>
      </c>
      <c r="C14" s="787" t="s">
        <v>221</v>
      </c>
      <c r="D14" s="788"/>
      <c r="E14" s="295"/>
      <c r="F14" s="423"/>
      <c r="G14" s="607">
        <f>IF('Table 1-B  Context Analysis'!$K$7="Yes",IF('Table 1-D-Outcomes'!N15="","N/A",'Table 1-D-Outcomes'!N15), IF('Table 1-B  Context Analysis'!$K$7="No",IF('Table 1-B  Context Analysis'!$K$8="Yes",IF('Table 1-D-Outcomes'!$V14="F3",IF('Table 1-D-Outcomes'!N15="","N/A",'Table 1-D-Outcomes'!N15),IF('Table 1-D-Outcomes'!N15="","N/A"," F3 exigé")),IF('Table 1-D-Outcomes'!$V$14="F0",IF('Table 1-D-Outcomes'!N15="","N/A","F0"),IF('Table 1-D-Outcomes'!$V$14="F1",IF('Table 1-D-Outcomes'!N15="","N/A","F1"),IF('Table 1-D-Outcomes'!$V$14="Erreur","fiabilité",IF('Table 1-D-Outcomes'!N15="","N/A",'Table 1-D-Outcomes'!N15)))))))</f>
        <v>0.7</v>
      </c>
      <c r="H14" s="608"/>
      <c r="I14" s="476">
        <f>IF('Table 1-B  Context Analysis'!$K$7="Yes",IF('Table 1-D-Outcomes'!P15="","N/A",'Table 1-D-Outcomes'!P15), IF('Table 1-B  Context Analysis'!$K$7="No",IF('Table 1-B  Context Analysis'!$K$8="Yes",IF('Table 1-D-Outcomes'!$V14="F3",IF('Table 1-D-Outcomes'!P15="","N/A",'Table 1-D-Outcomes'!P15),IF('Table 1-D-Outcomes'!P15="","N/A"," F3 exigé")),IF('Table 1-D-Outcomes'!V14="F0","F0",IF('Table 1-D-Outcomes'!V14="F1","F1",IF('Table 1-D-Outcomes'!$V$14="Erreur","fiabilité",IF('Table 1-D-Outcomes'!P15="","N/A",'Table 1-D-Outcomes'!P15)))))))</f>
        <v>0.25</v>
      </c>
      <c r="J14" s="607">
        <f>IF('Table 1-B  Context Analysis'!$K$7="Yes",IF('Table 1-D-Outcomes'!Q15="","N/A",'Table 1-D-Outcomes'!Q15), IF('Table 1-B  Context Analysis'!$K$7="No",IF('Table 1-B  Context Analysis'!$K$8="Yes",IF('Table 1-D-Outcomes'!$V14="F3",IF('Table 1-D-Outcomes'!Q15="","N/A",'Table 1-D-Outcomes'!Q15),IF('Table 1-D-Outcomes'!Q15="","N/A"," F3 exigé")),IF('Table 1-D-Outcomes'!V14="F0","F0",IF('Table 1-D-Outcomes'!V14="F1","F1",IF('Table 1-D-Outcomes'!$V$14="Erreur","fiabilité",IF('Table 1-D-Outcomes'!Q15="","N/A",'Table 1-D-Outcomes'!Q15)))))))</f>
        <v>0.05</v>
      </c>
      <c r="K14" s="608"/>
      <c r="L14" s="415"/>
      <c r="M14" s="819"/>
      <c r="N14" s="820"/>
      <c r="O14" s="820"/>
      <c r="P14" s="820"/>
      <c r="Q14" s="820"/>
      <c r="R14" s="820"/>
      <c r="S14" s="820"/>
      <c r="T14" s="820"/>
      <c r="U14" s="820"/>
      <c r="V14" s="820"/>
      <c r="W14" s="821"/>
    </row>
    <row r="15" spans="1:23" ht="15" customHeight="1" thickBot="1" x14ac:dyDescent="0.3">
      <c r="A15" s="848"/>
      <c r="B15" s="520" t="s">
        <v>3</v>
      </c>
      <c r="C15" s="926"/>
      <c r="D15" s="927"/>
      <c r="E15" s="927"/>
      <c r="F15" s="928"/>
      <c r="G15" s="476">
        <f>IF('Table 1-B  Context Analysis'!$K$7="Ye",IF('Table 1-D-Outcomes'!N17="","N/A",'Table 1-D-Outcomes'!N17), IF('Table 1-B  Context Analysis'!$K$7="No",IF('Table 1-B  Context Analysis'!$K$8="Yes",IF('Table 1-D-Outcomes'!$V17="F3",IF('Table 1-D-Outcomes'!N17="","N/A",'Table 1-D-Outcomes'!N17),IF('Table 1-D-Outcomes'!N17="","N/A"," F3 exigé")),IF('Table 1-D-Outcomes'!$V17="F0",IF('Table 1-D-Outcomes'!N17="","N/A","F0"),IF('Table 1-D-Outcomes'!$V17="F1",IF('Table 1-D-Outcomes'!N17="","N/A","F1"),IF('Table 1-D-Outcomes'!$V$17="Erreur","fiabilité",IF('Table 1-D-Outcomes'!N17="","N/A",'Table 1-D-Outcomes'!N17)))))))</f>
        <v>0.66300000000000003</v>
      </c>
      <c r="H15" s="476">
        <f>IF('Table 1-B  Context Analysis'!$K$7="Yes",IF('Table 1-D-Outcomes'!O17="","N/A",'Table 1-D-Outcomes'!O17), IF('Table 1-B  Context Analysis'!$K$7="No",IF('Table 1-B  Context Analysis'!$K$8="Oui",IF('Table 1-D-Outcomes'!$V17="F3",IF('Table 1-D-Outcomes'!O17="","N/A",'Table 1-D-Outcomes'!O17),IF('Table 1-D-Outcomes'!O17="","N/A"," F3 exigé")),IF('Table 1-D-Outcomes'!$V17="F0",IF('Table 1-D-Outcomes'!O17="","N/A","F0"),IF('Table 1-D-Outcomes'!$V17="F1",IF('Table 1-D-Outcomes'!O17="","N/A","F1"),IF('Table 1-D-Outcomes'!$V$17="Erreur","fiabilité",IF('Table 1-D-Outcomes'!O17="","N/A",'Table 1-D-Outcomes'!O17)))))))</f>
        <v>0.19700000000000001</v>
      </c>
      <c r="I15" s="476">
        <f>IF('Table 1-B  Context Analysis'!$K$7="Yes",IF('Table 1-D-Outcomes'!P17="","N/A",'Table 1-D-Outcomes'!P17), IF('Table 1-B  Context Analysis'!$K$7="No",IF('Table 1-B  Context Analysis'!$K$8="Yes",IF('Table 1-D-Outcomes'!$V17="F3",IF('Table 1-D-Outcomes'!P17="","N/A",'Table 1-D-Outcomes'!P17),IF('Table 1-D-Outcomes'!P17="","N/A"," F3 exigé")),IF('Table 1-D-Outcomes'!$V17="F0",IF('Table 1-D-Outcomes'!P17="","N/A","F0"),IF('Table 1-D-Outcomes'!$V17="F1",IF('Table 1-D-Outcomes'!P17="","N/A","F1"),IF('Table 1-D-Outcomes'!$V$17="Erreur","fiabilité",IF('Table 1-D-Outcomes'!P17="","N/A",'Table 1-D-Outcomes'!P17)))))))</f>
        <v>0.11700000000000001</v>
      </c>
      <c r="J15" s="476">
        <f>IF('Table 1-B  Context Analysis'!$K$7="Yes",IF('Table 1-D-Outcomes'!Q17="","N/A",'Table 1-D-Outcomes'!Q17), IF('Table 1-B  Context Analysis'!$K$7="No",IF('Table 1-B  Context Analysis'!$K$8="Yes",IF('Table 1-D-Outcomes'!$V17="F3",IF('Table 1-D-Outcomes'!Q17="","N/A",'Table 1-D-Outcomes'!Q17),IF('Table 1-D-Outcomes'!Q17="","N/A"," F3 exigé")),IF('Table 1-D-Outcomes'!$V17="F0",IF('Table 1-D-Outcomes'!Q17="","N/A","F0"),IF('Table 1-D-Outcomes'!$V17="F1",IF('Table 1-D-Outcomes'!Q17="","N/A","F1"),IF('Table 1-D-Outcomes'!$V$17="Erreur","fiabilité",IF('Table 1-D-Outcomes'!Q17="","N/A",'Table 1-D-Outcomes'!Q17)))))))</f>
        <v>0.02</v>
      </c>
      <c r="K15" s="476">
        <f>IF('Table 1-B  Context Analysis'!$K$7="Yes",IF('Table 1-D-Outcomes'!R17="","N/A",'Table 1-D-Outcomes'!R17), IF('Table 1-B  Context Analysis'!$K$7="No",IF('Table 1-B  Context Analysis'!$K$8="Yes",IF('Table 1-D-Outcomes'!$V17="F3",IF('Table 1-D-Outcomes'!R17="","N/A",'Table 1-D-Outcomes'!R17),IF('Table 1-D-Outcomes'!R17="","N/A"," F3 exigé")),IF('Table 1-D-Outcomes'!$V17="F0",IF('Table 1-D-Outcomes'!R17="","N/A","F0"),IF('Table 1-D-Outcomes'!$V17="F1",IF('Table 1-D-Outcomes'!R17="","N/A","F1"),IF('Table 1-D-Outcomes'!$V$17="Erreur","fiabilité",IF('Table 1-D-Outcomes'!R17="","N/A",'Table 1-D-Outcomes'!R17)))))))</f>
        <v>3.0000000000000001E-3</v>
      </c>
      <c r="L15" s="415"/>
      <c r="M15" s="819"/>
      <c r="N15" s="820"/>
      <c r="O15" s="820"/>
      <c r="P15" s="820"/>
      <c r="Q15" s="820"/>
      <c r="R15" s="820"/>
      <c r="S15" s="820"/>
      <c r="T15" s="820"/>
      <c r="U15" s="820"/>
      <c r="V15" s="820"/>
      <c r="W15" s="821"/>
    </row>
    <row r="16" spans="1:23" ht="15.75" customHeight="1" thickBot="1" x14ac:dyDescent="0.3">
      <c r="A16" s="848"/>
      <c r="B16" s="520" t="s">
        <v>4</v>
      </c>
      <c r="C16" s="929"/>
      <c r="D16" s="911"/>
      <c r="E16" s="911"/>
      <c r="F16" s="912"/>
      <c r="G16" s="476">
        <f>IF('Table 1-B  Context Analysis'!$K$7="Yes",IF('Table 1-D-Outcomes'!N18="","N/A",'Table 1-D-Outcomes'!N18), IF('Table 1-B  Context Analysis'!$K$7="No",IF('Table 1-B  Context Analysis'!$K$8="Yes",IF('Table 1-D-Outcomes'!$V18="F3",IF('Table 1-D-Outcomes'!N18="","N/A",'Table 1-D-Outcomes'!N18),IF('Table 1-D-Outcomes'!N18="","N/A"," F3 exigé")),IF('Table 1-D-Outcomes'!$V18="F0",IF('Table 1-D-Outcomes'!N18="","N/A","F0"),IF('Table 1-D-Outcomes'!$V18="F1",IF('Table 1-D-Outcomes'!N18="","N/A","F1"),IF('Table 1-D-Outcomes'!$V$18="Erreur","fiabilité",IF('Table 1-D-Outcomes'!N18="","N/A",'Table 1-D-Outcomes'!N18)))))))</f>
        <v>0.49299999999999999</v>
      </c>
      <c r="H16" s="476">
        <f>IF('Table 1-B  Context Analysis'!$K$7="Yes",IF('Table 1-D-Outcomes'!O18="","N/A",'Table 1-D-Outcomes'!O18), IF('Table 1-B  Context Analysis'!$K$7="No",IF('Table 1-B  Context Analysis'!$K$8="Yes",IF('Table 1-D-Outcomes'!$V18="F3",IF('Table 1-D-Outcomes'!O18="","N/A",'Table 1-D-Outcomes'!O18),IF('Table 1-D-Outcomes'!O18="","N/A"," F3 exigé")),IF('Table 1-D-Outcomes'!$V18="F0",IF('Table 1-D-Outcomes'!O18="","N/A","F0"),IF('Table 1-D-Outcomes'!$V18="F1",IF('Table 1-D-Outcomes'!O18="","N/A","F1"),IF('Table 1-D-Outcomes'!$V$18="Erreur","fiabilité",IF('Table 1-D-Outcomes'!O18="","N/A",'Table 1-D-Outcomes'!O18)))))))</f>
        <v>0.27700000000000002</v>
      </c>
      <c r="I16" s="476">
        <f>IF('Table 1-B  Context Analysis'!$K$7="Yes",IF('Table 1-D-Outcomes'!P18="","N/A",'Table 1-D-Outcomes'!P18), IF('Table 1-B  Context Analysis'!$K$7="No",IF('Table 1-B  Context Analysis'!$K$8="Yes",IF('Table 1-D-Outcomes'!$V18="F3",IF('Table 1-D-Outcomes'!P18="","N/A",'Table 1-D-Outcomes'!P18),IF('Table 1-D-Outcomes'!P18="","N/A"," F3 exigé")),IF('Table 1-D-Outcomes'!$V18="F0",IF('Table 1-D-Outcomes'!P18="","N/A","F0"),IF('Table 1-D-Outcomes'!$V18="F1",IF('Table 1-D-Outcomes'!P18="","N/A","F1"),IF('Table 1-D-Outcomes'!$V$18="Erreur","fiabilité",IF('Table 1-D-Outcomes'!P18="","N/A",'Table 1-D-Outcomes'!P18)))))))</f>
        <v>0.23</v>
      </c>
      <c r="J16" s="476">
        <f>IF('Table 1-B  Context Analysis'!$K$7="Yes",IF('Table 1-D-Outcomes'!Q18="","N/A",'Table 1-D-Outcomes'!Q18), IF('Table 1-B  Context Analysis'!$K$7="No",IF('Table 1-B  Context Analysis'!$K$8="Yes",IF('Table 1-D-Outcomes'!$V18="F3",IF('Table 1-D-Outcomes'!Q18="","N/A",'Table 1-D-Outcomes'!Q18),IF('Table 1-D-Outcomes'!Q18="","N/A"," F3 exigé")),IF('Table 1-D-Outcomes'!$V18="F0",IF('Table 1-D-Outcomes'!Q18="","N/A","F0"),IF('Table 1-D-Outcomes'!$V18="F1",IF('Table 1-D-Outcomes'!Q18="","N/A","F1"),IF('Table 1-D-Outcomes'!$V$18="Erreur","fiabilité",IF('Table 1-D-Outcomes'!Q18="","N/A",'Table 1-D-Outcomes'!Q18)))))))</f>
        <v>0</v>
      </c>
      <c r="K16" s="476">
        <f>IF('Table 1-B  Context Analysis'!$K$7="Yes",IF('Table 1-D-Outcomes'!R18="","N/A",'Table 1-D-Outcomes'!R18), IF('Table 1-B  Context Analysis'!$K$7="No",IF('Table 1-B  Context Analysis'!$K$8="Yes",IF('Table 1-D-Outcomes'!$V18="F3",IF('Table 1-D-Outcomes'!R18="","N/A",'Table 1-D-Outcomes'!R18),IF('Table 1-D-Outcomes'!R18="","N/A"," F3 exigé")),IF('Table 1-D-Outcomes'!$V18="F0",IF('Table 1-D-Outcomes'!R18="","N/A","F0"),IF('Table 1-D-Outcomes'!$V18="F1",IF('Table 1-D-Outcomes'!R18="","N/A","F1"),IF('Table 1-D-Outcomes'!$V$18="Erreur","fiabilité",IF('Table 1-D-Outcomes'!R18="","N/A",'Table 1-D-Outcomes'!R18)))))))</f>
        <v>0</v>
      </c>
      <c r="L16" s="415"/>
      <c r="M16" s="822"/>
      <c r="N16" s="823"/>
      <c r="O16" s="823"/>
      <c r="P16" s="823"/>
      <c r="Q16" s="823"/>
      <c r="R16" s="823"/>
      <c r="S16" s="823"/>
      <c r="T16" s="823"/>
      <c r="U16" s="823"/>
      <c r="V16" s="823"/>
      <c r="W16" s="824"/>
    </row>
    <row r="17" spans="1:23" ht="21.75" customHeight="1" thickBot="1" x14ac:dyDescent="0.3">
      <c r="A17" s="848"/>
      <c r="B17" s="520" t="s">
        <v>5</v>
      </c>
      <c r="C17" s="930"/>
      <c r="D17" s="931"/>
      <c r="E17" s="931"/>
      <c r="F17" s="932"/>
      <c r="G17" s="476">
        <f>IF('Table 1-B  Context Analysis'!$K$7="Yes",IF('Table 1-D-Outcomes'!N19="","N/A",'Table 1-D-Outcomes'!N19), IF('Table 1-B  Context Analysis'!$K$7="No",IF('Table 1-B  Context Analysis'!$K$8="Yes",IF('Table 1-D-Outcomes'!$V19="F3",IF('Table 1-D-Outcomes'!N19="","N/A",'Table 1-D-Outcomes'!N19),IF('Table 1-D-Outcomes'!N19="","N/A"," F3 exigé")),IF('Table 1-D-Outcomes'!$V19="F0",IF('Table 1-D-Outcomes'!N19="","N/A","F0"),IF('Table 1-D-Outcomes'!$V19="F1",IF('Table 1-D-Outcomes'!N19="","N/A","F1"),IF('Table 1-D-Outcomes'!$V$19="Erreur","fiabilité",IF('Table 1-D-Outcomes'!N19="","N/A",'Table 1-D-Outcomes'!N19)))))))</f>
        <v>0.17</v>
      </c>
      <c r="H17" s="476">
        <f>IF('Table 1-B  Context Analysis'!$K$7="Yes",IF('Table 1-D-Outcomes'!O19="","N/A",'Table 1-D-Outcomes'!O19), IF('Table 1-B  Context Analysis'!$K$7="No",IF('Table 1-B  Context Analysis'!$K$8="Yes",IF('Table 1-D-Outcomes'!$V19="F3",IF('Table 1-D-Outcomes'!O19="","N/A",'Table 1-D-Outcomes'!O19),IF('Table 1-D-Outcomes'!O19="","N/A"," F3 exigé")),IF('Table 1-D-Outcomes'!$V19="F0",IF('Table 1-D-Outcomes'!O19="","N/A","F0"),IF('Table 1-D-Outcomes'!$V19="F1",IF('Table 1-D-Outcomes'!O19="","N/A","F1"),IF('Table 1-D-Outcomes'!$V$19="Erreur","fiabilité",IF('Table 1-D-Outcomes'!O19="","N/A",'Table 1-D-Outcomes'!O19)))))))</f>
        <v>0.49</v>
      </c>
      <c r="I17" s="607">
        <f>IF('Table 1-B  Context Analysis'!$K$7="Yes",IF('Table 1-D-Outcomes'!P19="","N/A",'Table 1-D-Outcomes'!P19), IF('Table 1-B  Context Analysis'!$K$7="No",IF('Table 1-B  Context Analysis'!$K$8="Yes",IF('Table 1-D-Outcomes'!$V19="F3",IF('Table 1-D-Outcomes'!P19="","N/A",'Table 1-D-Outcomes'!P19),IF('Table 1-D-Outcomes'!P19="","N/A"," F3 exigé")),IF('Table 1-D-Outcomes'!$V19="F0",IF('Table 1-D-Outcomes'!P19="","N/A","F0"),IF('Table 1-D-Outcomes'!$V19="F1",IF('Table 1-D-Outcomes'!P19="","N/A","F1"),IF('Table 1-D-Outcomes'!$V$17="Erreur","fiabilité",IF('Table 1-D-Outcomes'!P19="","N/A",'Table 1-D-Outcomes'!P19)))))))</f>
        <v>0.34</v>
      </c>
      <c r="J17" s="609"/>
      <c r="K17" s="608"/>
      <c r="L17" s="260"/>
      <c r="M17" s="321"/>
      <c r="N17" s="785" t="s">
        <v>220</v>
      </c>
      <c r="O17" s="786"/>
      <c r="P17" s="786"/>
      <c r="Q17" s="424"/>
      <c r="R17" s="312" t="s">
        <v>17</v>
      </c>
      <c r="S17" s="229" t="s">
        <v>18</v>
      </c>
      <c r="T17" s="171" t="s">
        <v>19</v>
      </c>
      <c r="U17" s="172" t="s">
        <v>20</v>
      </c>
      <c r="V17" s="436" t="s">
        <v>21</v>
      </c>
      <c r="W17" s="483" t="s">
        <v>205</v>
      </c>
    </row>
    <row r="18" spans="1:23" ht="15.75" customHeight="1" thickBot="1" x14ac:dyDescent="0.3">
      <c r="A18" s="848"/>
      <c r="B18" s="18" t="s">
        <v>6</v>
      </c>
      <c r="C18" s="174" t="s">
        <v>170</v>
      </c>
      <c r="D18" s="174" t="s">
        <v>171</v>
      </c>
      <c r="E18" s="179" t="s">
        <v>172</v>
      </c>
      <c r="F18" s="238" t="s">
        <v>232</v>
      </c>
      <c r="G18" s="359"/>
      <c r="H18" s="360"/>
      <c r="I18" s="360"/>
      <c r="J18" s="360"/>
      <c r="K18" s="361"/>
      <c r="L18" s="260"/>
      <c r="M18" s="313" t="s">
        <v>6</v>
      </c>
      <c r="N18" s="174" t="s">
        <v>170</v>
      </c>
      <c r="O18" s="174" t="s">
        <v>171</v>
      </c>
      <c r="P18" s="179" t="s">
        <v>172</v>
      </c>
      <c r="Q18" s="238" t="s">
        <v>232</v>
      </c>
      <c r="R18" s="362"/>
      <c r="S18" s="1"/>
      <c r="T18" s="1"/>
      <c r="U18" s="1"/>
      <c r="V18" s="363"/>
      <c r="W18" s="260"/>
    </row>
    <row r="19" spans="1:23" ht="15.75" customHeight="1" thickBot="1" x14ac:dyDescent="0.3">
      <c r="A19" s="848"/>
      <c r="B19" s="18" t="s">
        <v>35</v>
      </c>
      <c r="C19" s="476">
        <f>IF('Table 1-B  Context Analysis'!$K$7="Yes",IF('Table 1-D-Outcomes'!N21="","N/A",'Table 1-D-Outcomes'!N21), IF('Table 1-B  Context Analysis'!$K$7="No",IF('Table 1-B  Context Analysis'!$K$8="Yes",IF('Table 1-D-Outcomes'!$V$20="F3",IF('Table 1-D-Outcomes'!N21="","N/A",'Table 1-D-Outcomes'!N21),IF('Table 1-D-Outcomes'!N21="","N/A"," F3 exigé")),IF('Table 1-D-Outcomes'!$V$20="F0",IF('Table 1-D-Outcomes'!N21="","N/A","F0"),IF('Table 1-D-Outcomes'!$V$20="F1",IF('Table 1-D-Outcomes'!N21="","N/A","F1"),IF('Table 1-D-Outcomes'!$V$20="Erreur","fiabilité",IF('Table 1-D-Outcomes'!N21="","N/A",'Table 1-D-Outcomes'!N21)))))))</f>
        <v>0.01</v>
      </c>
      <c r="D19" s="476">
        <f>IF('Table 1-B  Context Analysis'!$K$7="Yes",IF('Table 1-D-Outcomes'!O21="","N/A",'Table 1-D-Outcomes'!O21), IF('Table 1-B  Context Analysis'!$K$7="No",IF('Table 1-B  Context Analysis'!$K$8="Yes",IF('Table 1-D-Outcomes'!$V$20="F3",IF('Table 1-D-Outcomes'!O21="","N/A",'Table 1-D-Outcomes'!O21),IF('Table 1-D-Outcomes'!O21="","N/A"," F3 exigé")),IF('Table 1-D-Outcomes'!$V$20="F0",IF('Table 1-D-Outcomes'!O21="","N/A","F0"),IF('Table 1-D-Outcomes'!$V$20="F1",IF('Table 1-D-Outcomes'!O21="","N/A","F1"),IF('Table 1-D-Outcomes'!$V$20="Erreur","fiabilité",IF('Table 1-D-Outcomes'!O21="","N/A",'Table 1-D-Outcomes'!O21)))))))</f>
        <v>0.01</v>
      </c>
      <c r="E19" s="476">
        <f>IF('Table 1-B  Context Analysis'!$K$7="Yes",IF('Table 1-D-Outcomes'!P21="","N/A",'Table 1-D-Outcomes'!P21), IF('Table 1-B  Context Analysis'!$K$7="No",IF('Table 1-B  Context Analysis'!$K$8="Yes",IF('Table 1-D-Outcomes'!$V$20="F3",IF('Table 1-D-Outcomes'!P21="","N/A",'Table 1-D-Outcomes'!P21),IF('Table 1-D-Outcomes'!P21="","N/A"," F3 exigé")),IF('Table 1-D-Outcomes'!$V$20="F0",IF('Table 1-D-Outcomes'!P21="","N/A","F0"),IF('Table 1-D-Outcomes'!$V$20="F1",IF('Table 1-D-Outcomes'!P21="","N/A","F1"),IF('Table 1-D-Outcomes'!$V$20="Erreur","fiabilité",IF('Table 1-D-Outcomes'!P21="","N/A",'Table 1-D-Outcomes'!P21)))))))</f>
        <v>0.01</v>
      </c>
      <c r="F19" s="476">
        <f>IF('Table 1-B  Context Analysis'!$K$7="Yes",IF('Table 1-D-Outcomes'!Q21="","N/A",'Table 1-D-Outcomes'!Q21), IF('Table 1-B  Context Analysis'!$K$7="No",IF('Table 1-B  Context Analysis'!$K$8="Yes",IF('Table 1-D-Outcomes'!$V$20="F3",IF('Table 1-D-Outcomes'!Q21="","N/A",'Table 1-D-Outcomes'!Q21),IF('Table 1-D-Outcomes'!Q21="","N/A"," F3 exigé")),IF('Table 1-D-Outcomes'!$V$20="F0",IF('Table 1-D-Outcomes'!Q21="","N/A","F0"),IF('Table 1-D-Outcomes'!$V$20="F1",IF('Table 1-D-Outcomes'!Q21="","N/A","F1"),IF('Table 1-D-Outcomes'!$V$20="Erreur","fiabilité",IF('Table 1-D-Outcomes'!Q21="","N/A",'Table 1-D-Outcomes'!Q21)))))))</f>
        <v>0.01</v>
      </c>
      <c r="G19" s="260"/>
      <c r="H19" s="260"/>
      <c r="I19" s="260"/>
      <c r="J19" s="260"/>
      <c r="K19" s="260"/>
      <c r="L19" s="884"/>
      <c r="M19" s="314" t="s">
        <v>35</v>
      </c>
      <c r="N19" s="476">
        <f>IF('Table 1-B  Context Analysis'!$K$7="Yes",IF('Table 1-D-Outcomes'!N22="","N/A",'Table 1-D-Outcomes'!N22), IF('Table 1-B  Context Analysis'!$K$7="No",IF('Table 1-B  Context Analysis'!$K$8="Yes",IF('Table 1-D-Outcomes'!$V$20="F3",IF('Table 1-D-Outcomes'!N22="","N/A",'Table 1-D-Outcomes'!N22),IF('Table 1-D-Outcomes'!N22="","N/A"," F3 exigé")),IF('Table 1-D-Outcomes'!$V$20="F0",IF('Table 1-D-Outcomes'!N22="","N/A","F0"),IF('Table 1-D-Outcomes'!$V$20="F1",IF('Table 1-D-Outcomes'!N22="","N/A","F1"),IF('Table 1-D-Outcomes'!$V$20="Erreur","fiabilité",IF('Table 1-D-Outcomes'!N22="","N/A",'Table 1-D-Outcomes'!N22)))))))</f>
        <v>0.02</v>
      </c>
      <c r="O19" s="476">
        <f>IF('Table 1-B  Context Analysis'!$K$7="Yes",IF('Table 1-D-Outcomes'!O22="","N/A",'Table 1-D-Outcomes'!O22), IF('Table 1-B  Context Analysis'!$K$7="No",IF('Table 1-B  Context Analysis'!$K$8="Yes",IF('Table 1-D-Outcomes'!$V$20="F3",IF('Table 1-D-Outcomes'!O22="","N/A",'Table 1-D-Outcomes'!O22),IF('Table 1-D-Outcomes'!O22="","N/A"," F3 exigé")),IF('Table 1-D-Outcomes'!$V$20="F0",IF('Table 1-D-Outcomes'!O22="","N/A","F0"),IF('Table 1-D-Outcomes'!$V$20="F1",IF('Table 1-D-Outcomes'!O22="","N/A","F1"),IF('Table 1-D-Outcomes'!$V$20="Erreur","fiabilité",IF('Table 1-D-Outcomes'!O22="","N/A",'Table 1-D-Outcomes'!O22)))))))</f>
        <v>0.02</v>
      </c>
      <c r="P19" s="476">
        <f>IF('Table 1-B  Context Analysis'!$K$7="Yes",IF('Table 1-D-Outcomes'!P22="","N/A",'Table 1-D-Outcomes'!P22), IF('Table 1-B  Context Analysis'!$K$7="No",IF('Table 1-B  Context Analysis'!$K$8="Yes",IF('Table 1-D-Outcomes'!$V$20="F3",IF('Table 1-D-Outcomes'!P22="","N/A",'Table 1-D-Outcomes'!P22),IF('Table 1-D-Outcomes'!P22="","N/A"," F3 exigé")),IF('Table 1-D-Outcomes'!$V$20="F0",IF('Table 1-D-Outcomes'!P22="","N/A","F0"),IF('Table 1-D-Outcomes'!$V$20="F1",IF('Table 1-D-Outcomes'!P22="","N/A","F1"),IF('Table 1-D-Outcomes'!$V$20="Erreur","fiabilité",IF('Table 1-D-Outcomes'!P22="","N/A",'Table 1-D-Outcomes'!P22)))))))</f>
        <v>0.02</v>
      </c>
      <c r="Q19" s="476">
        <f>IF('Table 1-B  Context Analysis'!$K$7="Yes",IF('Table 1-D-Outcomes'!Q22="","N/A",'Table 1-D-Outcomes'!Q22), IF('Table 1-B  Context Analysis'!$K$7="No",IF('Table 1-B  Context Analysis'!$K$8="Yes",IF('Table 1-D-Outcomes'!$V$20="F3",IF('Table 1-D-Outcomes'!Q22="","N/A",'Table 1-D-Outcomes'!Q22),IF('Table 1-D-Outcomes'!Q22="","N/A"," F3 exigé")),IF('Table 1-D-Outcomes'!$V$20="F0",IF('Table 1-D-Outcomes'!Q22="","N/A","F0"),IF('Table 1-D-Outcomes'!$V$20="F1",IF('Table 1-D-Outcomes'!Q22="","N/A","F1"),IF('Table 1-D-Outcomes'!$V$20="Erreur","fiabilité",IF('Table 1-D-Outcomes'!Q22="","N/A",'Table 1-D-Outcomes'!Q22)))))))</f>
        <v>0.02</v>
      </c>
      <c r="R19" s="260"/>
      <c r="S19" s="260"/>
      <c r="T19" s="260"/>
      <c r="U19" s="260"/>
      <c r="V19" s="260"/>
      <c r="W19" s="794"/>
    </row>
    <row r="20" spans="1:23" ht="15.75" customHeight="1" thickBot="1" x14ac:dyDescent="0.3">
      <c r="A20" s="848"/>
      <c r="B20" s="18" t="s">
        <v>36</v>
      </c>
      <c r="C20" s="476">
        <f>IF('Table 1-B  Context Analysis'!$K$7="Yes",IF('Table 1-D-Outcomes'!N23="","N/A",'Table 1-D-Outcomes'!N23), IF('Table 1-B  Context Analysis'!$K$7="No",IF('Table 1-B  Context Analysis'!$K$8="Yes",IF('Table 1-D-Outcomes'!$V$20="F3",IF('Table 1-D-Outcomes'!N23="","N/A",'Table 1-D-Outcomes'!N23),IF('Table 1-D-Outcomes'!N23="","N/A"," F3 exigé")),IF('Table 1-D-Outcomes'!$V$20="F0",IF('Table 1-D-Outcomes'!N23="","N/A","F0"),IF('Table 1-D-Outcomes'!$V$20="F1",IF('Table 1-D-Outcomes'!N23="","N/A","F1"),IF('Table 1-D-Outcomes'!$V$20="Erreur","fiabilité",IF('Table 1-D-Outcomes'!N23="","N/A",'Table 1-D-Outcomes'!N23)))))))</f>
        <v>0.03</v>
      </c>
      <c r="D20" s="476">
        <f>IF('Table 1-B  Context Analysis'!$K$7="Yes",IF('Table 1-D-Outcomes'!O23="","N/A",'Table 1-D-Outcomes'!O23), IF('Table 1-B  Context Analysis'!$K$7="No",IF('Table 1-B  Context Analysis'!$K$8="Yes",IF('Table 1-D-Outcomes'!$V$20="F3",IF('Table 1-D-Outcomes'!O23="","N/A",'Table 1-D-Outcomes'!O23),IF('Table 1-D-Outcomes'!O23="","N/A"," F3 exigé")),IF('Table 1-D-Outcomes'!$V$20="F0",IF('Table 1-D-Outcomes'!O23="","N/A","F0"),IF('Table 1-D-Outcomes'!$V$20="F1",IF('Table 1-D-Outcomes'!O23="","N/A","F1"),IF('Table 1-D-Outcomes'!$V$20="Erreur","fiabilité",IF('Table 1-D-Outcomes'!O23="","N/A",'Table 1-D-Outcomes'!O23)))))))</f>
        <v>0.03</v>
      </c>
      <c r="E20" s="476">
        <f>IF('Table 1-B  Context Analysis'!$K$7="Yes",IF('Table 1-D-Outcomes'!P23="","N/A",'Table 1-D-Outcomes'!P23), IF('Table 1-B  Context Analysis'!$K$7="No",IF('Table 1-B  Context Analysis'!$K$8="Yes",IF('Table 1-D-Outcomes'!$V$20="F3",IF('Table 1-D-Outcomes'!P23="","N/A",'Table 1-D-Outcomes'!P23),IF('Table 1-D-Outcomes'!P23="","N/A"," F3 exigé")),IF('Table 1-D-Outcomes'!$V$20="F0",IF('Table 1-D-Outcomes'!P23="","N/A","F0"),IF('Table 1-D-Outcomes'!$V$20="F1",IF('Table 1-D-Outcomes'!P23="","N/A","F1"),IF('Table 1-D-Outcomes'!$V$20="Erreur","fiabilité",IF('Table 1-D-Outcomes'!P23="","N/A",'Table 1-D-Outcomes'!P23)))))))</f>
        <v>0.03</v>
      </c>
      <c r="F20" s="476">
        <f>IF('Table 1-B  Context Analysis'!$K$7="Yes",IF('Table 1-D-Outcomes'!Q23="","N/A",'Table 1-D-Outcomes'!Q23), IF('Table 1-B  Context Analysis'!$K$7="No",IF('Table 1-B  Context Analysis'!$K$8="Yes",IF('Table 1-D-Outcomes'!$V$20="F3",IF('Table 1-D-Outcomes'!Q23="","N/A",'Table 1-D-Outcomes'!Q23),IF('Table 1-D-Outcomes'!Q23="","N/A"," F3 exigé")),IF('Table 1-D-Outcomes'!$V$20="F0",IF('Table 1-D-Outcomes'!Q23="","N/A","F0"),IF('Table 1-D-Outcomes'!$V$20="F1",IF('Table 1-D-Outcomes'!Q23="","N/A","F1"),IF('Table 1-D-Outcomes'!$V$20="Erreur","fiabilité",IF('Table 1-D-Outcomes'!Q23="","N/A",'Table 1-D-Outcomes'!Q23)))))))</f>
        <v>0.03</v>
      </c>
      <c r="G20" s="260"/>
      <c r="H20" s="260"/>
      <c r="I20" s="260"/>
      <c r="J20" s="260"/>
      <c r="K20" s="260"/>
      <c r="L20" s="885"/>
      <c r="M20" s="314" t="s">
        <v>36</v>
      </c>
      <c r="N20" s="476">
        <f>IF('Table 1-B  Context Analysis'!$K$7="Yes",IF('Table 1-D-Outcomes'!N24="","N/A",'Table 1-D-Outcomes'!N24), IF('Table 1-B  Context Analysis'!$K$7="No",IF('Table 1-B  Context Analysis'!$K$8="Yes",IF('Table 1-D-Outcomes'!$V$20="F3",IF('Table 1-D-Outcomes'!N24="","N/A",'Table 1-D-Outcomes'!N24),IF('Table 1-D-Outcomes'!N24="","N/A"," F3 exigé")),IF('Table 1-D-Outcomes'!$V$20="F0",IF('Table 1-D-Outcomes'!N24="","N/A","F0"),IF('Table 1-D-Outcomes'!$V$20="F1",IF('Table 1-D-Outcomes'!N24="","N/A","F1"),IF('Table 1-D-Outcomes'!$V$20="Erreur","fiabilité",IF('Table 1-D-Outcomes'!N24="","N/A",'Table 1-D-Outcomes'!N24)))))))</f>
        <v>0.04</v>
      </c>
      <c r="O20" s="476">
        <f>IF('Table 1-B  Context Analysis'!$K$7="Yes",IF('Table 1-D-Outcomes'!O24="","N/A",'Table 1-D-Outcomes'!O24), IF('Table 1-B  Context Analysis'!$K$7="No",IF('Table 1-B  Context Analysis'!$K$8="Yes",IF('Table 1-D-Outcomes'!$V$20="F3",IF('Table 1-D-Outcomes'!O24="","N/A",'Table 1-D-Outcomes'!O24),IF('Table 1-D-Outcomes'!O24="","N/A"," F3 exigé")),IF('Table 1-D-Outcomes'!$V$20="F0",IF('Table 1-D-Outcomes'!O24="","N/A","F0"),IF('Table 1-D-Outcomes'!$V$20="F1",IF('Table 1-D-Outcomes'!O24="","N/A","F1"),IF('Table 1-D-Outcomes'!$V$20="Erreur","fiabilité",IF('Table 1-D-Outcomes'!O24="","N/A",'Table 1-D-Outcomes'!O24)))))))</f>
        <v>0.04</v>
      </c>
      <c r="P20" s="476">
        <f>IF('Table 1-B  Context Analysis'!$K$7="Yes",IF('Table 1-D-Outcomes'!P24="","N/A",'Table 1-D-Outcomes'!P24), IF('Table 1-B  Context Analysis'!$K$7="No",IF('Table 1-B  Context Analysis'!$K$8="Yes",IF('Table 1-D-Outcomes'!$V$20="F3",IF('Table 1-D-Outcomes'!P24="","N/A",'Table 1-D-Outcomes'!P24),IF('Table 1-D-Outcomes'!P24="","N/A"," F3 exigé")),IF('Table 1-D-Outcomes'!$V$20="F0",IF('Table 1-D-Outcomes'!P24="","N/A","F0"),IF('Table 1-D-Outcomes'!$V$20="F1",IF('Table 1-D-Outcomes'!P24="","N/A","F1"),IF('Table 1-D-Outcomes'!$V$20="Erreur","fiabilité",IF('Table 1-D-Outcomes'!P24="","N/A",'Table 1-D-Outcomes'!P24)))))))</f>
        <v>0.04</v>
      </c>
      <c r="Q20" s="476">
        <f>IF('Table 1-B  Context Analysis'!$K$7="Yes",IF('Table 1-D-Outcomes'!Q24="","N/A",'Table 1-D-Outcomes'!Q24), IF('Table 1-B  Context Analysis'!$K$7="No",IF('Table 1-B  Context Analysis'!$K$8="Oui",IF('Table 1-D-Outcomes'!$V$20="F3",IF('Table 1-D-Outcomes'!Q24="","N/A",'Table 1-D-Outcomes'!Q24),IF('Table 1-D-Outcomes'!Q24="","N/A"," F3 exigé")),IF('Table 1-D-Outcomes'!$V$20="F0",IF('Table 1-D-Outcomes'!Q24="","N/A","F0"),IF('Table 1-D-Outcomes'!$V$20="F1",IF('Table 1-D-Outcomes'!Q24="","N/A","F1"),IF('Table 1-D-Outcomes'!$V$20="Erreur","fiabilité",IF('Table 1-D-Outcomes'!Q24="","N/A",'Table 1-D-Outcomes'!Q24)))))))</f>
        <v>0.04</v>
      </c>
      <c r="R20" s="260"/>
      <c r="S20" s="260"/>
      <c r="T20" s="260"/>
      <c r="U20" s="260"/>
      <c r="V20" s="260"/>
      <c r="W20" s="795"/>
    </row>
    <row r="21" spans="1:23" ht="15.75" customHeight="1" thickBot="1" x14ac:dyDescent="0.3">
      <c r="A21" s="848"/>
      <c r="B21" s="18" t="s">
        <v>37</v>
      </c>
      <c r="C21" s="476">
        <f>IF('Table 1-B  Context Analysis'!$K$7="Yes",IF('Table 1-D-Outcomes'!N25="","N/A",'Table 1-D-Outcomes'!N25), IF('Table 1-B  Context Analysis'!$K$7="No",IF('Table 1-B  Context Analysis'!$K$8="Yes",IF('Table 1-D-Outcomes'!$V$20="F3",IF('Table 1-D-Outcomes'!N25="","N/A",'Table 1-D-Outcomes'!N25),IF('Table 1-D-Outcomes'!N25="","N/A"," F3 exigé")),IF('Table 1-D-Outcomes'!$V$20="F0",IF('Table 1-D-Outcomes'!N25="","N/A","F0"),IF('Table 1-D-Outcomes'!$V$20="F1",IF('Table 1-D-Outcomes'!N25="","N/A","F1"),IF('Table 1-D-Outcomes'!$V$20="Erreur","fiabilité",IF('Table 1-D-Outcomes'!N25="","N/A",'Table 1-D-Outcomes'!N25)))))))</f>
        <v>0.05</v>
      </c>
      <c r="D21" s="476">
        <f>IF('Table 1-B  Context Analysis'!$K$7="Yes",IF('Table 1-D-Outcomes'!O25="","N/A",'Table 1-D-Outcomes'!O25), IF('Table 1-B  Context Analysis'!$K$7="No",IF('Table 1-B  Context Analysis'!$K$8="Yes",IF('Table 1-D-Outcomes'!$V$20="F3",IF('Table 1-D-Outcomes'!O25="","N/A",'Table 1-D-Outcomes'!O25),IF('Table 1-D-Outcomes'!O25="","N/A"," F3 exigé")),IF('Table 1-D-Outcomes'!$V$20="F0",IF('Table 1-D-Outcomes'!O25="","N/A","F0"),IF('Table 1-D-Outcomes'!$V$20="F1",IF('Table 1-D-Outcomes'!O25="","N/A","F1"),IF('Table 1-D-Outcomes'!$V$20="Erreur","fiabilité",IF('Table 1-D-Outcomes'!O25="","N/A",'Table 1-D-Outcomes'!O25)))))))</f>
        <v>0.05</v>
      </c>
      <c r="E21" s="476">
        <f>IF('Table 1-B  Context Analysis'!$K$7="Yes",IF('Table 1-D-Outcomes'!P25="","N/A",'Table 1-D-Outcomes'!P25), IF('Table 1-B  Context Analysis'!$K$7="No",IF('Table 1-B  Context Analysis'!$K$8="Yes",IF('Table 1-D-Outcomes'!$V$20="F3",IF('Table 1-D-Outcomes'!P25="","N/A",'Table 1-D-Outcomes'!P25),IF('Table 1-D-Outcomes'!P25="","N/A"," F3 exigé")),IF('Table 1-D-Outcomes'!$V$20="F0",IF('Table 1-D-Outcomes'!P25="","N/A","F0"),IF('Table 1-D-Outcomes'!$V$20="F1",IF('Table 1-D-Outcomes'!P25="","N/A","F1"),IF('Table 1-D-Outcomes'!$V$20="Erreur","fiabilité",IF('Table 1-D-Outcomes'!P25="","N/A",'Table 1-D-Outcomes'!P25)))))))</f>
        <v>0.05</v>
      </c>
      <c r="F21" s="476">
        <f>IF('Table 1-B  Context Analysis'!$K$7="Yes",IF('Table 1-D-Outcomes'!Q25="","N/A",'Table 1-D-Outcomes'!Q25), IF('Table 1-B  Context Analysis'!$K$7="No",IF('Table 1-B  Context Analysis'!$K$8="Yes",IF('Table 1-D-Outcomes'!$V$20="F3",IF('Table 1-D-Outcomes'!Q25="","N/A",'Table 1-D-Outcomes'!Q25),IF('Table 1-D-Outcomes'!Q25="","N/A"," F3 exigé")),IF('Table 1-D-Outcomes'!$V$20="F0",IF('Table 1-D-Outcomes'!Q25="","N/A","F0"),IF('Table 1-D-Outcomes'!$V$20="F1",IF('Table 1-D-Outcomes'!Q25="","N/A","F1"),IF('Table 1-D-Outcomes'!$V$20="Erreur","fiabilité",IF('Table 1-D-Outcomes'!Q25="","N/A",'Table 1-D-Outcomes'!Q25)))))))</f>
        <v>0.05</v>
      </c>
      <c r="G21" s="260"/>
      <c r="H21" s="260"/>
      <c r="I21" s="260"/>
      <c r="J21" s="260"/>
      <c r="K21" s="260"/>
      <c r="L21" s="885"/>
      <c r="M21" s="314" t="s">
        <v>37</v>
      </c>
      <c r="N21" s="476">
        <f>IF('Table 1-B  Context Analysis'!$K$7="Yes",IF('Table 1-D-Outcomes'!N26="","N/A",'Table 1-D-Outcomes'!N26), IF('Table 1-B  Context Analysis'!$K$7="No",IF('Table 1-B  Context Analysis'!$K$8="Yes",IF('Table 1-D-Outcomes'!$V$20="F3",IF('Table 1-D-Outcomes'!N26="","N/A",'Table 1-D-Outcomes'!N26),IF('Table 1-D-Outcomes'!N26="","N/A"," F3 exigé")),IF('Table 1-D-Outcomes'!$V$20="F0",IF('Table 1-D-Outcomes'!N26="","N/A","F0"),IF('Table 1-D-Outcomes'!$V$20="F1",IF('Table 1-D-Outcomes'!N26="","N/A","F1"),IF('Table 1-D-Outcomes'!$V$20="Erreur","fiabilité",IF('Table 1-D-Outcomes'!N26="","N/A",'Table 1-D-Outcomes'!N26)))))))</f>
        <v>0.06</v>
      </c>
      <c r="O21" s="476">
        <f>IF('Table 1-B  Context Analysis'!$K$7="Yes",IF('Table 1-D-Outcomes'!O26="","N/A",'Table 1-D-Outcomes'!O26), IF('Table 1-B  Context Analysis'!$K$7="No",IF('Table 1-B  Context Analysis'!$K$8="Yes",IF('Table 1-D-Outcomes'!$V$20="F3",IF('Table 1-D-Outcomes'!O26="","N/A",'Table 1-D-Outcomes'!O26),IF('Table 1-D-Outcomes'!O26="","N/A"," F3 exigé")),IF('Table 1-D-Outcomes'!$V$20="F0",IF('Table 1-D-Outcomes'!O26="","N/A","F0"),IF('Table 1-D-Outcomes'!$V$20="F1",IF('Table 1-D-Outcomes'!O26="","N/A","F1"),IF('Table 1-D-Outcomes'!$V$20="Erreur","fiabilité",IF('Table 1-D-Outcomes'!O26="","N/A",'Table 1-D-Outcomes'!O26)))))))</f>
        <v>0.06</v>
      </c>
      <c r="P21" s="476">
        <f>IF('Table 1-B  Context Analysis'!$K$7="Yes",IF('Table 1-D-Outcomes'!P26="","N/A",'Table 1-D-Outcomes'!P26), IF('Table 1-B  Context Analysis'!$K$7="No",IF('Table 1-B  Context Analysis'!$K$8="Yes",IF('Table 1-D-Outcomes'!$V$20="F3",IF('Table 1-D-Outcomes'!P26="","N/A",'Table 1-D-Outcomes'!P26),IF('Table 1-D-Outcomes'!P26="","N/A"," F3 exigé")),IF('Table 1-D-Outcomes'!$V$20="F0",IF('Table 1-D-Outcomes'!P26="","N/A","F0"),IF('Table 1-D-Outcomes'!$V$20="F1",IF('Table 1-D-Outcomes'!P26="","N/A","F1"),IF('Table 1-D-Outcomes'!$V$20="Erreur","fiabilité",IF('Table 1-D-Outcomes'!P26="","N/A",'Table 1-D-Outcomes'!P26)))))))</f>
        <v>0.06</v>
      </c>
      <c r="Q21" s="476">
        <f>IF('Table 1-B  Context Analysis'!$K$7="Yes",IF('Table 1-D-Outcomes'!Q26="","N/A",'Table 1-D-Outcomes'!Q26), IF('Table 1-B  Context Analysis'!$K$7="No",IF('Table 1-B  Context Analysis'!$K$8="Yes",IF('Table 1-D-Outcomes'!$V$20="F3",IF('Table 1-D-Outcomes'!Q26="","N/A",'Table 1-D-Outcomes'!Q26),IF('Table 1-D-Outcomes'!Q26="","N/A"," F3 exigé")),IF('Table 1-D-Outcomes'!$V$20="F0",IF('Table 1-D-Outcomes'!Q26="","N/A","F0"),IF('Table 1-D-Outcomes'!$V$20="F1",IF('Table 1-D-Outcomes'!Q26="","N/A","F1"),IF('Table 1-D-Outcomes'!$V$20="Erreur","fiabilité",IF('Table 1-D-Outcomes'!Q26="","N/A",'Table 1-D-Outcomes'!Q26)))))))</f>
        <v>0.06</v>
      </c>
      <c r="R21" s="260"/>
      <c r="S21" s="260"/>
      <c r="T21" s="260"/>
      <c r="U21" s="260"/>
      <c r="V21" s="260"/>
      <c r="W21" s="795"/>
    </row>
    <row r="22" spans="1:23" ht="15.75" customHeight="1" thickBot="1" x14ac:dyDescent="0.3">
      <c r="A22" s="848"/>
      <c r="B22" s="180" t="s">
        <v>38</v>
      </c>
      <c r="C22" s="476">
        <f>IF('Table 1-B  Context Analysis'!$K$7="Yes",IF('Table 1-D-Outcomes'!N27="","N/A",'Table 1-D-Outcomes'!N27), IF('Table 1-B  Context Analysis'!$K$7="No",IF('Table 1-B  Context Analysis'!$K$8="Yes",IF('Table 1-D-Outcomes'!$V$20="F3",IF('Table 1-D-Outcomes'!N27="","N/A",'Table 1-D-Outcomes'!N27),IF('Table 1-D-Outcomes'!N27="","N/A"," F3 exigé")),IF('Table 1-D-Outcomes'!$V$20="F0",IF('Table 1-D-Outcomes'!N27="","N/A","F0"),IF('Table 1-D-Outcomes'!$V$20="F1",IF('Table 1-D-Outcomes'!N27="","N/A","F1"),IF('Table 1-D-Outcomes'!$V$20="Erreur","fiabilité",IF('Table 1-D-Outcomes'!N27="","N/A",'Table 1-D-Outcomes'!N27)))))))</f>
        <v>7.0000000000000007E-2</v>
      </c>
      <c r="D22" s="476">
        <f>IF('Table 1-B  Context Analysis'!$K$7="Yes",IF('Table 1-D-Outcomes'!O27="","N/A",'Table 1-D-Outcomes'!O27), IF('Table 1-B  Context Analysis'!$K$7="No",IF('Table 1-B  Context Analysis'!$K$8="Yes",IF('Table 1-D-Outcomes'!$V$20="F3",IF('Table 1-D-Outcomes'!O27="","N/A",'Table 1-D-Outcomes'!O27),IF('Table 1-D-Outcomes'!O27="","N/A"," F3 exigé")),IF('Table 1-D-Outcomes'!$V$20="F0",IF('Table 1-D-Outcomes'!O27="","N/A","F0"),IF('Table 1-D-Outcomes'!$V$20="F1",IF('Table 1-D-Outcomes'!O27="","N/A","F1"),IF('Table 1-D-Outcomes'!$V$20="Erreur","fiabilité",IF('Table 1-D-Outcomes'!O27="","N/A",'Table 1-D-Outcomes'!O27)))))))</f>
        <v>7.0000000000000007E-2</v>
      </c>
      <c r="E22" s="476">
        <f>IF('Table 1-B  Context Analysis'!$K$7="Yes",IF('Table 1-D-Outcomes'!P27="","N/A",'Table 1-D-Outcomes'!P27), IF('Table 1-B  Context Analysis'!$K$7="No",IF('Table 1-B  Context Analysis'!$K$8="Yes",IF('Table 1-D-Outcomes'!$V$20="F3",IF('Table 1-D-Outcomes'!P27="","N/A",'Table 1-D-Outcomes'!P27),IF('Table 1-D-Outcomes'!P27="","N/A"," F3 exigé")),IF('Table 1-D-Outcomes'!$V$20="F0",IF('Table 1-D-Outcomes'!P27="","N/A","F0"),IF('Table 1-D-Outcomes'!$V$20="F1",IF('Table 1-D-Outcomes'!P27="","N/A","F1"),IF('Table 1-D-Outcomes'!$V$20="Erreur","fiabilité",IF('Table 1-D-Outcomes'!P27="","N/A",'Table 1-D-Outcomes'!P27)))))))</f>
        <v>7.0000000000000007E-2</v>
      </c>
      <c r="F22" s="476">
        <f>IF('Table 1-B  Context Analysis'!$K$7="Yes",IF('Table 1-D-Outcomes'!Q27="","N/A",'Table 1-D-Outcomes'!Q27), IF('Table 1-B  Context Analysis'!$K$7="No",IF('Table 1-B  Context Analysis'!$K$8="Yes",IF('Table 1-D-Outcomes'!$V$20="F3",IF('Table 1-D-Outcomes'!Q27="","N/A",'Table 1-D-Outcomes'!Q27),IF('Table 1-D-Outcomes'!Q27="","N/A"," F3 exigé")),IF('Table 1-D-Outcomes'!$V$20="F0",IF('Table 1-D-Outcomes'!Q27="","N/A","F0"),IF('Table 1-D-Outcomes'!$V$20="F1",IF('Table 1-D-Outcomes'!Q27="","N/A","F1"),IF('Table 1-D-Outcomes'!$V$20="Erreur","fiabilité",IF('Table 1-D-Outcomes'!Q27="","N/A",'Table 1-D-Outcomes'!Q27)))))))</f>
        <v>7.0000000000000007E-2</v>
      </c>
      <c r="G22" s="317"/>
      <c r="H22" s="317"/>
      <c r="I22" s="317"/>
      <c r="J22" s="317"/>
      <c r="K22" s="317"/>
      <c r="L22" s="886"/>
      <c r="M22" s="315" t="s">
        <v>38</v>
      </c>
      <c r="N22" s="476">
        <f>IF('Table 1-B  Context Analysis'!$K$7="Yes",IF('Table 1-D-Outcomes'!N28="","N/A",'Table 1-D-Outcomes'!N28), IF('Table 1-B  Context Analysis'!$K$7="No",IF('Table 1-B  Context Analysis'!$K$8="Yes",IF('Table 1-D-Outcomes'!$V$20="F3",IF('Table 1-D-Outcomes'!N28="","N/A",'Table 1-D-Outcomes'!N28),IF('Table 1-D-Outcomes'!N28="","N/A"," F3 exigé")),IF('Table 1-D-Outcomes'!$V$20="F0",IF('Table 1-D-Outcomes'!N28="","N/A","F0"),IF('Table 1-D-Outcomes'!$V$20="F1",IF('Table 1-D-Outcomes'!N28="","N/A","F1"),IF('Table 1-D-Outcomes'!$V$20="Erreur","fiabilité",IF('Table 1-D-Outcomes'!N28="","N/A",'Table 1-D-Outcomes'!N28)))))))</f>
        <v>0.08</v>
      </c>
      <c r="O22" s="476">
        <f>IF('Table 1-B  Context Analysis'!$K$7="Yes",IF('Table 1-D-Outcomes'!O28="","N/A",'Table 1-D-Outcomes'!O28), IF('Table 1-B  Context Analysis'!$K$7="No",IF('Table 1-B  Context Analysis'!$K$8="Yes",IF('Table 1-D-Outcomes'!$V$20="F3",IF('Table 1-D-Outcomes'!O28="","N/A",'Table 1-D-Outcomes'!O28),IF('Table 1-D-Outcomes'!O28="","N/A"," F3 exigé")),IF('Table 1-D-Outcomes'!$V$20="F0",IF('Table 1-D-Outcomes'!O28="","N/A","F0"),IF('Table 1-D-Outcomes'!$V$20="F1",IF('Table 1-D-Outcomes'!O28="","N/A","F1"),IF('Table 1-D-Outcomes'!$V$20="Erreur","fiabilité",IF('Table 1-D-Outcomes'!O28="","N/A",'Table 1-D-Outcomes'!O28)))))))</f>
        <v>0.08</v>
      </c>
      <c r="P22" s="476">
        <f>IF('Table 1-B  Context Analysis'!$K$7="Yes",IF('Table 1-D-Outcomes'!P28="","N/A",'Table 1-D-Outcomes'!P28), IF('Table 1-B  Context Analysis'!$K$7="No",IF('Table 1-B  Context Analysis'!$K$8="Yes",IF('Table 1-D-Outcomes'!$V$20="F3",IF('Table 1-D-Outcomes'!P28="","N/A",'Table 1-D-Outcomes'!P28),IF('Table 1-D-Outcomes'!P28="","N/A"," F3 exigé")),IF('Table 1-D-Outcomes'!$V$20="F0",IF('Table 1-D-Outcomes'!P28="","N/A","F0"),IF('Table 1-D-Outcomes'!$V$20="F1",IF('Table 1-D-Outcomes'!P28="","N/A","F1"),IF('Table 1-D-Outcomes'!$V$20="Erreur","fiabilité",IF('Table 1-D-Outcomes'!P28="","N/A",'Table 1-D-Outcomes'!P28)))))))</f>
        <v>0.08</v>
      </c>
      <c r="Q22" s="476">
        <f>IF('Table 1-B  Context Analysis'!$K$7="Yes",IF('Table 1-D-Outcomes'!Q28="","N/A",'Table 1-D-Outcomes'!Q28), IF('Table 1-B  Context Analysis'!$K$7="No",IF('Table 1-B  Context Analysis'!$K$8="Yes",IF('Table 1-D-Outcomes'!$V$20="F3",IF('Table 1-D-Outcomes'!Q28="","N/A",'Table 1-D-Outcomes'!Q28),IF('Table 1-D-Outcomes'!Q28="","N/A"," F3 exigé")),IF('Table 1-D-Outcomes'!$V$20="F0",IF('Table 1-D-Outcomes'!Q28="","N/A","F0"),IF('Table 1-D-Outcomes'!$V$20="F1",IF('Table 1-D-Outcomes'!Q28="","N/A","F1"),IF('Table 1-D-Outcomes'!$V$20="Erreur","fiabilité",IF('Table 1-D-Outcomes'!Q28="","N/A",'Table 1-D-Outcomes'!Q28)))))))</f>
        <v>0.08</v>
      </c>
      <c r="R22" s="317"/>
      <c r="S22" s="317"/>
      <c r="T22" s="317"/>
      <c r="U22" s="317"/>
      <c r="V22" s="317"/>
      <c r="W22" s="796"/>
    </row>
    <row r="23" spans="1:23" ht="15.75" customHeight="1" thickBot="1" x14ac:dyDescent="0.3">
      <c r="A23" s="848"/>
      <c r="B23" s="782" t="s">
        <v>26</v>
      </c>
      <c r="C23" s="783"/>
      <c r="D23" s="783"/>
      <c r="E23" s="783"/>
      <c r="F23" s="783"/>
      <c r="G23" s="783"/>
      <c r="H23" s="783"/>
      <c r="I23" s="783"/>
      <c r="J23" s="783"/>
      <c r="K23" s="783"/>
      <c r="L23" s="784"/>
      <c r="M23" s="865"/>
      <c r="N23" s="866"/>
      <c r="O23" s="866"/>
      <c r="P23" s="866"/>
      <c r="Q23" s="866"/>
      <c r="R23" s="866"/>
      <c r="S23" s="866"/>
      <c r="T23" s="866"/>
      <c r="U23" s="866"/>
      <c r="V23" s="866"/>
      <c r="W23" s="867"/>
    </row>
    <row r="24" spans="1:23" ht="27" customHeight="1" thickBot="1" x14ac:dyDescent="0.3">
      <c r="A24" s="848"/>
      <c r="B24" s="180" t="s">
        <v>162</v>
      </c>
      <c r="C24" s="239" t="b">
        <f>IF('Table 1-B  Context Analysis'!$K$7="Oui",IF('Table 1-D-Outcomes'!N29="","N/A",'Table 1-D-Outcomes'!N29), IF('Table 1-B  Context Analysis'!$K$7="Non",IF('Table 1-B  Context Analysis'!$K$8="Oui",IF('Table 1-D-Outcomes'!$V29="F3",IF('Table 1-D-Outcomes'!N29="","N/A",'Table 1-D-Outcomes'!N29),IF('Table 1-D-Outcomes'!N29="","N/A"," F3 exigé")),IF('Table 1-D-Outcomes'!$V29="F0",IF('Table 1-D-Outcomes'!N29="","N/A","F0"),IF('Table 1-D-Outcomes'!$V29="F1",IF('Table 1-D-Outcomes'!N29="","N/A","F1"),IF('Table 1-D-Outcomes'!$V$29="Erreur","fiabilité",IF('Table 1-D-Outcomes'!N29="","N/A",'Table 1-D-Outcomes'!N29)))))))</f>
        <v>0</v>
      </c>
      <c r="D24" s="143"/>
      <c r="E24" s="143"/>
      <c r="F24" s="143"/>
      <c r="G24" s="143"/>
      <c r="H24" s="143"/>
      <c r="I24" s="143"/>
      <c r="J24" s="143"/>
      <c r="K24" s="143"/>
      <c r="L24" s="320"/>
      <c r="M24" s="812" t="s">
        <v>39</v>
      </c>
      <c r="N24" s="813"/>
      <c r="O24" s="274" t="b">
        <f>C24</f>
        <v>0</v>
      </c>
      <c r="P24" s="797"/>
      <c r="Q24" s="798"/>
      <c r="R24" s="798"/>
      <c r="S24" s="798"/>
      <c r="T24" s="798"/>
      <c r="U24" s="798"/>
      <c r="V24" s="799"/>
      <c r="W24" s="260"/>
    </row>
    <row r="25" spans="1:23" s="69" customFormat="1" ht="21.75" customHeight="1" thickBot="1" x14ac:dyDescent="0.25">
      <c r="A25" s="848"/>
      <c r="B25" s="772" t="s">
        <v>211</v>
      </c>
      <c r="C25" s="773"/>
      <c r="D25" s="773"/>
      <c r="E25" s="773"/>
      <c r="F25" s="773"/>
      <c r="G25" s="773"/>
      <c r="H25" s="773"/>
      <c r="I25" s="773"/>
      <c r="J25" s="773"/>
      <c r="K25" s="773"/>
      <c r="L25" s="774"/>
      <c r="M25" s="772" t="s">
        <v>211</v>
      </c>
      <c r="N25" s="773"/>
      <c r="O25" s="773"/>
      <c r="P25" s="773"/>
      <c r="Q25" s="773"/>
      <c r="R25" s="773"/>
      <c r="S25" s="773"/>
      <c r="T25" s="773"/>
      <c r="U25" s="773"/>
      <c r="V25" s="773"/>
      <c r="W25" s="774"/>
    </row>
    <row r="26" spans="1:23" s="478" customFormat="1" ht="27" customHeight="1" thickBot="1" x14ac:dyDescent="0.3">
      <c r="A26" s="848"/>
      <c r="B26" s="479"/>
      <c r="C26" s="844" t="s">
        <v>208</v>
      </c>
      <c r="D26" s="844"/>
      <c r="E26" s="844" t="s">
        <v>136</v>
      </c>
      <c r="F26" s="844"/>
      <c r="G26" s="844" t="s">
        <v>209</v>
      </c>
      <c r="H26" s="844"/>
      <c r="I26" s="844" t="s">
        <v>210</v>
      </c>
      <c r="J26" s="844"/>
      <c r="K26" s="844" t="s">
        <v>135</v>
      </c>
      <c r="L26" s="844"/>
      <c r="M26" s="479"/>
      <c r="N26" s="844" t="s">
        <v>208</v>
      </c>
      <c r="O26" s="844"/>
      <c r="P26" s="844" t="s">
        <v>136</v>
      </c>
      <c r="Q26" s="844"/>
      <c r="R26" s="844" t="s">
        <v>209</v>
      </c>
      <c r="S26" s="844"/>
      <c r="T26" s="844" t="s">
        <v>210</v>
      </c>
      <c r="U26" s="844"/>
      <c r="V26" s="844" t="s">
        <v>135</v>
      </c>
      <c r="W26" s="844"/>
    </row>
    <row r="27" spans="1:23" s="478" customFormat="1" ht="27" customHeight="1" thickBot="1" x14ac:dyDescent="0.3">
      <c r="A27" s="848"/>
      <c r="B27" s="480" t="s">
        <v>207</v>
      </c>
      <c r="C27" s="910" t="str">
        <f>IF('Table 2-A- FC Analysis'!D35="x","-F",IF('Table 2-A- FC Analysis'!E35="x","-M",IF('Table 2-A- FC Analysis'!F35="x","-L",IF('Table 2-A- FC Analysis'!G35="x","+L",IF('Table 2-A- FC Analysis'!H35="x","+M",IF('Table 2-A- FC Analysis'!I35="x","+F","N/A"))))))</f>
        <v>-L</v>
      </c>
      <c r="D27" s="842"/>
      <c r="E27" s="841" t="str">
        <f>IF('Table 2-A- FC Analysis'!D70="x","-F",IF('Table 2-A- FC Analysis'!E70="x","-M",IF('Table 2-A- FC Analysis'!F70="x","-L",IF('Table 2-A- FC Analysis'!G70="x","+L",IF('Table 2-A- FC Analysis'!H70="x","+M",IF('Table 2-A- FC Analysis'!I70="x","+F","N/A"))))))</f>
        <v>+M</v>
      </c>
      <c r="F27" s="842"/>
      <c r="G27" s="841" t="str">
        <f>IF('Table 2-A- FC Analysis'!D102="x","-F",IF('Table 2-A- FC Analysis'!E102="x","-M",IF('Table 2-A- FC Analysis'!F102="x","-L",IF('Table 2-A- FC Analysis'!G102="x","+L",IF('Table 2-A- FC Analysis'!H102="x","+M",IF('Table 2-A- FC Analysis'!I102="x","+F","N/A"))))))</f>
        <v>+M</v>
      </c>
      <c r="H27" s="842"/>
      <c r="I27" s="841" t="str">
        <f>IF('Table 2-A- FC Analysis'!D134="x","-F",IF('Table 2-A- FC Analysis'!E134="x","-M",IF('Table 2-A- FC Analysis'!F134="x","-L",IF('Table 2-A- FC Analysis'!G134="x","+L",IF('Table 2-A- FC Analysis'!H134="x","+M",IF('Table 2-A- FC Analysis'!I134="x","+F","N/A"))))))</f>
        <v>+M</v>
      </c>
      <c r="J27" s="842"/>
      <c r="K27" s="841" t="str">
        <f>IF('Table 2-A- FC Analysis'!D166="x","-F",IF('Table 2-A- FC Analysis'!E166="x","-M",IF('Table 2-A- FC Analysis'!F166="x","-L",IF('Table 2-A- FC Analysis'!G166="x","+L",IF('Table 2-A- FC Analysis'!H166="x","+M",IF('Table 2-A- FC Analysis'!I166="x","+F","N/A"))))))</f>
        <v>-L</v>
      </c>
      <c r="L27" s="843"/>
      <c r="M27" s="480" t="s">
        <v>207</v>
      </c>
      <c r="N27" s="845" t="str">
        <f>IF('Table 2-A- FC Analysis'!K35="x","-F",IF('Table 2-A- FC Analysis'!L35="x","-M",IF('Table 2-A- FC Analysis'!M35="x","-L",IF('Table 2-A- FC Analysis'!N35="x","+L",IF('Table 2-A- FC Analysis'!O35="x","+M",IF('Table 2-A- FC Analysis'!P35="x","+F","N/A"))))))</f>
        <v>-L</v>
      </c>
      <c r="O27" s="846"/>
      <c r="P27" s="845" t="str">
        <f>IF('Table 2-A- FC Analysis'!K70="x","-F",IF('Table 2-A- FC Analysis'!L70="x","-M",IF('Table 2-A- FC Analysis'!M70="x","-L",IF('Table 2-A- FC Analysis'!N70="x","+L",IF('Table 2-A- FC Analysis'!O70="x","+M",IF('Table 2-A- FC Analysis'!P70="x","+F","N/A"))))))</f>
        <v>-L</v>
      </c>
      <c r="Q27" s="846"/>
      <c r="R27" s="845" t="str">
        <f>IF('Table 2-A- FC Analysis'!K102="x","-F",IF('Table 2-A- FC Analysis'!L102="x","-M",IF('Table 2-A- FC Analysis'!M102="x","-L",IF('Table 2-A- FC Analysis'!N102="x","+L",IF('Table 2-A- FC Analysis'!O102="x","+M",IF('Table 2-A- FC Analysis'!P102="x","+F","N/A"))))))</f>
        <v>-L</v>
      </c>
      <c r="S27" s="846"/>
      <c r="T27" s="845" t="str">
        <f>IF('Table 2-A- FC Analysis'!K134="x","-F",IF('Table 2-A- FC Analysis'!L134="x","-M",IF('Table 2-A- FC Analysis'!M134="x","-L",IF('Table 2-A- FC Analysis'!N134="x","+L",IF('Table 2-A- FC Analysis'!O134="x","+M",IF('Table 2-A- FC Analysis'!P134="x","+F","N/A"))))))</f>
        <v>+M</v>
      </c>
      <c r="U27" s="846"/>
      <c r="V27" s="845" t="str">
        <f>IF('Table 2-A- FC Analysis'!K166="x","-F",IF('Table 2-A- FC Analysis'!L166="x","-M",IF('Table 2-A- FC Analysis'!M166="x","-L",IF('Table 2-A- FC Analysis'!N166="x","+L",IF('Table 2-A- FC Analysis'!O166="x","+M",IF('Table 2-A- FC Analysis'!P166="x","+F","N/A"))))))</f>
        <v>+F</v>
      </c>
      <c r="W27" s="846"/>
    </row>
    <row r="28" spans="1:23" s="69" customFormat="1" ht="21.75" customHeight="1" thickBot="1" x14ac:dyDescent="0.25">
      <c r="A28" s="848"/>
      <c r="B28" s="803" t="s">
        <v>206</v>
      </c>
      <c r="C28" s="804"/>
      <c r="D28" s="804"/>
      <c r="E28" s="804"/>
      <c r="F28" s="804"/>
      <c r="G28" s="804"/>
      <c r="H28" s="804"/>
      <c r="I28" s="804"/>
      <c r="J28" s="804"/>
      <c r="K28" s="804"/>
      <c r="L28" s="257"/>
      <c r="M28" s="868" t="s">
        <v>206</v>
      </c>
      <c r="N28" s="869"/>
      <c r="O28" s="869"/>
      <c r="P28" s="869"/>
      <c r="Q28" s="869"/>
      <c r="R28" s="869"/>
      <c r="S28" s="869"/>
      <c r="T28" s="869"/>
      <c r="U28" s="869"/>
      <c r="V28" s="869"/>
      <c r="W28" s="870"/>
    </row>
    <row r="29" spans="1:23" x14ac:dyDescent="0.25">
      <c r="A29" s="847"/>
      <c r="B29" s="825"/>
      <c r="C29" s="826"/>
      <c r="D29" s="826"/>
      <c r="E29" s="826"/>
      <c r="F29" s="826"/>
      <c r="G29" s="826"/>
      <c r="H29" s="826"/>
      <c r="I29" s="826"/>
      <c r="J29" s="826"/>
      <c r="K29" s="826"/>
      <c r="L29" s="827"/>
      <c r="M29" s="825"/>
      <c r="N29" s="871"/>
      <c r="O29" s="871"/>
      <c r="P29" s="871"/>
      <c r="Q29" s="871"/>
      <c r="R29" s="871"/>
      <c r="S29" s="871"/>
      <c r="T29" s="871"/>
      <c r="U29" s="871"/>
      <c r="V29" s="871"/>
      <c r="W29" s="872"/>
    </row>
    <row r="30" spans="1:23" x14ac:dyDescent="0.25">
      <c r="A30" s="847"/>
      <c r="B30" s="828"/>
      <c r="C30" s="829"/>
      <c r="D30" s="829"/>
      <c r="E30" s="829"/>
      <c r="F30" s="829"/>
      <c r="G30" s="829"/>
      <c r="H30" s="829"/>
      <c r="I30" s="829"/>
      <c r="J30" s="829"/>
      <c r="K30" s="829"/>
      <c r="L30" s="830"/>
      <c r="M30" s="832"/>
      <c r="N30" s="831"/>
      <c r="O30" s="831"/>
      <c r="P30" s="831"/>
      <c r="Q30" s="831"/>
      <c r="R30" s="831"/>
      <c r="S30" s="831"/>
      <c r="T30" s="831"/>
      <c r="U30" s="831"/>
      <c r="V30" s="831"/>
      <c r="W30" s="835"/>
    </row>
    <row r="31" spans="1:23" x14ac:dyDescent="0.25">
      <c r="A31" s="847"/>
      <c r="B31" s="828"/>
      <c r="C31" s="829"/>
      <c r="D31" s="829"/>
      <c r="E31" s="829"/>
      <c r="F31" s="829"/>
      <c r="G31" s="829"/>
      <c r="H31" s="829"/>
      <c r="I31" s="829"/>
      <c r="J31" s="829"/>
      <c r="K31" s="829"/>
      <c r="L31" s="830"/>
      <c r="M31" s="832"/>
      <c r="N31" s="831"/>
      <c r="O31" s="831"/>
      <c r="P31" s="831"/>
      <c r="Q31" s="831"/>
      <c r="R31" s="831"/>
      <c r="S31" s="831"/>
      <c r="T31" s="831"/>
      <c r="U31" s="831"/>
      <c r="V31" s="831"/>
      <c r="W31" s="835"/>
    </row>
    <row r="32" spans="1:23" ht="15.75" thickBot="1" x14ac:dyDescent="0.3">
      <c r="A32" s="847"/>
      <c r="B32" s="881"/>
      <c r="C32" s="882"/>
      <c r="D32" s="882"/>
      <c r="E32" s="882"/>
      <c r="F32" s="882"/>
      <c r="G32" s="882"/>
      <c r="H32" s="882"/>
      <c r="I32" s="882"/>
      <c r="J32" s="882"/>
      <c r="K32" s="882"/>
      <c r="L32" s="883"/>
      <c r="M32" s="833"/>
      <c r="N32" s="834"/>
      <c r="O32" s="834"/>
      <c r="P32" s="834"/>
      <c r="Q32" s="834"/>
      <c r="R32" s="834"/>
      <c r="S32" s="834"/>
      <c r="T32" s="834"/>
      <c r="U32" s="834"/>
      <c r="V32" s="834"/>
      <c r="W32" s="836"/>
    </row>
    <row r="33" spans="1:23" ht="26.25" customHeight="1" x14ac:dyDescent="0.25">
      <c r="A33" s="848"/>
      <c r="B33" s="861" t="s">
        <v>212</v>
      </c>
      <c r="C33" s="862"/>
      <c r="D33" s="923"/>
      <c r="E33" s="923"/>
      <c r="F33" s="938"/>
      <c r="G33" s="319" t="s">
        <v>17</v>
      </c>
      <c r="H33" s="316" t="s">
        <v>18</v>
      </c>
      <c r="I33" s="233" t="s">
        <v>19</v>
      </c>
      <c r="J33" s="91" t="s">
        <v>20</v>
      </c>
      <c r="K33" s="92" t="s">
        <v>21</v>
      </c>
      <c r="L33" s="259"/>
      <c r="M33" s="853" t="s">
        <v>212</v>
      </c>
      <c r="N33" s="860"/>
      <c r="O33" s="805" t="s">
        <v>17</v>
      </c>
      <c r="P33" s="805"/>
      <c r="Q33" s="805"/>
      <c r="R33" s="805"/>
      <c r="S33" s="229" t="s">
        <v>18</v>
      </c>
      <c r="T33" s="171" t="s">
        <v>19</v>
      </c>
      <c r="U33" s="172" t="s">
        <v>20</v>
      </c>
      <c r="V33" s="173" t="s">
        <v>21</v>
      </c>
      <c r="W33" s="258"/>
    </row>
    <row r="34" spans="1:23" ht="15.75" thickBot="1" x14ac:dyDescent="0.3">
      <c r="A34" s="848"/>
      <c r="B34" s="863"/>
      <c r="C34" s="864"/>
      <c r="D34" s="911"/>
      <c r="E34" s="911"/>
      <c r="F34" s="939"/>
      <c r="G34" s="320"/>
      <c r="H34" s="317"/>
      <c r="I34" s="317"/>
      <c r="J34" s="317"/>
      <c r="K34" s="318"/>
      <c r="L34" s="259"/>
      <c r="M34" s="855"/>
      <c r="N34" s="859"/>
      <c r="O34" s="806"/>
      <c r="P34" s="807"/>
      <c r="Q34" s="807"/>
      <c r="R34" s="808"/>
      <c r="S34" s="260"/>
      <c r="T34" s="260"/>
      <c r="U34" s="260"/>
      <c r="V34" s="260"/>
      <c r="W34" s="258"/>
    </row>
    <row r="35" spans="1:23" ht="5.85" customHeight="1" thickBot="1" x14ac:dyDescent="0.3">
      <c r="A35" s="26"/>
      <c r="B35" s="270"/>
      <c r="C35" s="265"/>
      <c r="D35" s="265"/>
      <c r="E35" s="265"/>
      <c r="F35" s="265"/>
      <c r="G35" s="271"/>
      <c r="H35" s="271"/>
      <c r="I35" s="271"/>
      <c r="J35" s="271"/>
      <c r="K35" s="272"/>
      <c r="L35" s="265"/>
      <c r="M35" s="270"/>
      <c r="N35" s="265"/>
      <c r="O35" s="271"/>
      <c r="P35" s="271"/>
      <c r="Q35" s="271"/>
      <c r="R35" s="271"/>
      <c r="S35" s="271"/>
      <c r="T35" s="271"/>
      <c r="U35" s="271"/>
      <c r="V35" s="272"/>
      <c r="W35" s="272"/>
    </row>
    <row r="36" spans="1:23" ht="28.5" customHeight="1" thickBot="1" x14ac:dyDescent="0.3">
      <c r="A36" s="851" t="s">
        <v>29</v>
      </c>
      <c r="B36" s="780" t="s">
        <v>222</v>
      </c>
      <c r="C36" s="781"/>
      <c r="D36" s="781"/>
      <c r="E36" s="781"/>
      <c r="F36" s="781"/>
      <c r="G36" s="781"/>
      <c r="H36" s="781"/>
      <c r="I36" s="781"/>
      <c r="J36" s="781"/>
      <c r="K36" s="781"/>
      <c r="L36" s="254"/>
      <c r="M36" s="800" t="s">
        <v>222</v>
      </c>
      <c r="N36" s="801"/>
      <c r="O36" s="801"/>
      <c r="P36" s="801"/>
      <c r="Q36" s="801"/>
      <c r="R36" s="801"/>
      <c r="S36" s="801"/>
      <c r="T36" s="801"/>
      <c r="U36" s="801"/>
      <c r="V36" s="801"/>
      <c r="W36" s="802"/>
    </row>
    <row r="37" spans="1:23" ht="23.25" customHeight="1" thickBot="1" x14ac:dyDescent="0.3">
      <c r="A37" s="851"/>
      <c r="B37" s="814" t="s">
        <v>214</v>
      </c>
      <c r="C37" s="815"/>
      <c r="D37" s="815"/>
      <c r="E37" s="815"/>
      <c r="F37" s="815"/>
      <c r="G37" s="815"/>
      <c r="H37" s="815"/>
      <c r="I37" s="815"/>
      <c r="J37" s="815"/>
      <c r="K37" s="815"/>
      <c r="L37" s="247"/>
      <c r="M37" s="814" t="s">
        <v>214</v>
      </c>
      <c r="N37" s="815"/>
      <c r="O37" s="815"/>
      <c r="P37" s="815"/>
      <c r="Q37" s="815"/>
      <c r="R37" s="815"/>
      <c r="S37" s="815"/>
      <c r="T37" s="815"/>
      <c r="U37" s="815"/>
      <c r="V37" s="815"/>
      <c r="W37" s="873"/>
    </row>
    <row r="38" spans="1:23" ht="27.75" customHeight="1" thickBot="1" x14ac:dyDescent="0.3">
      <c r="A38" s="851"/>
      <c r="B38" s="273" t="s">
        <v>219</v>
      </c>
      <c r="C38" s="933" t="s">
        <v>220</v>
      </c>
      <c r="D38" s="934"/>
      <c r="E38" s="934"/>
      <c r="F38" s="934"/>
      <c r="G38" s="312" t="s">
        <v>17</v>
      </c>
      <c r="H38" s="229" t="s">
        <v>18</v>
      </c>
      <c r="I38" s="171" t="s">
        <v>19</v>
      </c>
      <c r="J38" s="172" t="s">
        <v>20</v>
      </c>
      <c r="K38" s="173" t="s">
        <v>21</v>
      </c>
      <c r="L38" s="260"/>
      <c r="M38" s="906"/>
      <c r="N38" s="871"/>
      <c r="O38" s="871"/>
      <c r="P38" s="871"/>
      <c r="Q38" s="871"/>
      <c r="R38" s="871"/>
      <c r="S38" s="871"/>
      <c r="T38" s="871"/>
      <c r="U38" s="871"/>
      <c r="V38" s="871"/>
      <c r="W38" s="872"/>
    </row>
    <row r="39" spans="1:23" ht="39" customHeight="1" thickBot="1" x14ac:dyDescent="0.3">
      <c r="A39" s="851"/>
      <c r="B39" s="118" t="s">
        <v>216</v>
      </c>
      <c r="C39" s="935" t="s">
        <v>48</v>
      </c>
      <c r="D39" s="936"/>
      <c r="E39" s="936"/>
      <c r="F39" s="937"/>
      <c r="G39" s="476">
        <f>IF('Table 1-B  Context Analysis'!$K$7="Yes",IF('Table 1-D-Outcomes'!N32="","N/A",'Table 1-D-Outcomes'!N32), IF('Table 1-B  Context Analysis'!$K$7="No",IF('Table 1-B  Context Analysis'!$K$8="Yes",IF('Table 1-D-Outcomes'!$V32="F3",IF('Table 1-D-Outcomes'!N32="","N/A",'Table 1-D-Outcomes'!N32),IF('Table 1-D-Outcomes'!N32="","N/A"," F3 exigé")),IF('Table 1-D-Outcomes'!$V32="F0",IF('Table 1-D-Outcomes'!N32="","N/A","F0"),IF('Table 1-D-Outcomes'!$V32="F1",IF('Table 1-D-Outcomes'!N32="","N/A","F1"),IF('Table 1-D-Outcomes'!$V$32="Erreur","fiabilité",IF('Table 1-D-Outcomes'!N32="","N/A",'Table 1-D-Outcomes'!N32)))))))</f>
        <v>0.18</v>
      </c>
      <c r="H39" s="476">
        <f>IF('Table 1-B  Context Analysis'!$K$7="Yes",IF('Table 1-D-Outcomes'!O32="","N/A",'Table 1-D-Outcomes'!O32), IF('Table 1-B  Context Analysis'!$K$7="No",IF('Table 1-B  Context Analysis'!$K$8="Yes",IF('Table 1-D-Outcomes'!$V32="F3",IF('Table 1-D-Outcomes'!O32="","N/A",'Table 1-D-Outcomes'!O32),IF('Table 1-D-Outcomes'!O32="","N/A"," F3 exigé")),IF('Table 1-D-Outcomes'!$V32="F0",IF('Table 1-D-Outcomes'!O32="","N/A","F0"),IF('Table 1-D-Outcomes'!$V32="F1",IF('Table 1-D-Outcomes'!O32="","N/A","F1"),IF('Table 1-D-Outcomes'!$V$32="Erreur","fiabilité",IF('Table 1-D-Outcomes'!O32="","N/A",'Table 1-D-Outcomes'!O32)))))))</f>
        <v>0.45</v>
      </c>
      <c r="I39" s="476">
        <f>IF('Table 1-B  Context Analysis'!$K$7="Yes",IF('Table 1-D-Outcomes'!P32="","N/A",'Table 1-D-Outcomes'!P32), IF('Table 1-B  Context Analysis'!$K$7="No",IF('Table 1-B  Context Analysis'!$K$8="Yes",IF('Table 1-D-Outcomes'!$V32="F3",IF('Table 1-D-Outcomes'!P32="","N/A",'Table 1-D-Outcomes'!P32),IF('Table 1-D-Outcomes'!P32="","N/A"," F3 exigé")),IF('Table 1-D-Outcomes'!$V32="F0",IF('Table 1-D-Outcomes'!P32="","N/A","F0"),IF('Table 1-D-Outcomes'!$V32="F1",IF('Table 1-D-Outcomes'!P32="","N/A","F1"),IF('Table 1-D-Outcomes'!$V$32="Erreur","fiabilité",IF('Table 1-D-Outcomes'!P32="","N/A",'Table 1-D-Outcomes'!P32)))))))</f>
        <v>0.17299999999999999</v>
      </c>
      <c r="J39" s="476">
        <f>IF('Table 1-B  Context Analysis'!$K$7="Yes",IF('Table 1-D-Outcomes'!Q32="","N/A",'Table 1-D-Outcomes'!Q32), IF('Table 1-B  Context Analysis'!$K$7="No",IF('Table 1-B  Context Analysis'!$K$8="Yes",IF('Table 1-D-Outcomes'!$V32="F3",IF('Table 1-D-Outcomes'!Q32="","N/A",'Table 1-D-Outcomes'!Q32),IF('Table 1-D-Outcomes'!Q32="","N/A"," F3 exigé")),IF('Table 1-D-Outcomes'!$V32="F0",IF('Table 1-D-Outcomes'!Q32="","N/A","F0"),IF('Table 1-D-Outcomes'!$V32="F1",IF('Table 1-D-Outcomes'!Q32="","N/A","F1"),IF('Table 1-D-Outcomes'!$V$32="Erreur","fiabilité",IF('Table 1-D-Outcomes'!Q32="","N/A",'Table 1-D-Outcomes'!Q32)))))))</f>
        <v>0.19700000000000001</v>
      </c>
      <c r="K39" s="385" t="s">
        <v>49</v>
      </c>
      <c r="L39" s="320"/>
      <c r="M39" s="832"/>
      <c r="N39" s="831"/>
      <c r="O39" s="831"/>
      <c r="P39" s="831"/>
      <c r="Q39" s="831"/>
      <c r="R39" s="831"/>
      <c r="S39" s="831"/>
      <c r="T39" s="831"/>
      <c r="U39" s="831"/>
      <c r="V39" s="831"/>
      <c r="W39" s="835"/>
    </row>
    <row r="40" spans="1:23" ht="16.5" customHeight="1" thickBot="1" x14ac:dyDescent="0.3">
      <c r="A40" s="851"/>
      <c r="B40" s="772" t="s">
        <v>68</v>
      </c>
      <c r="C40" s="773"/>
      <c r="D40" s="773"/>
      <c r="E40" s="773"/>
      <c r="F40" s="773"/>
      <c r="G40" s="773"/>
      <c r="H40" s="773"/>
      <c r="I40" s="773"/>
      <c r="J40" s="773"/>
      <c r="K40" s="773"/>
      <c r="L40" s="774"/>
      <c r="M40" s="772" t="s">
        <v>211</v>
      </c>
      <c r="N40" s="773"/>
      <c r="O40" s="773"/>
      <c r="P40" s="773"/>
      <c r="Q40" s="773"/>
      <c r="R40" s="773"/>
      <c r="S40" s="773"/>
      <c r="T40" s="773"/>
      <c r="U40" s="773"/>
      <c r="V40" s="773"/>
      <c r="W40" s="774"/>
    </row>
    <row r="41" spans="1:23" s="478" customFormat="1" ht="27" customHeight="1" thickBot="1" x14ac:dyDescent="0.3">
      <c r="A41" s="851"/>
      <c r="B41" s="479"/>
      <c r="C41" s="844" t="s">
        <v>208</v>
      </c>
      <c r="D41" s="844"/>
      <c r="E41" s="844" t="s">
        <v>136</v>
      </c>
      <c r="F41" s="844"/>
      <c r="G41" s="844" t="s">
        <v>209</v>
      </c>
      <c r="H41" s="844"/>
      <c r="I41" s="844" t="s">
        <v>210</v>
      </c>
      <c r="J41" s="844"/>
      <c r="K41" s="844" t="s">
        <v>135</v>
      </c>
      <c r="L41" s="844"/>
      <c r="M41" s="479"/>
      <c r="N41" s="844" t="s">
        <v>208</v>
      </c>
      <c r="O41" s="844"/>
      <c r="P41" s="844" t="s">
        <v>136</v>
      </c>
      <c r="Q41" s="844"/>
      <c r="R41" s="844" t="s">
        <v>209</v>
      </c>
      <c r="S41" s="844"/>
      <c r="T41" s="844" t="s">
        <v>210</v>
      </c>
      <c r="U41" s="844"/>
      <c r="V41" s="844" t="s">
        <v>135</v>
      </c>
      <c r="W41" s="844"/>
    </row>
    <row r="42" spans="1:23" s="478" customFormat="1" ht="27" customHeight="1" thickBot="1" x14ac:dyDescent="0.3">
      <c r="A42" s="851"/>
      <c r="B42" s="480" t="s">
        <v>217</v>
      </c>
      <c r="C42" s="841" t="str">
        <f>IF('Table 2-A- FC Analysis'!D36="x","-F",IF('Table 2-A- FC Analysis'!E36="x","-M",IF('Table 2-A- FC Analysis'!F36="x","-L",IF('Table 2-A- FC Analysis'!G36="x","+L",IF('Table 2-A- FC Analysis'!H36="x","+M",IF('Table 2-A- FC Analysis'!I36="x","+F","N/A"))))))</f>
        <v>-L</v>
      </c>
      <c r="D42" s="842"/>
      <c r="E42" s="841" t="str">
        <f>IF('Table 2-A- FC Analysis'!D71="x","-F",IF('Table 2-A- FC Analysis'!E71="x","-M",IF('Table 2-A- FC Analysis'!F71="x","-L",IF('Table 2-A- FC Analysis'!G71="x","+L",IF('Table 2-A- FC Analysis'!H71="x","+M",IF('Table 2-A- FC Analysis'!I71="x","+F","N/A"))))))</f>
        <v>+M</v>
      </c>
      <c r="F42" s="842"/>
      <c r="G42" s="841" t="str">
        <f>IF('Table 2-A- FC Analysis'!D103="x","-F",IF('Table 2-A- FC Analysis'!E103="x","-M",IF('Table 2-A- FC Analysis'!F103="x","-L",IF('Table 2-A- FC Analysis'!G103="x","+L",IF('Table 2-A- FC Analysis'!H103="x","+M",IF('Table 2-A- FC Analysis'!I103="x","+F","N/A"))))))</f>
        <v>+M</v>
      </c>
      <c r="H42" s="842"/>
      <c r="I42" s="841" t="str">
        <f>IF('Table 2-A- FC Analysis'!D135="x","-F",IF('Table 2-A- FC Analysis'!E135="x","-M",IF('Table 2-A- FC Analysis'!F135="x","-L",IF('Table 2-A- FC Analysis'!G135="x","+L",IF('Table 2-A- FC Analysis'!H135="x","+M",IF('Table 2-A- FC Analysis'!I135="x","+F","N/A"))))))</f>
        <v>+M</v>
      </c>
      <c r="J42" s="842"/>
      <c r="K42" s="841" t="str">
        <f>IF('Table 2-A- FC Analysis'!D167="x","-F",IF('Table 2-A- FC Analysis'!E167="x","-M",IF('Table 2-A- FC Analysis'!F167="x","-L",IF('Table 2-A- FC Analysis'!G167="x","+L",IF('Table 2-A- FC Analysis'!H167="x","+M",IF('Table 2-A- FC Analysis'!I167="x","+F","N/A"))))))</f>
        <v>-L</v>
      </c>
      <c r="L42" s="843"/>
      <c r="M42" s="480" t="s">
        <v>217</v>
      </c>
      <c r="N42" s="845" t="str">
        <f>IF('Table 2-A- FC Analysis'!K36="x","-F",IF('Table 2-A- FC Analysis'!L36="x","-M",IF('Table 2-A- FC Analysis'!M36="x","-L",IF('Table 2-A- FC Analysis'!N36="x","+L",IF('Table 2-A- FC Analysis'!O36="x","+M",IF('Table 2-A- FC Analysis'!P36="x","+F","N/A"))))))</f>
        <v>-L</v>
      </c>
      <c r="O42" s="846"/>
      <c r="P42" s="845" t="str">
        <f>IF('Table 2-A- FC Analysis'!K71="x","-F",IF('Table 2-A- FC Analysis'!L71="x","-M",IF('Table 2-A- FC Analysis'!M71="x","-L",IF('Table 2-A- FC Analysis'!N71="x","+L",IF('Table 2-A- FC Analysis'!O71="x","+M",IF('Table 2-A- FC Analysis'!P71="x","+F","N/A"))))))</f>
        <v>-L</v>
      </c>
      <c r="Q42" s="846"/>
      <c r="R42" s="845" t="str">
        <f>IF('Table 2-A- FC Analysis'!K103="x","-F",IF('Table 2-A- FC Analysis'!L103="x","-M",IF('Table 2-A- FC Analysis'!M103="x","-L",IF('Table 2-A- FC Analysis'!N103="x","+L",IF('Table 2-A- FC Analysis'!O103="x","+M",IF('Table 2-A- FC Analysis'!P103="x","+F","N/A"))))))</f>
        <v>-L</v>
      </c>
      <c r="S42" s="846"/>
      <c r="T42" s="845" t="str">
        <f>IF('Table 2-A- FC Analysis'!K135="x","-F",IF('Table 2-A- FC Analysis'!L135="x","-M",IF('Table 2-A- FC Analysis'!M135="x","-L",IF('Table 2-A- FC Analysis'!N135="x","+L",IF('Table 2-A- FC Analysis'!O135="x","+M",IF('Table 2-A- FC Analysis'!P135="x","+F","N/A"))))))</f>
        <v>+M</v>
      </c>
      <c r="U42" s="846"/>
      <c r="V42" s="845" t="str">
        <f>IF('Table 2-A- FC Analysis'!K167="x","-F",IF('Table 2-A- FC Analysis'!L167="x","-M",IF('Table 2-A- FC Analysis'!M167="x","-L",IF('Table 2-A- FC Analysis'!N167="x","+L",IF('Table 2-A- FC Analysis'!O167="x","+M",IF('Table 2-A- FC Analysis'!P167="x","+F","N/A"))))))</f>
        <v>+F</v>
      </c>
      <c r="W42" s="846"/>
    </row>
    <row r="43" spans="1:23" ht="16.350000000000001" customHeight="1" thickBot="1" x14ac:dyDescent="0.3">
      <c r="A43" s="851"/>
      <c r="B43" s="924" t="s">
        <v>213</v>
      </c>
      <c r="C43" s="925"/>
      <c r="D43" s="925"/>
      <c r="E43" s="925"/>
      <c r="F43" s="925"/>
      <c r="G43" s="925"/>
      <c r="H43" s="925"/>
      <c r="I43" s="925"/>
      <c r="J43" s="925"/>
      <c r="K43" s="925"/>
      <c r="L43" s="477"/>
      <c r="M43" s="907" t="s">
        <v>213</v>
      </c>
      <c r="N43" s="908"/>
      <c r="O43" s="908"/>
      <c r="P43" s="908"/>
      <c r="Q43" s="908"/>
      <c r="R43" s="908"/>
      <c r="S43" s="908"/>
      <c r="T43" s="908"/>
      <c r="U43" s="908"/>
      <c r="V43" s="908"/>
      <c r="W43" s="909"/>
    </row>
    <row r="44" spans="1:23" x14ac:dyDescent="0.25">
      <c r="A44" s="852"/>
      <c r="B44" s="825"/>
      <c r="C44" s="896"/>
      <c r="D44" s="896"/>
      <c r="E44" s="896"/>
      <c r="F44" s="896"/>
      <c r="G44" s="896"/>
      <c r="H44" s="896"/>
      <c r="I44" s="896"/>
      <c r="J44" s="896"/>
      <c r="K44" s="896"/>
      <c r="L44" s="897"/>
      <c r="M44" s="825"/>
      <c r="N44" s="871"/>
      <c r="O44" s="871"/>
      <c r="P44" s="871"/>
      <c r="Q44" s="871"/>
      <c r="R44" s="871"/>
      <c r="S44" s="871"/>
      <c r="T44" s="871"/>
      <c r="U44" s="871"/>
      <c r="V44" s="871"/>
      <c r="W44" s="872"/>
    </row>
    <row r="45" spans="1:23" x14ac:dyDescent="0.25">
      <c r="A45" s="852"/>
      <c r="B45" s="898"/>
      <c r="C45" s="899"/>
      <c r="D45" s="899"/>
      <c r="E45" s="899"/>
      <c r="F45" s="899"/>
      <c r="G45" s="899"/>
      <c r="H45" s="899"/>
      <c r="I45" s="899"/>
      <c r="J45" s="899"/>
      <c r="K45" s="899"/>
      <c r="L45" s="900"/>
      <c r="M45" s="832"/>
      <c r="N45" s="831"/>
      <c r="O45" s="831"/>
      <c r="P45" s="831"/>
      <c r="Q45" s="831"/>
      <c r="R45" s="831"/>
      <c r="S45" s="831"/>
      <c r="T45" s="831"/>
      <c r="U45" s="831"/>
      <c r="V45" s="831"/>
      <c r="W45" s="835"/>
    </row>
    <row r="46" spans="1:23" x14ac:dyDescent="0.25">
      <c r="A46" s="852"/>
      <c r="B46" s="898"/>
      <c r="C46" s="899"/>
      <c r="D46" s="899"/>
      <c r="E46" s="899"/>
      <c r="F46" s="899"/>
      <c r="G46" s="899"/>
      <c r="H46" s="899"/>
      <c r="I46" s="899"/>
      <c r="J46" s="899"/>
      <c r="K46" s="899"/>
      <c r="L46" s="900"/>
      <c r="M46" s="832"/>
      <c r="N46" s="831"/>
      <c r="O46" s="831"/>
      <c r="P46" s="831"/>
      <c r="Q46" s="831"/>
      <c r="R46" s="831"/>
      <c r="S46" s="831"/>
      <c r="T46" s="831"/>
      <c r="U46" s="831"/>
      <c r="V46" s="831"/>
      <c r="W46" s="835"/>
    </row>
    <row r="47" spans="1:23" ht="15.75" thickBot="1" x14ac:dyDescent="0.3">
      <c r="A47" s="852"/>
      <c r="B47" s="901"/>
      <c r="C47" s="902"/>
      <c r="D47" s="902"/>
      <c r="E47" s="902"/>
      <c r="F47" s="902"/>
      <c r="G47" s="902"/>
      <c r="H47" s="902"/>
      <c r="I47" s="902"/>
      <c r="J47" s="902"/>
      <c r="K47" s="902"/>
      <c r="L47" s="903"/>
      <c r="M47" s="833"/>
      <c r="N47" s="834"/>
      <c r="O47" s="834"/>
      <c r="P47" s="834"/>
      <c r="Q47" s="834"/>
      <c r="R47" s="834"/>
      <c r="S47" s="834"/>
      <c r="T47" s="834"/>
      <c r="U47" s="834"/>
      <c r="V47" s="834"/>
      <c r="W47" s="836"/>
    </row>
    <row r="48" spans="1:23" ht="29.25" customHeight="1" thickBot="1" x14ac:dyDescent="0.3">
      <c r="A48" s="851"/>
      <c r="B48" s="853" t="s">
        <v>215</v>
      </c>
      <c r="C48" s="854"/>
      <c r="D48" s="923"/>
      <c r="E48" s="923"/>
      <c r="F48" s="923"/>
      <c r="G48" s="312" t="s">
        <v>17</v>
      </c>
      <c r="H48" s="229" t="s">
        <v>18</v>
      </c>
      <c r="I48" s="171" t="s">
        <v>19</v>
      </c>
      <c r="J48" s="172" t="s">
        <v>20</v>
      </c>
      <c r="K48" s="173" t="s">
        <v>21</v>
      </c>
      <c r="L48" s="259"/>
      <c r="M48" s="857" t="s">
        <v>215</v>
      </c>
      <c r="N48" s="858"/>
      <c r="O48" s="805" t="s">
        <v>17</v>
      </c>
      <c r="P48" s="805"/>
      <c r="Q48" s="805"/>
      <c r="R48" s="805"/>
      <c r="S48" s="229" t="s">
        <v>18</v>
      </c>
      <c r="T48" s="171" t="s">
        <v>19</v>
      </c>
      <c r="U48" s="172" t="s">
        <v>20</v>
      </c>
      <c r="V48" s="173" t="s">
        <v>21</v>
      </c>
      <c r="W48" s="254"/>
    </row>
    <row r="49" spans="1:23" ht="15.75" thickBot="1" x14ac:dyDescent="0.3">
      <c r="A49" s="851"/>
      <c r="B49" s="855"/>
      <c r="C49" s="856"/>
      <c r="D49" s="911"/>
      <c r="E49" s="911"/>
      <c r="F49" s="911"/>
      <c r="G49" s="260"/>
      <c r="H49" s="260"/>
      <c r="I49" s="260"/>
      <c r="J49" s="260"/>
      <c r="K49" s="260"/>
      <c r="L49" s="142"/>
      <c r="M49" s="855"/>
      <c r="N49" s="859"/>
      <c r="O49" s="806"/>
      <c r="P49" s="807"/>
      <c r="Q49" s="807"/>
      <c r="R49" s="808"/>
      <c r="S49" s="260"/>
      <c r="T49" s="260"/>
      <c r="U49" s="260"/>
      <c r="V49" s="260"/>
      <c r="W49" s="268"/>
    </row>
    <row r="50" spans="1:23" ht="5.85" customHeight="1" thickBot="1" x14ac:dyDescent="0.3">
      <c r="A50" s="21"/>
      <c r="B50" s="22"/>
      <c r="C50" s="23"/>
      <c r="D50" s="23"/>
      <c r="E50" s="23"/>
      <c r="F50" s="23"/>
      <c r="G50" s="24"/>
      <c r="H50" s="24"/>
      <c r="I50" s="24"/>
      <c r="J50" s="24"/>
      <c r="K50" s="25"/>
      <c r="L50" s="23"/>
      <c r="M50" s="22"/>
      <c r="N50" s="23"/>
      <c r="O50" s="24"/>
      <c r="P50" s="24"/>
      <c r="Q50" s="24"/>
      <c r="R50" s="24"/>
      <c r="S50" s="24"/>
      <c r="T50" s="24"/>
      <c r="U50" s="24"/>
      <c r="V50" s="25"/>
      <c r="W50" s="25"/>
    </row>
    <row r="51" spans="1:23" ht="33.75" customHeight="1" thickBot="1" x14ac:dyDescent="0.3">
      <c r="A51" s="847" t="s">
        <v>28</v>
      </c>
      <c r="B51" s="814" t="s">
        <v>218</v>
      </c>
      <c r="C51" s="815"/>
      <c r="D51" s="815"/>
      <c r="E51" s="815"/>
      <c r="F51" s="815"/>
      <c r="G51" s="815"/>
      <c r="H51" s="815"/>
      <c r="I51" s="815"/>
      <c r="J51" s="815"/>
      <c r="K51" s="815"/>
      <c r="L51" s="873"/>
      <c r="M51" s="814" t="s">
        <v>218</v>
      </c>
      <c r="N51" s="815"/>
      <c r="O51" s="815"/>
      <c r="P51" s="815"/>
      <c r="Q51" s="815"/>
      <c r="R51" s="815"/>
      <c r="S51" s="815"/>
      <c r="T51" s="815"/>
      <c r="U51" s="815"/>
      <c r="V51" s="815"/>
      <c r="W51" s="873"/>
    </row>
    <row r="52" spans="1:23" ht="15.75" customHeight="1" thickBot="1" x14ac:dyDescent="0.3">
      <c r="A52" s="847"/>
      <c r="B52" s="814" t="s">
        <v>214</v>
      </c>
      <c r="C52" s="815"/>
      <c r="D52" s="815"/>
      <c r="E52" s="815"/>
      <c r="F52" s="815"/>
      <c r="G52" s="815"/>
      <c r="H52" s="815"/>
      <c r="I52" s="815"/>
      <c r="J52" s="815"/>
      <c r="K52" s="801"/>
      <c r="L52" s="873"/>
      <c r="M52" s="482" t="s">
        <v>214</v>
      </c>
      <c r="N52" s="248"/>
      <c r="O52" s="248"/>
      <c r="P52" s="248"/>
      <c r="Q52" s="416"/>
      <c r="R52" s="248"/>
      <c r="S52" s="248"/>
      <c r="T52" s="248"/>
      <c r="U52" s="248"/>
      <c r="V52" s="248"/>
      <c r="W52" s="258"/>
    </row>
    <row r="53" spans="1:23" ht="27" customHeight="1" x14ac:dyDescent="0.25">
      <c r="A53" s="847"/>
      <c r="B53" s="181" t="s">
        <v>219</v>
      </c>
      <c r="C53" s="20" t="s">
        <v>220</v>
      </c>
      <c r="D53" s="914"/>
      <c r="E53" s="914"/>
      <c r="F53" s="914"/>
      <c r="G53" s="312" t="s">
        <v>17</v>
      </c>
      <c r="H53" s="229" t="s">
        <v>18</v>
      </c>
      <c r="I53" s="171" t="s">
        <v>19</v>
      </c>
      <c r="J53" s="172" t="s">
        <v>20</v>
      </c>
      <c r="K53" s="173" t="s">
        <v>21</v>
      </c>
      <c r="L53" s="261"/>
      <c r="M53" s="890"/>
      <c r="N53" s="891"/>
      <c r="O53" s="891"/>
      <c r="P53" s="891"/>
      <c r="Q53" s="891"/>
      <c r="R53" s="891"/>
      <c r="S53" s="891"/>
      <c r="T53" s="891"/>
      <c r="U53" s="891"/>
      <c r="V53" s="891"/>
      <c r="W53" s="892"/>
    </row>
    <row r="54" spans="1:23" ht="41.25" customHeight="1" thickBot="1" x14ac:dyDescent="0.3">
      <c r="A54" s="847"/>
      <c r="B54" s="263" t="s">
        <v>223</v>
      </c>
      <c r="C54" s="476">
        <f>IF('Table 1-B  Context Analysis'!$K$7="Yes",IF('Table 1-D-Outcomes'!M35="","N/A",'Table 1-D-Outcomes'!M35), IF('Table 1-B  Context Analysis'!$K$7="No",IF('Table 1-B  Context Analysis'!$K$8="Yes",IF('Table 1-D-Outcomes'!$V35="F3",IF('Table 1-D-Outcomes'!M35="","N/A",'Table 1-D-Outcomes'!M35),IF('Table 1-D-Outcomes'!M35="","N/A"," F3 exigé")),IF('Table 1-D-Outcomes'!$V35="F0",IF('Table 1-D-Outcomes'!M35="","N/A","F0"),IF('Table 1-D-Outcomes'!$V35="F1",IF('Table 1-D-Outcomes'!M35="","N/A","F1"),IF('Table 1-D-Outcomes'!$V$35="Erreur","fiabilité",IF('Table 1-D-Outcomes'!M35="","N/A",'Table 1-D-Outcomes'!M35)))))))</f>
        <v>6.0999999999999999E-2</v>
      </c>
      <c r="D54" s="916"/>
      <c r="E54" s="916"/>
      <c r="F54" s="916"/>
      <c r="G54" s="260"/>
      <c r="H54" s="260"/>
      <c r="I54" s="260"/>
      <c r="J54" s="260"/>
      <c r="K54" s="260"/>
      <c r="L54" s="262"/>
      <c r="M54" s="893"/>
      <c r="N54" s="894"/>
      <c r="O54" s="894"/>
      <c r="P54" s="894"/>
      <c r="Q54" s="894"/>
      <c r="R54" s="894"/>
      <c r="S54" s="894"/>
      <c r="T54" s="894"/>
      <c r="U54" s="894"/>
      <c r="V54" s="894"/>
      <c r="W54" s="895"/>
    </row>
    <row r="55" spans="1:23" ht="26.25" x14ac:dyDescent="0.25">
      <c r="A55" s="847"/>
      <c r="B55" s="364" t="s">
        <v>224</v>
      </c>
      <c r="C55" s="476" t="str">
        <f>IF('Table 1-B  Context Analysis'!$K$7="Yes",IF('Table 1-D-Outcomes'!M36="","N/A",'Table 1-D-Outcomes'!M36), IF('Table 1-B  Context Analysis'!$K$7="No",IF('Table 1-B  Context Analysis'!$K$8="Yes",IF('Table 1-D-Outcomes'!$V36="F3",IF('Table 1-D-Outcomes'!M36="","N/A",'Table 1-D-Outcomes'!M36),IF('Table 1-D-Outcomes'!M36="","N/A"," F3 exigé")),IF('Table 1-D-Outcomes'!$V36="F0",IF('Table 1-D-Outcomes'!M36="","N/A","F0"),IF('Table 1-D-Outcomes'!$V36="F1",IF('Table 1-D-Outcomes'!M36="","N/A","F1"),IF('Table 1-D-Outcomes'!$V$36="Erreur","fiabilité",IF('Table 1-D-Outcomes'!M36="","N/A",'Table 1-D-Outcomes'!M36)))))))</f>
        <v>fiabilité</v>
      </c>
      <c r="D55" s="916"/>
      <c r="E55" s="916"/>
      <c r="F55" s="916"/>
      <c r="G55" s="260"/>
      <c r="H55" s="260"/>
      <c r="I55" s="260"/>
      <c r="J55" s="260"/>
      <c r="K55" s="260"/>
      <c r="L55" s="262"/>
      <c r="M55" s="849" t="s">
        <v>24</v>
      </c>
      <c r="N55" s="850"/>
      <c r="O55" s="805" t="s">
        <v>17</v>
      </c>
      <c r="P55" s="805"/>
      <c r="Q55" s="805"/>
      <c r="R55" s="805"/>
      <c r="S55" s="229" t="s">
        <v>18</v>
      </c>
      <c r="T55" s="171" t="s">
        <v>19</v>
      </c>
      <c r="U55" s="172" t="s">
        <v>20</v>
      </c>
      <c r="V55" s="173" t="s">
        <v>21</v>
      </c>
      <c r="W55" s="264"/>
    </row>
    <row r="56" spans="1:23" ht="33" customHeight="1" thickBot="1" x14ac:dyDescent="0.3">
      <c r="A56" s="847"/>
      <c r="B56" s="263" t="s">
        <v>9</v>
      </c>
      <c r="C56" s="476" t="str">
        <f>IF('Table 1-B  Context Analysis'!$K$7="Yes",IF('Table 1-D-Outcomes'!M38="","N/A",'Table 1-D-Outcomes'!M38), IF('Table 1-B  Context Analysis'!$K$7="No",IF('Table 1-B  Context Analysis'!$K$8="Yes",IF('Table 1-D-Outcomes'!$V38="F3",IF('Table 1-D-Outcomes'!M38="","N/A",'Table 1-D-Outcomes'!M38),IF('Table 1-D-Outcomes'!M38="","N/A"," F3 exigé")),IF('Table 1-D-Outcomes'!$V38="F0",IF('Table 1-D-Outcomes'!M38="","N/A","F0"),IF('Table 1-D-Outcomes'!$V38="F1",IF('Table 1-D-Outcomes'!M38="","N/A","F1"),IF('Table 1-D-Outcomes'!$V$38="Erreur","fiabilité",IF('Table 1-D-Outcomes'!M38="","N/A",'Table 1-D-Outcomes'!M38)))))))</f>
        <v>fiabilité</v>
      </c>
      <c r="D56" s="919"/>
      <c r="E56" s="919"/>
      <c r="F56" s="919"/>
      <c r="G56" s="260"/>
      <c r="H56" s="260"/>
      <c r="I56" s="260"/>
      <c r="J56" s="260"/>
      <c r="K56" s="260"/>
      <c r="L56" s="262"/>
      <c r="M56" s="269" t="s">
        <v>224</v>
      </c>
      <c r="N56" s="403" t="str">
        <f>IF('Table 1-B  Context Analysis'!$K$7="Yes",IF('Table 1-D-Outcomes'!M37="","N/A",'Table 1-D-Outcomes'!M37), IF('Table 1-B  Context Analysis'!$K$7="No",IF('Table 1-B  Context Analysis'!$K$8="Yes",IF('Table 1-D-Outcomes'!$V37="F3",IF('Table 1-D-Outcomes'!M37="","N/A",'Table 1-D-Outcomes'!M37),IF('Table 1-D-Outcomes'!M37="","N/A"," F3 exigé")),IF('Table 1-D-Outcomes'!$V37="F0",IF('Table 1-D-Outcomes'!M37="","N/A","F0"),IF('Table 1-D-Outcomes'!$V37="F1",IF('Table 1-D-Outcomes'!M37="","N/A","F1"),IF('Table 1-D-Outcomes'!$V$37="Erreur","fiabilité",IF('Table 1-D-Outcomes'!M37="","N/A",'Table 1-D-Outcomes'!M37)))))))</f>
        <v>fiabilité</v>
      </c>
      <c r="O56" s="806"/>
      <c r="P56" s="807"/>
      <c r="Q56" s="807"/>
      <c r="R56" s="808"/>
      <c r="S56" s="260"/>
      <c r="T56" s="260"/>
      <c r="U56" s="260"/>
      <c r="V56" s="260"/>
      <c r="W56" s="264"/>
    </row>
    <row r="57" spans="1:23" ht="15.75" customHeight="1" thickBot="1" x14ac:dyDescent="0.3">
      <c r="A57" s="847"/>
      <c r="B57" s="904" t="s">
        <v>26</v>
      </c>
      <c r="C57" s="905"/>
      <c r="D57" s="905"/>
      <c r="E57" s="905"/>
      <c r="F57" s="905"/>
      <c r="G57" s="905"/>
      <c r="H57" s="905"/>
      <c r="I57" s="905"/>
      <c r="J57" s="905"/>
      <c r="K57" s="905"/>
      <c r="L57" s="259"/>
      <c r="M57" s="188"/>
      <c r="N57" s="189"/>
      <c r="O57" s="190"/>
      <c r="P57" s="240"/>
      <c r="Q57" s="240"/>
      <c r="R57" s="191"/>
      <c r="S57" s="192"/>
      <c r="T57" s="192"/>
      <c r="U57" s="192"/>
      <c r="V57" s="193"/>
      <c r="W57" s="264"/>
    </row>
    <row r="58" spans="1:23" ht="15.75" thickBot="1" x14ac:dyDescent="0.3">
      <c r="A58" s="848"/>
      <c r="B58" s="180" t="s">
        <v>10</v>
      </c>
      <c r="C58" s="476" t="b">
        <f>IF('Table 1-B  Context Analysis'!$K$7="Oui",IF('Table 1-D-Outcomes'!M39="","N/A",'Table 1-D-Outcomes'!M39), IF('Table 1-B  Context Analysis'!$K$7="Non",IF('Table 1-B  Context Analysis'!$K$8="Oui",IF('Table 1-D-Outcomes'!$V39="F3",IF('Table 1-D-Outcomes'!M39="","N/A",'Table 1-D-Outcomes'!M39),IF('Table 1-D-Outcomes'!M39="","N/A"," F3 exigé")),IF('Table 1-D-Outcomes'!$V39="F0",IF('Table 1-D-Outcomes'!M39="","N/A","F0"),IF('Table 1-D-Outcomes'!$V39="F1",IF('Table 1-D-Outcomes'!M39="","N/A","F1"),IF('Table 1-D-Outcomes'!$V$39="Erreur","fiabilité",IF('Table 1-D-Outcomes'!M39="","N/A",'Table 1-D-Outcomes'!M39)))))))</f>
        <v>0</v>
      </c>
      <c r="D58" s="920"/>
      <c r="E58" s="921"/>
      <c r="F58" s="922"/>
      <c r="G58" s="260"/>
      <c r="H58" s="260"/>
      <c r="I58" s="260"/>
      <c r="J58" s="260"/>
      <c r="K58" s="260"/>
      <c r="L58" s="259"/>
      <c r="M58" s="183"/>
      <c r="N58" s="184"/>
      <c r="O58" s="185"/>
      <c r="P58" s="241"/>
      <c r="Q58" s="241"/>
      <c r="R58" s="186"/>
      <c r="S58" s="187"/>
      <c r="T58" s="187"/>
      <c r="U58" s="187"/>
      <c r="V58" s="194"/>
      <c r="W58" s="249"/>
    </row>
    <row r="59" spans="1:23" ht="16.5" customHeight="1" thickBot="1" x14ac:dyDescent="0.3">
      <c r="A59" s="848"/>
      <c r="B59" s="772" t="s">
        <v>211</v>
      </c>
      <c r="C59" s="773"/>
      <c r="D59" s="773"/>
      <c r="E59" s="773"/>
      <c r="F59" s="773"/>
      <c r="G59" s="773"/>
      <c r="H59" s="773"/>
      <c r="I59" s="773"/>
      <c r="J59" s="773"/>
      <c r="K59" s="773"/>
      <c r="L59" s="774"/>
      <c r="M59" s="772" t="s">
        <v>211</v>
      </c>
      <c r="N59" s="773"/>
      <c r="O59" s="773"/>
      <c r="P59" s="773"/>
      <c r="Q59" s="773"/>
      <c r="R59" s="773"/>
      <c r="S59" s="773"/>
      <c r="T59" s="773"/>
      <c r="U59" s="773"/>
      <c r="V59" s="773"/>
      <c r="W59" s="774"/>
    </row>
    <row r="60" spans="1:23" ht="16.5" customHeight="1" thickBot="1" x14ac:dyDescent="0.3">
      <c r="A60" s="848"/>
      <c r="B60" s="479"/>
      <c r="C60" s="844" t="s">
        <v>208</v>
      </c>
      <c r="D60" s="844"/>
      <c r="E60" s="844" t="s">
        <v>136</v>
      </c>
      <c r="F60" s="844"/>
      <c r="G60" s="844" t="s">
        <v>209</v>
      </c>
      <c r="H60" s="844"/>
      <c r="I60" s="844" t="s">
        <v>210</v>
      </c>
      <c r="J60" s="844"/>
      <c r="K60" s="844" t="s">
        <v>135</v>
      </c>
      <c r="L60" s="844"/>
      <c r="M60" s="479"/>
      <c r="N60" s="844" t="s">
        <v>208</v>
      </c>
      <c r="O60" s="844"/>
      <c r="P60" s="844" t="s">
        <v>136</v>
      </c>
      <c r="Q60" s="844"/>
      <c r="R60" s="844" t="s">
        <v>209</v>
      </c>
      <c r="S60" s="844"/>
      <c r="T60" s="844" t="s">
        <v>210</v>
      </c>
      <c r="U60" s="844"/>
      <c r="V60" s="844" t="s">
        <v>135</v>
      </c>
      <c r="W60" s="844"/>
    </row>
    <row r="61" spans="1:23" ht="26.25" customHeight="1" thickBot="1" x14ac:dyDescent="0.3">
      <c r="A61" s="848"/>
      <c r="B61" s="480" t="s">
        <v>229</v>
      </c>
      <c r="C61" s="841" t="str">
        <f>IF('Table 2-A- FC Analysis'!D37="x","-F",IF('Table 2-A- FC Analysis'!E37="x","-M",IF('Table 2-A- FC Analysis'!F37="x","-L",IF('Table 2-A- FC Analysis'!G37="x","+L",IF('Table 2-A- FC Analysis'!H37="x","+M",IF('Table 2-A- FC Analysis'!I37="x","+F","N/A"))))))</f>
        <v>-L</v>
      </c>
      <c r="D61" s="842"/>
      <c r="E61" s="841" t="str">
        <f>IF('Table 2-A- FC Analysis'!D72="x","-F",IF('Table 2-A- FC Analysis'!E72="x","-M",IF('Table 2-A- FC Analysis'!F72="x","-L",IF('Table 2-A- FC Analysis'!G72="x","+L",IF('Table 2-A- FC Analysis'!H72="x","+M",IF('Table 2-A- FC Analysis'!I72="x","+F","N/A"))))))</f>
        <v>+M</v>
      </c>
      <c r="F61" s="842"/>
      <c r="G61" s="841" t="str">
        <f>IF('Table 2-A- FC Analysis'!D104="x","-F",IF('Table 2-A- FC Analysis'!E104="x","-M",IF('Table 2-A- FC Analysis'!F104="x","-L",IF('Table 2-A- FC Analysis'!G104="x","+L",IF('Table 2-A- FC Analysis'!H104="x","+M",IF('Table 2-A- FC Analysis'!I104="x","+F","N/A"))))))</f>
        <v>+M</v>
      </c>
      <c r="H61" s="842"/>
      <c r="I61" s="841" t="str">
        <f>IF('Table 2-A- FC Analysis'!D136="x","-F",IF('Table 2-A- FC Analysis'!E136="x","-M",IF('Table 2-A- FC Analysis'!F136="x","-L",IF('Table 2-A- FC Analysis'!G136="x","+L",IF('Table 2-A- FC Analysis'!H136="x","+M",IF('Table 2-A- FC Analysis'!I136="x","+F","N/A"))))))</f>
        <v>+M</v>
      </c>
      <c r="J61" s="842"/>
      <c r="K61" s="841" t="str">
        <f>IF('Table 2-A- FC Analysis'!D168="x","-F",IF('Table 2-A- FC Analysis'!E168="x","-M",IF('Table 2-A- FC Analysis'!F168="x","-L",IF('Table 2-A- FC Analysis'!G168="x","+L",IF('Table 2-A- FC Analysis'!H168="x","+M",IF('Table 2-A- FC Analysis'!I168="x","+F","N/A"))))))</f>
        <v>-L</v>
      </c>
      <c r="L61" s="843"/>
      <c r="M61" s="480" t="s">
        <v>229</v>
      </c>
      <c r="N61" s="845" t="str">
        <f>IF('Table 2-A- FC Analysis'!K37="x","-F",IF('Table 2-A- FC Analysis'!L37="x","-M",IF('Table 2-A- FC Analysis'!M37="x","-L",IF('Table 2-A- FC Analysis'!N37="x","+L",IF('Table 2-A- FC Analysis'!O37="x","+M",IF('Table 2-A- FC Analysis'!P37="x","+F","N/A"))))))</f>
        <v>-L</v>
      </c>
      <c r="O61" s="846"/>
      <c r="P61" s="845" t="str">
        <f>IF('Table 2-A- FC Analysis'!K72="x","-F",IF('Table 2-A- FC Analysis'!L72="x","-M",IF('Table 2-A- FC Analysis'!M72="x","-L",IF('Table 2-A- FC Analysis'!N72="x","+L",IF('Table 2-A- FC Analysis'!O72="x","+M",IF('Table 2-A- FC Analysis'!P72="x","+F","N/A"))))))</f>
        <v>-L</v>
      </c>
      <c r="Q61" s="846"/>
      <c r="R61" s="845" t="str">
        <f>IF('Table 2-A- FC Analysis'!K104="x","-F",IF('Table 2-A- FC Analysis'!L104="x","-M",IF('Table 2-A- FC Analysis'!M104="x","-L",IF('Table 2-A- FC Analysis'!N104="x","+L",IF('Table 2-A- FC Analysis'!O104="x","+M",IF('Table 2-A- FC Analysis'!P104="x","+F","N/A"))))))</f>
        <v>-L</v>
      </c>
      <c r="S61" s="846"/>
      <c r="T61" s="845" t="str">
        <f>IF('Table 2-A- FC Analysis'!K136="x","-F",IF('Table 2-A- FC Analysis'!L136="x","-M",IF('Table 2-A- FC Analysis'!M136="x","-L",IF('Table 2-A- FC Analysis'!N136="x","+L",IF('Table 2-A- FC Analysis'!O136="x","+M",IF('Table 2-A- FC Analysis'!P136="x","+F","N/A"))))))</f>
        <v>+M</v>
      </c>
      <c r="U61" s="846"/>
      <c r="V61" s="845" t="str">
        <f>IF('Table 2-A- FC Analysis'!K168="x","-F",IF('Table 2-A- FC Analysis'!L168="x","-M",IF('Table 2-A- FC Analysis'!M168="x","-L",IF('Table 2-A- FC Analysis'!N168="x","+L",IF('Table 2-A- FC Analysis'!O168="x","+M",IF('Table 2-A- FC Analysis'!P168="x","+F","N/A"))))))</f>
        <v>+F</v>
      </c>
      <c r="W61" s="846"/>
    </row>
    <row r="62" spans="1:23" ht="16.350000000000001" customHeight="1" thickBot="1" x14ac:dyDescent="0.3">
      <c r="A62" s="848"/>
      <c r="B62" s="874" t="s">
        <v>27</v>
      </c>
      <c r="C62" s="875"/>
      <c r="D62" s="875"/>
      <c r="E62" s="875"/>
      <c r="F62" s="875"/>
      <c r="G62" s="875"/>
      <c r="H62" s="875"/>
      <c r="I62" s="875"/>
      <c r="J62" s="875"/>
      <c r="K62" s="875"/>
      <c r="L62" s="876"/>
      <c r="M62" s="874" t="s">
        <v>27</v>
      </c>
      <c r="N62" s="875"/>
      <c r="O62" s="875"/>
      <c r="P62" s="875"/>
      <c r="Q62" s="875"/>
      <c r="R62" s="875"/>
      <c r="S62" s="875"/>
      <c r="T62" s="875"/>
      <c r="U62" s="875"/>
      <c r="V62" s="876"/>
      <c r="W62" s="250"/>
    </row>
    <row r="63" spans="1:23" x14ac:dyDescent="0.25">
      <c r="A63" s="848"/>
      <c r="B63" s="828"/>
      <c r="C63" s="831"/>
      <c r="D63" s="831"/>
      <c r="E63" s="831"/>
      <c r="F63" s="831"/>
      <c r="G63" s="831"/>
      <c r="H63" s="831"/>
      <c r="I63" s="831"/>
      <c r="J63" s="831"/>
      <c r="K63" s="831"/>
      <c r="L63" s="831"/>
      <c r="M63" s="825"/>
      <c r="N63" s="826"/>
      <c r="O63" s="826"/>
      <c r="P63" s="826"/>
      <c r="Q63" s="826"/>
      <c r="R63" s="826"/>
      <c r="S63" s="826"/>
      <c r="T63" s="826"/>
      <c r="U63" s="826"/>
      <c r="V63" s="826"/>
      <c r="W63" s="827"/>
    </row>
    <row r="64" spans="1:23" x14ac:dyDescent="0.25">
      <c r="A64" s="848"/>
      <c r="B64" s="832"/>
      <c r="C64" s="831"/>
      <c r="D64" s="831"/>
      <c r="E64" s="831"/>
      <c r="F64" s="831"/>
      <c r="G64" s="831"/>
      <c r="H64" s="831"/>
      <c r="I64" s="831"/>
      <c r="J64" s="831"/>
      <c r="K64" s="831"/>
      <c r="L64" s="831"/>
      <c r="M64" s="828"/>
      <c r="N64" s="829"/>
      <c r="O64" s="829"/>
      <c r="P64" s="829"/>
      <c r="Q64" s="829"/>
      <c r="R64" s="829"/>
      <c r="S64" s="829"/>
      <c r="T64" s="829"/>
      <c r="U64" s="829"/>
      <c r="V64" s="829"/>
      <c r="W64" s="830"/>
    </row>
    <row r="65" spans="1:23" x14ac:dyDescent="0.25">
      <c r="A65" s="848"/>
      <c r="B65" s="832"/>
      <c r="C65" s="831"/>
      <c r="D65" s="831"/>
      <c r="E65" s="831"/>
      <c r="F65" s="831"/>
      <c r="G65" s="831"/>
      <c r="H65" s="831"/>
      <c r="I65" s="831"/>
      <c r="J65" s="831"/>
      <c r="K65" s="831"/>
      <c r="L65" s="831"/>
      <c r="M65" s="828"/>
      <c r="N65" s="829"/>
      <c r="O65" s="829"/>
      <c r="P65" s="829"/>
      <c r="Q65" s="829"/>
      <c r="R65" s="829"/>
      <c r="S65" s="829"/>
      <c r="T65" s="829"/>
      <c r="U65" s="829"/>
      <c r="V65" s="829"/>
      <c r="W65" s="830"/>
    </row>
    <row r="66" spans="1:23" ht="15.75" thickBot="1" x14ac:dyDescent="0.3">
      <c r="A66" s="848"/>
      <c r="B66" s="833"/>
      <c r="C66" s="834"/>
      <c r="D66" s="834"/>
      <c r="E66" s="834"/>
      <c r="F66" s="831"/>
      <c r="G66" s="831"/>
      <c r="H66" s="834"/>
      <c r="I66" s="834"/>
      <c r="J66" s="834"/>
      <c r="K66" s="834"/>
      <c r="L66" s="831"/>
      <c r="M66" s="828"/>
      <c r="N66" s="829"/>
      <c r="O66" s="829"/>
      <c r="P66" s="829"/>
      <c r="Q66" s="829"/>
      <c r="R66" s="829"/>
      <c r="S66" s="829"/>
      <c r="T66" s="829"/>
      <c r="U66" s="829"/>
      <c r="V66" s="829"/>
      <c r="W66" s="830"/>
    </row>
    <row r="67" spans="1:23" ht="35.25" customHeight="1" x14ac:dyDescent="0.25">
      <c r="A67" s="848"/>
      <c r="B67" s="857" t="s">
        <v>230</v>
      </c>
      <c r="C67" s="889"/>
      <c r="D67" s="911"/>
      <c r="E67" s="911"/>
      <c r="F67" s="912"/>
      <c r="G67" s="327" t="s">
        <v>17</v>
      </c>
      <c r="H67" s="229" t="s">
        <v>18</v>
      </c>
      <c r="I67" s="171" t="s">
        <v>19</v>
      </c>
      <c r="J67" s="172" t="s">
        <v>20</v>
      </c>
      <c r="K67" s="173" t="s">
        <v>21</v>
      </c>
      <c r="L67" s="267"/>
      <c r="M67" s="857" t="s">
        <v>230</v>
      </c>
      <c r="N67" s="858"/>
      <c r="O67" s="805" t="s">
        <v>17</v>
      </c>
      <c r="P67" s="805"/>
      <c r="Q67" s="805"/>
      <c r="R67" s="805"/>
      <c r="S67" s="229" t="s">
        <v>18</v>
      </c>
      <c r="T67" s="171" t="s">
        <v>19</v>
      </c>
      <c r="U67" s="172" t="s">
        <v>20</v>
      </c>
      <c r="V67" s="173" t="s">
        <v>21</v>
      </c>
      <c r="W67" s="839"/>
    </row>
    <row r="68" spans="1:23" ht="15.75" thickBot="1" x14ac:dyDescent="0.3">
      <c r="A68" s="848"/>
      <c r="B68" s="855"/>
      <c r="C68" s="856"/>
      <c r="D68" s="911"/>
      <c r="E68" s="911"/>
      <c r="F68" s="912"/>
      <c r="G68" s="260"/>
      <c r="H68" s="260"/>
      <c r="I68" s="260"/>
      <c r="J68" s="260"/>
      <c r="K68" s="260"/>
      <c r="L68" s="142"/>
      <c r="M68" s="855"/>
      <c r="N68" s="859"/>
      <c r="O68" s="806"/>
      <c r="P68" s="807"/>
      <c r="Q68" s="807"/>
      <c r="R68" s="808"/>
      <c r="S68" s="260"/>
      <c r="T68" s="260"/>
      <c r="U68" s="260"/>
      <c r="V68" s="260"/>
      <c r="W68" s="840"/>
    </row>
    <row r="69" spans="1:23" ht="5.85" customHeight="1" thickBot="1" x14ac:dyDescent="0.3">
      <c r="A69" s="21"/>
      <c r="B69" s="270"/>
      <c r="C69" s="265"/>
      <c r="D69" s="265"/>
      <c r="E69" s="265"/>
      <c r="F69" s="265"/>
      <c r="G69" s="271"/>
      <c r="H69" s="271"/>
      <c r="I69" s="271"/>
      <c r="J69" s="271"/>
      <c r="K69" s="272"/>
      <c r="L69" s="265"/>
      <c r="M69" s="22"/>
      <c r="N69" s="23"/>
      <c r="O69" s="24"/>
      <c r="P69" s="24"/>
      <c r="Q69" s="24"/>
      <c r="R69" s="24"/>
      <c r="S69" s="24"/>
      <c r="T69" s="24"/>
      <c r="U69" s="24"/>
      <c r="V69" s="25"/>
      <c r="W69" s="25"/>
    </row>
    <row r="70" spans="1:23" ht="15.75" thickBot="1" x14ac:dyDescent="0.3">
      <c r="A70" s="847" t="s">
        <v>32</v>
      </c>
      <c r="B70" s="780" t="s">
        <v>225</v>
      </c>
      <c r="C70" s="781"/>
      <c r="D70" s="781"/>
      <c r="E70" s="781"/>
      <c r="F70" s="781"/>
      <c r="G70" s="781"/>
      <c r="H70" s="781"/>
      <c r="I70" s="781"/>
      <c r="J70" s="781"/>
      <c r="K70" s="781"/>
      <c r="L70" s="254"/>
      <c r="M70" s="801" t="s">
        <v>225</v>
      </c>
      <c r="N70" s="801"/>
      <c r="O70" s="801"/>
      <c r="P70" s="801"/>
      <c r="Q70" s="801"/>
      <c r="R70" s="801"/>
      <c r="S70" s="801"/>
      <c r="T70" s="801"/>
      <c r="U70" s="801"/>
      <c r="V70" s="801"/>
      <c r="W70" s="802"/>
    </row>
    <row r="71" spans="1:23" ht="23.25" customHeight="1" thickBot="1" x14ac:dyDescent="0.3">
      <c r="A71" s="847"/>
      <c r="B71" s="814" t="s">
        <v>214</v>
      </c>
      <c r="C71" s="815"/>
      <c r="D71" s="815"/>
      <c r="E71" s="815"/>
      <c r="F71" s="815"/>
      <c r="G71" s="815"/>
      <c r="H71" s="815"/>
      <c r="I71" s="815"/>
      <c r="J71" s="815"/>
      <c r="K71" s="815"/>
      <c r="L71" s="247"/>
      <c r="M71" s="815" t="s">
        <v>214</v>
      </c>
      <c r="N71" s="815"/>
      <c r="O71" s="815"/>
      <c r="P71" s="815"/>
      <c r="Q71" s="815"/>
      <c r="R71" s="815"/>
      <c r="S71" s="815"/>
      <c r="T71" s="815"/>
      <c r="U71" s="815"/>
      <c r="V71" s="815"/>
      <c r="W71" s="873"/>
    </row>
    <row r="72" spans="1:23" ht="27" customHeight="1" thickBot="1" x14ac:dyDescent="0.3">
      <c r="A72" s="847"/>
      <c r="B72" s="521" t="s">
        <v>219</v>
      </c>
      <c r="C72" s="522" t="s">
        <v>226</v>
      </c>
      <c r="D72" s="913"/>
      <c r="E72" s="914"/>
      <c r="F72" s="914"/>
      <c r="G72" s="312" t="s">
        <v>17</v>
      </c>
      <c r="H72" s="229" t="s">
        <v>18</v>
      </c>
      <c r="I72" s="171" t="s">
        <v>19</v>
      </c>
      <c r="J72" s="172" t="s">
        <v>20</v>
      </c>
      <c r="K72" s="173" t="s">
        <v>21</v>
      </c>
      <c r="L72" s="279"/>
      <c r="M72" s="837"/>
      <c r="N72" s="837"/>
      <c r="O72" s="837"/>
      <c r="P72" s="837"/>
      <c r="Q72" s="837"/>
      <c r="R72" s="837"/>
      <c r="S72" s="837"/>
      <c r="T72" s="837"/>
      <c r="U72" s="837"/>
      <c r="V72" s="837"/>
      <c r="W72" s="838"/>
    </row>
    <row r="73" spans="1:23" ht="15.75" thickBot="1" x14ac:dyDescent="0.3">
      <c r="A73" s="847"/>
      <c r="B73" s="48" t="s">
        <v>168</v>
      </c>
      <c r="C73" s="182" t="b">
        <f>IF('Table 1-B  Context Analysis'!$K$7="Oui",IF('Table 1-D-Outcomes'!M42="","N/A",'Table 1-D-Outcomes'!M42), IF('Table 1-B  Context Analysis'!$K$7="Non",IF('Table 1-B  Context Analysis'!$K$8="Oui",IF('Table 1-D-Outcomes'!$V42="F3",IF('Table 1-D-Outcomes'!M42="","N/A",'Table 1-D-Outcomes'!M42),IF('Table 1-D-Outcomes'!M42="","N/A"," F3 exigé")),IF('Table 1-D-Outcomes'!$V42="F0",IF('Table 1-D-Outcomes'!M42="","N/A","F0"),IF('Table 1-D-Outcomes'!$V42="F1",IF('Table 1-D-Outcomes'!M42="","N/A","F1"),IF('Table 1-D-Outcomes'!$V$42="Erreur","fiabilité",IF('Table 1-D-Outcomes'!M42="","N/A",'Table 1-D-Outcomes'!M42)))))))</f>
        <v>0</v>
      </c>
      <c r="D73" s="915"/>
      <c r="E73" s="916"/>
      <c r="F73" s="916"/>
      <c r="G73" s="260"/>
      <c r="H73" s="260"/>
      <c r="I73" s="260"/>
      <c r="J73" s="260"/>
      <c r="K73" s="260"/>
      <c r="L73" s="279"/>
      <c r="M73" s="837"/>
      <c r="N73" s="837"/>
      <c r="O73" s="837"/>
      <c r="P73" s="837"/>
      <c r="Q73" s="837"/>
      <c r="R73" s="837"/>
      <c r="S73" s="837"/>
      <c r="T73" s="837"/>
      <c r="U73" s="837"/>
      <c r="V73" s="837"/>
      <c r="W73" s="838"/>
    </row>
    <row r="74" spans="1:23" ht="15.75" thickBot="1" x14ac:dyDescent="0.3">
      <c r="A74" s="847"/>
      <c r="B74" s="48" t="s">
        <v>169</v>
      </c>
      <c r="C74" s="182" t="b">
        <f>IF('Table 1-B  Context Analysis'!$K$7="Oui",IF('Table 1-D-Outcomes'!M43="","N/A",'Table 1-D-Outcomes'!M43), IF('Table 1-B  Context Analysis'!$K$7="Non",IF('Table 1-B  Context Analysis'!$K$8="Oui",IF('Table 1-D-Outcomes'!$V43="F3",IF('Table 1-D-Outcomes'!M43="","N/A",'Table 1-D-Outcomes'!M43),IF('Table 1-D-Outcomes'!M43="","N/A"," F3 exigé")),IF('Table 1-D-Outcomes'!$V43="F0",IF('Table 1-D-Outcomes'!M43="","N/A","F0"),IF('Table 1-D-Outcomes'!$V43="F1",IF('Table 1-D-Outcomes'!M43="","N/A","F1"),IF('Table 1-D-Outcomes'!$V$43="Erreur","fiabilité",IF('Table 1-D-Outcomes'!M43="","N/A",'Table 1-D-Outcomes'!M43)))))))</f>
        <v>0</v>
      </c>
      <c r="D74" s="917"/>
      <c r="E74" s="918"/>
      <c r="F74" s="918"/>
      <c r="G74" s="260"/>
      <c r="H74" s="260"/>
      <c r="I74" s="260"/>
      <c r="J74" s="260"/>
      <c r="K74" s="260"/>
      <c r="L74" s="279"/>
      <c r="M74" s="837"/>
      <c r="N74" s="837"/>
      <c r="O74" s="837"/>
      <c r="P74" s="837"/>
      <c r="Q74" s="837"/>
      <c r="R74" s="837"/>
      <c r="S74" s="837"/>
      <c r="T74" s="837"/>
      <c r="U74" s="837"/>
      <c r="V74" s="837"/>
      <c r="W74" s="838"/>
    </row>
    <row r="75" spans="1:23" ht="16.5" thickBot="1" x14ac:dyDescent="0.3">
      <c r="A75" s="847"/>
      <c r="B75" s="772" t="s">
        <v>68</v>
      </c>
      <c r="C75" s="773"/>
      <c r="D75" s="773"/>
      <c r="E75" s="773"/>
      <c r="F75" s="773"/>
      <c r="G75" s="773"/>
      <c r="H75" s="773"/>
      <c r="I75" s="773"/>
      <c r="J75" s="773"/>
      <c r="K75" s="773"/>
      <c r="L75" s="257"/>
      <c r="M75" s="772" t="s">
        <v>68</v>
      </c>
      <c r="N75" s="773"/>
      <c r="O75" s="773"/>
      <c r="P75" s="773"/>
      <c r="Q75" s="773"/>
      <c r="R75" s="773"/>
      <c r="S75" s="773"/>
      <c r="T75" s="773"/>
      <c r="U75" s="773"/>
      <c r="V75" s="773"/>
      <c r="W75" s="257"/>
    </row>
    <row r="76" spans="1:23" ht="16.5" customHeight="1" thickBot="1" x14ac:dyDescent="0.3">
      <c r="A76" s="847"/>
      <c r="B76" s="479"/>
      <c r="C76" s="844" t="s">
        <v>208</v>
      </c>
      <c r="D76" s="844"/>
      <c r="E76" s="844" t="s">
        <v>136</v>
      </c>
      <c r="F76" s="844"/>
      <c r="G76" s="844" t="s">
        <v>209</v>
      </c>
      <c r="H76" s="844"/>
      <c r="I76" s="844" t="s">
        <v>210</v>
      </c>
      <c r="J76" s="844"/>
      <c r="K76" s="844" t="s">
        <v>135</v>
      </c>
      <c r="L76" s="844"/>
      <c r="M76" s="479"/>
      <c r="N76" s="844" t="s">
        <v>208</v>
      </c>
      <c r="O76" s="844"/>
      <c r="P76" s="844" t="s">
        <v>136</v>
      </c>
      <c r="Q76" s="844"/>
      <c r="R76" s="844" t="s">
        <v>209</v>
      </c>
      <c r="S76" s="844"/>
      <c r="T76" s="844" t="s">
        <v>210</v>
      </c>
      <c r="U76" s="844"/>
      <c r="V76" s="844" t="s">
        <v>135</v>
      </c>
      <c r="W76" s="844"/>
    </row>
    <row r="77" spans="1:23" ht="21.75" customHeight="1" thickBot="1" x14ac:dyDescent="0.3">
      <c r="A77" s="847"/>
      <c r="B77" s="480" t="s">
        <v>228</v>
      </c>
      <c r="C77" s="841" t="str">
        <f>IF('Table 2-A- FC Analysis'!D38="x","-F",IF('Table 2-A- FC Analysis'!E38="x","-M",IF('Table 2-A- FC Analysis'!F38="x","-L",IF('Table 2-A- FC Analysis'!G38="x","+L",IF('Table 2-A- FC Analysis'!H38="x","+M",IF('Table 2-A- FC Analysis'!I38="x","+F","N/A"))))))</f>
        <v>-L</v>
      </c>
      <c r="D77" s="842"/>
      <c r="E77" s="841" t="str">
        <f>IF('Table 2-A- FC Analysis'!D73="x","-F",IF('Table 2-A- FC Analysis'!E73="x","-M",IF('Table 2-A- FC Analysis'!F73="x","-L",IF('Table 2-A- FC Analysis'!G73="x","+L",IF('Table 2-A- FC Analysis'!H73="x","+M",IF('Table 2-A- FC Analysis'!I73="x","+F","N/A"))))))</f>
        <v>+M</v>
      </c>
      <c r="F77" s="842"/>
      <c r="G77" s="841" t="str">
        <f>IF('Table 2-A- FC Analysis'!D105="x","-F",IF('Table 2-A- FC Analysis'!E105="x","-M",IF('Table 2-A- FC Analysis'!F105="x","-L",IF('Table 2-A- FC Analysis'!G105="x","+L",IF('Table 2-A- FC Analysis'!H105="x","+M",IF('Table 2-A- FC Analysis'!I105="x","+F","N/A"))))))</f>
        <v>+M</v>
      </c>
      <c r="H77" s="842"/>
      <c r="I77" s="841" t="str">
        <f>IF('Table 2-A- FC Analysis'!D137="x","-F",IF('Table 2-A- FC Analysis'!E137="x","-M",IF('Table 2-A- FC Analysis'!F137="x","-L",IF('Table 2-A- FC Analysis'!G137="x","+L",IF('Table 2-A- FC Analysis'!H137="x","+M",IF('Table 2-A- FC Analysis'!I137="x","+F","N/A"))))))</f>
        <v>+M</v>
      </c>
      <c r="J77" s="842"/>
      <c r="K77" s="841" t="str">
        <f>IF('Table 2-A- FC Analysis'!D169="x","-F",IF('Table 2-A- FC Analysis'!E169="x","-M",IF('Table 2-A- FC Analysis'!F169="x","-L",IF('Table 2-A- FC Analysis'!G169="x","+L",IF('Table 2-A- FC Analysis'!H169="x","+M",IF('Table 2-A- FC Analysis'!I169="x","+F","N/A"))))))</f>
        <v>-L</v>
      </c>
      <c r="L77" s="843"/>
      <c r="M77" s="480" t="s">
        <v>228</v>
      </c>
      <c r="N77" s="845" t="str">
        <f>IF('Table 2-A- FC Analysis'!K38="x","-F",IF('Table 2-A- FC Analysis'!L38="x","-M",IF('Table 2-A- FC Analysis'!M38="x","-L",IF('Table 2-A- FC Analysis'!N38="x","+L",IF('Table 2-A- FC Analysis'!O38="x","+M",IF('Table 2-A- FC Analysis'!P38="x","+F","N/A"))))))</f>
        <v>-L</v>
      </c>
      <c r="O77" s="846"/>
      <c r="P77" s="845" t="str">
        <f>IF('Table 2-A- FC Analysis'!K73="x","-F",IF('Table 2-A- FC Analysis'!L73="x","-M",IF('Table 2-A- FC Analysis'!M73="x","-L",IF('Table 2-A- FC Analysis'!N73="x","+L",IF('Table 2-A- FC Analysis'!O73="x","+M",IF('Table 2-A- FC Analysis'!P73="x","+F","N/A"))))))</f>
        <v>-L</v>
      </c>
      <c r="Q77" s="846"/>
      <c r="R77" s="845" t="str">
        <f>IF('Table 2-A- FC Analysis'!K105="x","-F",IF('Table 2-A- FC Analysis'!L105="x","-M",IF('Table 2-A- FC Analysis'!M105="x","-L",IF('Table 2-A- FC Analysis'!N105="x","+L",IF('Table 2-A- FC Analysis'!O105="x","+M",IF('Table 2-A- FC Analysis'!P105="x","+F","N/A"))))))</f>
        <v>-L</v>
      </c>
      <c r="S77" s="846"/>
      <c r="T77" s="845" t="str">
        <f>IF('Table 2-A- FC Analysis'!K137="x","-F",IF('Table 2-A- FC Analysis'!L137="x","-M",IF('Table 2-A- FC Analysis'!M137="x","-L",IF('Table 2-A- FC Analysis'!N137="x","+L",IF('Table 2-A- FC Analysis'!O137="x","+M",IF('Table 2-A- FC Analysis'!P137="x","+F","N/A"))))))</f>
        <v>+M</v>
      </c>
      <c r="U77" s="846"/>
      <c r="V77" s="845" t="str">
        <f>IF('Table 2-A- FC Analysis'!K169="x","-F",IF('Table 2-A- FC Analysis'!L169="x","-M",IF('Table 2-A- FC Analysis'!M169="x","-L",IF('Table 2-A- FC Analysis'!N169="x","+L",IF('Table 2-A- FC Analysis'!O169="x","+M",IF('Table 2-A- FC Analysis'!P169="x","+F","N/A"))))))</f>
        <v>+F</v>
      </c>
      <c r="W77" s="846"/>
    </row>
    <row r="78" spans="1:23" ht="16.350000000000001" customHeight="1" thickBot="1" x14ac:dyDescent="0.3">
      <c r="A78" s="847"/>
      <c r="B78" s="887" t="s">
        <v>231</v>
      </c>
      <c r="C78" s="888"/>
      <c r="D78" s="888"/>
      <c r="E78" s="888"/>
      <c r="F78" s="888"/>
      <c r="G78" s="888"/>
      <c r="H78" s="888"/>
      <c r="I78" s="888"/>
      <c r="J78" s="888"/>
      <c r="K78" s="888"/>
      <c r="L78" s="250"/>
      <c r="M78" s="874" t="s">
        <v>231</v>
      </c>
      <c r="N78" s="875"/>
      <c r="O78" s="875"/>
      <c r="P78" s="875"/>
      <c r="Q78" s="875"/>
      <c r="R78" s="875"/>
      <c r="S78" s="875"/>
      <c r="T78" s="875"/>
      <c r="U78" s="875"/>
      <c r="V78" s="875"/>
      <c r="W78" s="876"/>
    </row>
    <row r="79" spans="1:23" x14ac:dyDescent="0.25">
      <c r="A79" s="847"/>
      <c r="B79" s="828"/>
      <c r="C79" s="831"/>
      <c r="D79" s="831"/>
      <c r="E79" s="831"/>
      <c r="F79" s="831"/>
      <c r="G79" s="831"/>
      <c r="H79" s="831"/>
      <c r="I79" s="831"/>
      <c r="J79" s="831"/>
      <c r="K79" s="831"/>
      <c r="L79" s="835"/>
      <c r="M79" s="828"/>
      <c r="N79" s="831"/>
      <c r="O79" s="831"/>
      <c r="P79" s="831"/>
      <c r="Q79" s="831"/>
      <c r="R79" s="831"/>
      <c r="S79" s="831"/>
      <c r="T79" s="831"/>
      <c r="U79" s="831"/>
      <c r="V79" s="831"/>
      <c r="W79" s="835"/>
    </row>
    <row r="80" spans="1:23" x14ac:dyDescent="0.25">
      <c r="A80" s="847"/>
      <c r="B80" s="832"/>
      <c r="C80" s="831"/>
      <c r="D80" s="831"/>
      <c r="E80" s="831"/>
      <c r="F80" s="831"/>
      <c r="G80" s="831"/>
      <c r="H80" s="831"/>
      <c r="I80" s="831"/>
      <c r="J80" s="831"/>
      <c r="K80" s="831"/>
      <c r="L80" s="835"/>
      <c r="M80" s="832"/>
      <c r="N80" s="831"/>
      <c r="O80" s="831"/>
      <c r="P80" s="831"/>
      <c r="Q80" s="831"/>
      <c r="R80" s="831"/>
      <c r="S80" s="831"/>
      <c r="T80" s="831"/>
      <c r="U80" s="831"/>
      <c r="V80" s="831"/>
      <c r="W80" s="835"/>
    </row>
    <row r="81" spans="1:23" x14ac:dyDescent="0.25">
      <c r="A81" s="847"/>
      <c r="B81" s="832"/>
      <c r="C81" s="831"/>
      <c r="D81" s="831"/>
      <c r="E81" s="831"/>
      <c r="F81" s="831"/>
      <c r="G81" s="831"/>
      <c r="H81" s="831"/>
      <c r="I81" s="831"/>
      <c r="J81" s="831"/>
      <c r="K81" s="831"/>
      <c r="L81" s="835"/>
      <c r="M81" s="832"/>
      <c r="N81" s="831"/>
      <c r="O81" s="831"/>
      <c r="P81" s="831"/>
      <c r="Q81" s="831"/>
      <c r="R81" s="831"/>
      <c r="S81" s="831"/>
      <c r="T81" s="831"/>
      <c r="U81" s="831"/>
      <c r="V81" s="831"/>
      <c r="W81" s="835"/>
    </row>
    <row r="82" spans="1:23" ht="15.75" thickBot="1" x14ac:dyDescent="0.3">
      <c r="A82" s="847"/>
      <c r="B82" s="832"/>
      <c r="C82" s="831"/>
      <c r="D82" s="831"/>
      <c r="E82" s="831"/>
      <c r="F82" s="831"/>
      <c r="G82" s="831"/>
      <c r="H82" s="831"/>
      <c r="I82" s="831"/>
      <c r="J82" s="831"/>
      <c r="K82" s="831"/>
      <c r="L82" s="836"/>
      <c r="M82" s="832"/>
      <c r="N82" s="831"/>
      <c r="O82" s="831"/>
      <c r="P82" s="831"/>
      <c r="Q82" s="831"/>
      <c r="R82" s="831"/>
      <c r="S82" s="831"/>
      <c r="T82" s="831"/>
      <c r="U82" s="831"/>
      <c r="V82" s="831"/>
      <c r="W82" s="835"/>
    </row>
    <row r="83" spans="1:23" ht="30" customHeight="1" x14ac:dyDescent="0.25">
      <c r="A83" s="847"/>
      <c r="B83" s="877" t="s">
        <v>227</v>
      </c>
      <c r="C83" s="878"/>
      <c r="D83" s="278"/>
      <c r="E83" s="278"/>
      <c r="F83" s="414"/>
      <c r="G83" s="327" t="s">
        <v>17</v>
      </c>
      <c r="H83" s="328" t="s">
        <v>18</v>
      </c>
      <c r="I83" s="275" t="s">
        <v>19</v>
      </c>
      <c r="J83" s="276" t="s">
        <v>20</v>
      </c>
      <c r="K83" s="277" t="s">
        <v>21</v>
      </c>
      <c r="L83" s="255"/>
      <c r="M83" s="877" t="s">
        <v>227</v>
      </c>
      <c r="N83" s="878"/>
      <c r="O83" s="805" t="s">
        <v>17</v>
      </c>
      <c r="P83" s="805"/>
      <c r="Q83" s="805"/>
      <c r="R83" s="805"/>
      <c r="S83" s="229" t="s">
        <v>18</v>
      </c>
      <c r="T83" s="171" t="s">
        <v>19</v>
      </c>
      <c r="U83" s="172" t="s">
        <v>20</v>
      </c>
      <c r="V83" s="173" t="s">
        <v>21</v>
      </c>
      <c r="W83" s="255"/>
    </row>
    <row r="84" spans="1:23" ht="15.75" thickBot="1" x14ac:dyDescent="0.3">
      <c r="A84" s="847"/>
      <c r="B84" s="879"/>
      <c r="C84" s="880"/>
      <c r="D84" s="280"/>
      <c r="E84" s="280"/>
      <c r="F84" s="425"/>
      <c r="G84" s="260"/>
      <c r="H84" s="260"/>
      <c r="I84" s="260"/>
      <c r="J84" s="260"/>
      <c r="K84" s="260"/>
      <c r="L84" s="256"/>
      <c r="M84" s="879"/>
      <c r="N84" s="880"/>
      <c r="O84" s="806"/>
      <c r="P84" s="807"/>
      <c r="Q84" s="807"/>
      <c r="R84" s="808"/>
      <c r="S84" s="260"/>
      <c r="T84" s="260"/>
      <c r="U84" s="260"/>
      <c r="V84" s="260"/>
      <c r="W84" s="256"/>
    </row>
    <row r="85" spans="1:23" ht="6" customHeight="1" thickBot="1" x14ac:dyDescent="0.3">
      <c r="A85" s="21"/>
      <c r="B85" s="22"/>
      <c r="C85" s="23"/>
      <c r="D85" s="23"/>
      <c r="E85" s="23"/>
      <c r="F85" s="23"/>
      <c r="G85" s="23"/>
      <c r="H85" s="23"/>
      <c r="I85" s="23"/>
      <c r="J85" s="23"/>
      <c r="K85" s="236"/>
      <c r="L85" s="23"/>
      <c r="M85" s="23"/>
      <c r="N85" s="23"/>
      <c r="O85" s="23"/>
      <c r="P85" s="23"/>
      <c r="Q85" s="23"/>
      <c r="R85" s="23"/>
      <c r="S85" s="23"/>
      <c r="T85" s="23"/>
      <c r="U85" s="23"/>
      <c r="V85" s="236"/>
      <c r="W85" s="23"/>
    </row>
  </sheetData>
  <sheetProtection formatCells="0" formatColumns="0" formatRows="0" insertRows="0"/>
  <protectedRanges>
    <protectedRange sqref="L14:L18 G19:K22 L24 B29:L32 G34:K34 L39 B44:L47 G49:K49 G54:K56 G58:K58 B63:L66 G68:K68 G73:K74 B79:L82 G84:K84 L26:L27 W26:W27 W41:W42 L41:L42 L60:L61 L76:L77 W76:W77 W60:W61" name="Range1"/>
    <protectedRange sqref="M13:W16 W18 R19:V22 M29:W32 O34:V34 M38:W39 M44:W47 O49:V49 W24 M53:W54 M63:W66 M72:W74 M79:W82 O84:V84" name="Range2"/>
  </protectedRanges>
  <mergeCells count="173">
    <mergeCell ref="K41:L41"/>
    <mergeCell ref="D13:F13"/>
    <mergeCell ref="C15:F17"/>
    <mergeCell ref="C38:F38"/>
    <mergeCell ref="C39:F39"/>
    <mergeCell ref="D33:F34"/>
    <mergeCell ref="C41:D41"/>
    <mergeCell ref="E41:F41"/>
    <mergeCell ref="B25:L25"/>
    <mergeCell ref="D67:F68"/>
    <mergeCell ref="D72:F74"/>
    <mergeCell ref="D53:F56"/>
    <mergeCell ref="D58:F58"/>
    <mergeCell ref="D48:F49"/>
    <mergeCell ref="C61:D61"/>
    <mergeCell ref="E61:F61"/>
    <mergeCell ref="C42:D42"/>
    <mergeCell ref="E42:F42"/>
    <mergeCell ref="B43:K43"/>
    <mergeCell ref="K61:L61"/>
    <mergeCell ref="C60:D60"/>
    <mergeCell ref="E60:F60"/>
    <mergeCell ref="G60:H60"/>
    <mergeCell ref="I60:J60"/>
    <mergeCell ref="K60:L60"/>
    <mergeCell ref="B62:L62"/>
    <mergeCell ref="B52:L52"/>
    <mergeCell ref="R77:S77"/>
    <mergeCell ref="T77:U77"/>
    <mergeCell ref="V77:W77"/>
    <mergeCell ref="M75:V75"/>
    <mergeCell ref="N76:O76"/>
    <mergeCell ref="P76:Q76"/>
    <mergeCell ref="R76:S76"/>
    <mergeCell ref="T76:U76"/>
    <mergeCell ref="V76:W76"/>
    <mergeCell ref="M37:W37"/>
    <mergeCell ref="N26:O26"/>
    <mergeCell ref="P26:Q26"/>
    <mergeCell ref="R26:S26"/>
    <mergeCell ref="T26:U26"/>
    <mergeCell ref="V26:W26"/>
    <mergeCell ref="C26:D26"/>
    <mergeCell ref="E26:F26"/>
    <mergeCell ref="G26:H26"/>
    <mergeCell ref="I26:J26"/>
    <mergeCell ref="K26:L26"/>
    <mergeCell ref="B37:K37"/>
    <mergeCell ref="P27:Q27"/>
    <mergeCell ref="R27:S27"/>
    <mergeCell ref="T27:U27"/>
    <mergeCell ref="V27:W27"/>
    <mergeCell ref="E27:F27"/>
    <mergeCell ref="G27:H27"/>
    <mergeCell ref="I27:J27"/>
    <mergeCell ref="K27:L27"/>
    <mergeCell ref="C27:D27"/>
    <mergeCell ref="N27:O27"/>
    <mergeCell ref="M38:W39"/>
    <mergeCell ref="M43:W43"/>
    <mergeCell ref="M51:W51"/>
    <mergeCell ref="O56:R56"/>
    <mergeCell ref="O55:R55"/>
    <mergeCell ref="O48:R48"/>
    <mergeCell ref="O49:R49"/>
    <mergeCell ref="G42:H42"/>
    <mergeCell ref="I42:J42"/>
    <mergeCell ref="K42:L42"/>
    <mergeCell ref="G41:H41"/>
    <mergeCell ref="I41:J41"/>
    <mergeCell ref="B40:L40"/>
    <mergeCell ref="M40:W40"/>
    <mergeCell ref="N42:O42"/>
    <mergeCell ref="P42:Q42"/>
    <mergeCell ref="R42:S42"/>
    <mergeCell ref="T42:U42"/>
    <mergeCell ref="V42:W42"/>
    <mergeCell ref="N41:O41"/>
    <mergeCell ref="P41:Q41"/>
    <mergeCell ref="R41:S41"/>
    <mergeCell ref="T41:U41"/>
    <mergeCell ref="V41:W41"/>
    <mergeCell ref="M53:W54"/>
    <mergeCell ref="M44:W47"/>
    <mergeCell ref="B44:L47"/>
    <mergeCell ref="B57:K57"/>
    <mergeCell ref="B51:L51"/>
    <mergeCell ref="B59:L59"/>
    <mergeCell ref="N61:O61"/>
    <mergeCell ref="P61:Q61"/>
    <mergeCell ref="R61:S61"/>
    <mergeCell ref="T61:U61"/>
    <mergeCell ref="V61:W61"/>
    <mergeCell ref="N60:O60"/>
    <mergeCell ref="P60:Q60"/>
    <mergeCell ref="R60:S60"/>
    <mergeCell ref="T60:U60"/>
    <mergeCell ref="V60:W60"/>
    <mergeCell ref="M59:W59"/>
    <mergeCell ref="G61:H61"/>
    <mergeCell ref="I61:J61"/>
    <mergeCell ref="A70:A84"/>
    <mergeCell ref="A51:A68"/>
    <mergeCell ref="M55:N55"/>
    <mergeCell ref="A36:A49"/>
    <mergeCell ref="A11:A34"/>
    <mergeCell ref="B48:C49"/>
    <mergeCell ref="M48:N49"/>
    <mergeCell ref="M33:N34"/>
    <mergeCell ref="B33:C34"/>
    <mergeCell ref="M23:W23"/>
    <mergeCell ref="M28:W28"/>
    <mergeCell ref="M29:W32"/>
    <mergeCell ref="M71:W71"/>
    <mergeCell ref="M78:W78"/>
    <mergeCell ref="B71:K71"/>
    <mergeCell ref="B70:K70"/>
    <mergeCell ref="B83:C84"/>
    <mergeCell ref="B29:L32"/>
    <mergeCell ref="L19:L22"/>
    <mergeCell ref="M83:N84"/>
    <mergeCell ref="B78:K78"/>
    <mergeCell ref="M62:V62"/>
    <mergeCell ref="B67:C68"/>
    <mergeCell ref="M67:N68"/>
    <mergeCell ref="O84:R84"/>
    <mergeCell ref="O67:R67"/>
    <mergeCell ref="O83:R83"/>
    <mergeCell ref="M63:W66"/>
    <mergeCell ref="B63:L66"/>
    <mergeCell ref="O68:R68"/>
    <mergeCell ref="B79:L82"/>
    <mergeCell ref="M72:W74"/>
    <mergeCell ref="M79:W82"/>
    <mergeCell ref="M70:W70"/>
    <mergeCell ref="W67:W68"/>
    <mergeCell ref="C77:D77"/>
    <mergeCell ref="E77:F77"/>
    <mergeCell ref="G77:H77"/>
    <mergeCell ref="I77:J77"/>
    <mergeCell ref="K77:L77"/>
    <mergeCell ref="B75:K75"/>
    <mergeCell ref="C76:D76"/>
    <mergeCell ref="E76:F76"/>
    <mergeCell ref="G76:H76"/>
    <mergeCell ref="I76:J76"/>
    <mergeCell ref="K76:L76"/>
    <mergeCell ref="N77:O77"/>
    <mergeCell ref="P77:Q77"/>
    <mergeCell ref="M25:W25"/>
    <mergeCell ref="A2:K2"/>
    <mergeCell ref="M10:W10"/>
    <mergeCell ref="B10:K10"/>
    <mergeCell ref="B36:K36"/>
    <mergeCell ref="B23:L23"/>
    <mergeCell ref="N17:P17"/>
    <mergeCell ref="C14:D14"/>
    <mergeCell ref="C7:D7"/>
    <mergeCell ref="A9:W9"/>
    <mergeCell ref="B11:L11"/>
    <mergeCell ref="W19:W22"/>
    <mergeCell ref="G14:H14"/>
    <mergeCell ref="P24:V24"/>
    <mergeCell ref="M36:W36"/>
    <mergeCell ref="B28:K28"/>
    <mergeCell ref="O33:R33"/>
    <mergeCell ref="O34:R34"/>
    <mergeCell ref="M11:W11"/>
    <mergeCell ref="M24:N24"/>
    <mergeCell ref="B12:L12"/>
    <mergeCell ref="M13:W16"/>
    <mergeCell ref="J14:K14"/>
    <mergeCell ref="I17:K17"/>
  </mergeCells>
  <conditionalFormatting sqref="H18:K22 G19:K22">
    <cfRule type="cellIs" dxfId="768" priority="1118" operator="equal">
      <formula>5</formula>
    </cfRule>
    <cfRule type="cellIs" dxfId="767" priority="1119" operator="equal">
      <formula>4</formula>
    </cfRule>
    <cfRule type="cellIs" dxfId="766" priority="1120" operator="equal">
      <formula>2</formula>
    </cfRule>
    <cfRule type="cellIs" dxfId="765" priority="1122" operator="equal">
      <formula>3</formula>
    </cfRule>
  </conditionalFormatting>
  <conditionalFormatting sqref="H18:K22 G19:K22">
    <cfRule type="cellIs" dxfId="764" priority="1040" operator="equal">
      <formula>1</formula>
    </cfRule>
  </conditionalFormatting>
  <conditionalFormatting sqref="D24:K24">
    <cfRule type="cellIs" dxfId="763" priority="1018" operator="equal">
      <formula>5</formula>
    </cfRule>
    <cfRule type="cellIs" dxfId="762" priority="1019" operator="equal">
      <formula>4</formula>
    </cfRule>
    <cfRule type="cellIs" dxfId="761" priority="1020" operator="equal">
      <formula>2</formula>
    </cfRule>
    <cfRule type="cellIs" dxfId="760" priority="1021" operator="equal">
      <formula>1</formula>
    </cfRule>
    <cfRule type="cellIs" dxfId="759" priority="1022" operator="equal">
      <formula>3</formula>
    </cfRule>
    <cfRule type="cellIs" dxfId="758" priority="1023" operator="equal">
      <formula>2</formula>
    </cfRule>
    <cfRule type="cellIs" dxfId="757" priority="1024" operator="equal">
      <formula>1</formula>
    </cfRule>
  </conditionalFormatting>
  <conditionalFormatting sqref="H24:K24">
    <cfRule type="cellIs" dxfId="756" priority="1011" operator="equal">
      <formula>5</formula>
    </cfRule>
    <cfRule type="cellIs" dxfId="755" priority="1012" operator="equal">
      <formula>4</formula>
    </cfRule>
    <cfRule type="cellIs" dxfId="754" priority="1013" operator="equal">
      <formula>2</formula>
    </cfRule>
    <cfRule type="cellIs" dxfId="753" priority="1014" operator="equal">
      <formula>1</formula>
    </cfRule>
    <cfRule type="cellIs" dxfId="752" priority="1015" operator="equal">
      <formula>3</formula>
    </cfRule>
    <cfRule type="cellIs" dxfId="751" priority="1016" operator="equal">
      <formula>2</formula>
    </cfRule>
    <cfRule type="cellIs" dxfId="750" priority="1017" operator="equal">
      <formula>1</formula>
    </cfRule>
  </conditionalFormatting>
  <conditionalFormatting sqref="D24:K24">
    <cfRule type="cellIs" dxfId="749" priority="1010" operator="equal">
      <formula>1</formula>
    </cfRule>
  </conditionalFormatting>
  <conditionalFormatting sqref="L49">
    <cfRule type="cellIs" dxfId="748" priority="928" operator="equal">
      <formula>5</formula>
    </cfRule>
    <cfRule type="cellIs" dxfId="747" priority="929" operator="equal">
      <formula>4</formula>
    </cfRule>
    <cfRule type="cellIs" dxfId="746" priority="930" operator="equal">
      <formula>2</formula>
    </cfRule>
    <cfRule type="cellIs" dxfId="745" priority="931" operator="equal">
      <formula>1</formula>
    </cfRule>
    <cfRule type="cellIs" dxfId="744" priority="932" operator="equal">
      <formula>3</formula>
    </cfRule>
    <cfRule type="cellIs" dxfId="743" priority="933" operator="equal">
      <formula>2</formula>
    </cfRule>
    <cfRule type="cellIs" dxfId="742" priority="934" operator="equal">
      <formula>1</formula>
    </cfRule>
  </conditionalFormatting>
  <conditionalFormatting sqref="L49">
    <cfRule type="cellIs" dxfId="741" priority="921" operator="equal">
      <formula>5</formula>
    </cfRule>
    <cfRule type="cellIs" dxfId="740" priority="922" operator="equal">
      <formula>4</formula>
    </cfRule>
    <cfRule type="cellIs" dxfId="739" priority="923" operator="equal">
      <formula>2</formula>
    </cfRule>
    <cfRule type="cellIs" dxfId="738" priority="924" operator="equal">
      <formula>1</formula>
    </cfRule>
    <cfRule type="cellIs" dxfId="737" priority="925" operator="equal">
      <formula>3</formula>
    </cfRule>
    <cfRule type="cellIs" dxfId="736" priority="926" operator="equal">
      <formula>2</formula>
    </cfRule>
    <cfRule type="cellIs" dxfId="735" priority="927" operator="equal">
      <formula>1</formula>
    </cfRule>
  </conditionalFormatting>
  <conditionalFormatting sqref="L49">
    <cfRule type="cellIs" dxfId="734" priority="920" operator="equal">
      <formula>1</formula>
    </cfRule>
  </conditionalFormatting>
  <conditionalFormatting sqref="K39">
    <cfRule type="cellIs" dxfId="733" priority="717" operator="equal">
      <formula>5</formula>
    </cfRule>
    <cfRule type="cellIs" dxfId="732" priority="718" operator="equal">
      <formula>4</formula>
    </cfRule>
    <cfRule type="cellIs" dxfId="731" priority="719" operator="equal">
      <formula>2</formula>
    </cfRule>
    <cfRule type="cellIs" dxfId="730" priority="720" operator="equal">
      <formula>1</formula>
    </cfRule>
    <cfRule type="cellIs" dxfId="729" priority="721" operator="equal">
      <formula>3</formula>
    </cfRule>
    <cfRule type="cellIs" dxfId="728" priority="722" operator="equal">
      <formula>2</formula>
    </cfRule>
    <cfRule type="cellIs" dxfId="727" priority="723" operator="equal">
      <formula>1</formula>
    </cfRule>
  </conditionalFormatting>
  <conditionalFormatting sqref="K39">
    <cfRule type="cellIs" dxfId="726" priority="716" operator="equal">
      <formula>1</formula>
    </cfRule>
  </conditionalFormatting>
  <conditionalFormatting sqref="L68">
    <cfRule type="cellIs" dxfId="725" priority="845" operator="equal">
      <formula>5</formula>
    </cfRule>
    <cfRule type="cellIs" dxfId="724" priority="846" operator="equal">
      <formula>4</formula>
    </cfRule>
    <cfRule type="cellIs" dxfId="723" priority="847" operator="equal">
      <formula>2</formula>
    </cfRule>
    <cfRule type="cellIs" dxfId="722" priority="848" operator="equal">
      <formula>1</formula>
    </cfRule>
    <cfRule type="cellIs" dxfId="721" priority="849" operator="equal">
      <formula>3</formula>
    </cfRule>
    <cfRule type="cellIs" dxfId="720" priority="850" operator="equal">
      <formula>2</formula>
    </cfRule>
    <cfRule type="cellIs" dxfId="719" priority="851" operator="equal">
      <formula>1</formula>
    </cfRule>
  </conditionalFormatting>
  <conditionalFormatting sqref="L68">
    <cfRule type="cellIs" dxfId="718" priority="837" operator="equal">
      <formula>1</formula>
    </cfRule>
  </conditionalFormatting>
  <conditionalFormatting sqref="R18">
    <cfRule type="cellIs" dxfId="717" priority="731" operator="equal">
      <formula>1</formula>
    </cfRule>
  </conditionalFormatting>
  <conditionalFormatting sqref="S18:V18">
    <cfRule type="cellIs" dxfId="716" priority="754" operator="equal">
      <formula>5</formula>
    </cfRule>
    <cfRule type="cellIs" dxfId="715" priority="755" operator="equal">
      <formula>4</formula>
    </cfRule>
    <cfRule type="cellIs" dxfId="714" priority="756" operator="equal">
      <formula>2</formula>
    </cfRule>
    <cfRule type="cellIs" dxfId="713" priority="757" operator="equal">
      <formula>1</formula>
    </cfRule>
    <cfRule type="cellIs" dxfId="712" priority="758" operator="equal">
      <formula>3</formula>
    </cfRule>
    <cfRule type="cellIs" dxfId="711" priority="759" operator="equal">
      <formula>2</formula>
    </cfRule>
    <cfRule type="cellIs" dxfId="710" priority="760" operator="equal">
      <formula>1</formula>
    </cfRule>
  </conditionalFormatting>
  <conditionalFormatting sqref="S18:V18">
    <cfRule type="cellIs" dxfId="709" priority="747" operator="equal">
      <formula>5</formula>
    </cfRule>
    <cfRule type="cellIs" dxfId="708" priority="748" operator="equal">
      <formula>4</formula>
    </cfRule>
    <cfRule type="cellIs" dxfId="707" priority="749" operator="equal">
      <formula>2</formula>
    </cfRule>
    <cfRule type="cellIs" dxfId="706" priority="750" operator="equal">
      <formula>1</formula>
    </cfRule>
    <cfRule type="cellIs" dxfId="705" priority="751" operator="equal">
      <formula>3</formula>
    </cfRule>
    <cfRule type="cellIs" dxfId="704" priority="752" operator="equal">
      <formula>2</formula>
    </cfRule>
    <cfRule type="cellIs" dxfId="703" priority="753" operator="equal">
      <formula>1</formula>
    </cfRule>
  </conditionalFormatting>
  <conditionalFormatting sqref="S18:V18">
    <cfRule type="cellIs" dxfId="702" priority="746" operator="equal">
      <formula>1</formula>
    </cfRule>
  </conditionalFormatting>
  <conditionalFormatting sqref="R18">
    <cfRule type="cellIs" dxfId="701" priority="739" operator="equal">
      <formula>5</formula>
    </cfRule>
    <cfRule type="cellIs" dxfId="700" priority="740" operator="equal">
      <formula>4</formula>
    </cfRule>
    <cfRule type="cellIs" dxfId="699" priority="741" operator="equal">
      <formula>2</formula>
    </cfRule>
    <cfRule type="cellIs" dxfId="698" priority="742" operator="equal">
      <formula>1</formula>
    </cfRule>
    <cfRule type="cellIs" dxfId="697" priority="743" operator="equal">
      <formula>3</formula>
    </cfRule>
    <cfRule type="cellIs" dxfId="696" priority="744" operator="equal">
      <formula>2</formula>
    </cfRule>
    <cfRule type="cellIs" dxfId="695" priority="745" operator="equal">
      <formula>1</formula>
    </cfRule>
  </conditionalFormatting>
  <conditionalFormatting sqref="R18">
    <cfRule type="cellIs" dxfId="694" priority="732" operator="equal">
      <formula>5</formula>
    </cfRule>
    <cfRule type="cellIs" dxfId="693" priority="733" operator="equal">
      <formula>4</formula>
    </cfRule>
    <cfRule type="cellIs" dxfId="692" priority="734" operator="equal">
      <formula>2</formula>
    </cfRule>
    <cfRule type="cellIs" dxfId="691" priority="735" operator="equal">
      <formula>1</formula>
    </cfRule>
    <cfRule type="cellIs" dxfId="690" priority="736" operator="equal">
      <formula>3</formula>
    </cfRule>
    <cfRule type="cellIs" dxfId="689" priority="737" operator="equal">
      <formula>2</formula>
    </cfRule>
    <cfRule type="cellIs" dxfId="688" priority="738" operator="equal">
      <formula>1</formula>
    </cfRule>
  </conditionalFormatting>
  <conditionalFormatting sqref="K39">
    <cfRule type="cellIs" dxfId="687" priority="724" operator="equal">
      <formula>5</formula>
    </cfRule>
    <cfRule type="cellIs" dxfId="686" priority="725" operator="equal">
      <formula>4</formula>
    </cfRule>
    <cfRule type="cellIs" dxfId="685" priority="726" operator="equal">
      <formula>2</formula>
    </cfRule>
    <cfRule type="cellIs" dxfId="684" priority="727" operator="equal">
      <formula>1</formula>
    </cfRule>
    <cfRule type="cellIs" dxfId="683" priority="728" operator="equal">
      <formula>3</formula>
    </cfRule>
    <cfRule type="cellIs" dxfId="682" priority="729" operator="equal">
      <formula>2</formula>
    </cfRule>
    <cfRule type="cellIs" dxfId="681" priority="730" operator="equal">
      <formula>1</formula>
    </cfRule>
  </conditionalFormatting>
  <conditionalFormatting sqref="L54:L56">
    <cfRule type="cellIs" dxfId="680" priority="649" operator="equal">
      <formula>5</formula>
    </cfRule>
    <cfRule type="cellIs" dxfId="679" priority="650" operator="equal">
      <formula>4</formula>
    </cfRule>
    <cfRule type="cellIs" dxfId="678" priority="651" operator="equal">
      <formula>2</formula>
    </cfRule>
    <cfRule type="cellIs" dxfId="677" priority="652" operator="equal">
      <formula>1</formula>
    </cfRule>
    <cfRule type="cellIs" dxfId="676" priority="653" operator="equal">
      <formula>3</formula>
    </cfRule>
    <cfRule type="cellIs" dxfId="675" priority="654" operator="equal">
      <formula>2</formula>
    </cfRule>
    <cfRule type="cellIs" dxfId="674" priority="655" operator="equal">
      <formula>1</formula>
    </cfRule>
  </conditionalFormatting>
  <conditionalFormatting sqref="L54:L56">
    <cfRule type="cellIs" dxfId="673" priority="648" operator="equal">
      <formula>1</formula>
    </cfRule>
  </conditionalFormatting>
  <conditionalFormatting sqref="G20">
    <cfRule type="cellIs" dxfId="672" priority="641" operator="equal">
      <formula>5</formula>
    </cfRule>
    <cfRule type="cellIs" dxfId="671" priority="642" operator="equal">
      <formula>4</formula>
    </cfRule>
    <cfRule type="cellIs" dxfId="670" priority="643" operator="equal">
      <formula>2</formula>
    </cfRule>
    <cfRule type="cellIs" dxfId="669" priority="644" operator="equal">
      <formula>1</formula>
    </cfRule>
    <cfRule type="cellIs" dxfId="668" priority="645" operator="equal">
      <formula>3</formula>
    </cfRule>
    <cfRule type="cellIs" dxfId="667" priority="646" operator="equal">
      <formula>2</formula>
    </cfRule>
    <cfRule type="cellIs" dxfId="666" priority="647" operator="equal">
      <formula>1</formula>
    </cfRule>
  </conditionalFormatting>
  <conditionalFormatting sqref="G20">
    <cfRule type="cellIs" dxfId="665" priority="640" operator="equal">
      <formula>1</formula>
    </cfRule>
  </conditionalFormatting>
  <conditionalFormatting sqref="L19">
    <cfRule type="cellIs" dxfId="664" priority="625" operator="equal">
      <formula>5</formula>
    </cfRule>
    <cfRule type="cellIs" dxfId="663" priority="626" operator="equal">
      <formula>4</formula>
    </cfRule>
    <cfRule type="cellIs" dxfId="662" priority="627" operator="equal">
      <formula>2</formula>
    </cfRule>
    <cfRule type="cellIs" dxfId="661" priority="628" operator="equal">
      <formula>1</formula>
    </cfRule>
    <cfRule type="cellIs" dxfId="660" priority="629" operator="equal">
      <formula>3</formula>
    </cfRule>
    <cfRule type="cellIs" dxfId="659" priority="630" operator="equal">
      <formula>2</formula>
    </cfRule>
    <cfRule type="cellIs" dxfId="658" priority="631" operator="equal">
      <formula>1</formula>
    </cfRule>
  </conditionalFormatting>
  <conditionalFormatting sqref="L19">
    <cfRule type="cellIs" dxfId="657" priority="624" operator="equal">
      <formula>1</formula>
    </cfRule>
  </conditionalFormatting>
  <conditionalFormatting sqref="P24:Q24">
    <cfRule type="cellIs" dxfId="656" priority="609" operator="equal">
      <formula>5</formula>
    </cfRule>
    <cfRule type="cellIs" dxfId="655" priority="610" operator="equal">
      <formula>4</formula>
    </cfRule>
    <cfRule type="cellIs" dxfId="654" priority="611" operator="equal">
      <formula>2</formula>
    </cfRule>
    <cfRule type="cellIs" dxfId="653" priority="612" operator="equal">
      <formula>1</formula>
    </cfRule>
    <cfRule type="cellIs" dxfId="652" priority="613" operator="equal">
      <formula>3</formula>
    </cfRule>
    <cfRule type="cellIs" dxfId="651" priority="614" operator="equal">
      <formula>2</formula>
    </cfRule>
    <cfRule type="cellIs" dxfId="650" priority="615" operator="equal">
      <formula>1</formula>
    </cfRule>
  </conditionalFormatting>
  <conditionalFormatting sqref="P24:Q24">
    <cfRule type="cellIs" dxfId="649" priority="602" operator="equal">
      <formula>5</formula>
    </cfRule>
    <cfRule type="cellIs" dxfId="648" priority="603" operator="equal">
      <formula>4</formula>
    </cfRule>
    <cfRule type="cellIs" dxfId="647" priority="604" operator="equal">
      <formula>2</formula>
    </cfRule>
    <cfRule type="cellIs" dxfId="646" priority="605" operator="equal">
      <formula>1</formula>
    </cfRule>
    <cfRule type="cellIs" dxfId="645" priority="606" operator="equal">
      <formula>3</formula>
    </cfRule>
    <cfRule type="cellIs" dxfId="644" priority="607" operator="equal">
      <formula>2</formula>
    </cfRule>
    <cfRule type="cellIs" dxfId="643" priority="608" operator="equal">
      <formula>1</formula>
    </cfRule>
  </conditionalFormatting>
  <conditionalFormatting sqref="P24:Q24">
    <cfRule type="cellIs" dxfId="642" priority="601" operator="equal">
      <formula>1</formula>
    </cfRule>
  </conditionalFormatting>
  <conditionalFormatting sqref="W19">
    <cfRule type="cellIs" dxfId="641" priority="594" operator="equal">
      <formula>5</formula>
    </cfRule>
    <cfRule type="cellIs" dxfId="640" priority="595" operator="equal">
      <formula>4</formula>
    </cfRule>
    <cfRule type="cellIs" dxfId="639" priority="596" operator="equal">
      <formula>2</formula>
    </cfRule>
    <cfRule type="cellIs" dxfId="638" priority="597" operator="equal">
      <formula>1</formula>
    </cfRule>
    <cfRule type="cellIs" dxfId="637" priority="598" operator="equal">
      <formula>3</formula>
    </cfRule>
    <cfRule type="cellIs" dxfId="636" priority="599" operator="equal">
      <formula>2</formula>
    </cfRule>
    <cfRule type="cellIs" dxfId="635" priority="600" operator="equal">
      <formula>1</formula>
    </cfRule>
  </conditionalFormatting>
  <conditionalFormatting sqref="W19">
    <cfRule type="cellIs" dxfId="634" priority="593" operator="equal">
      <formula>1</formula>
    </cfRule>
  </conditionalFormatting>
  <conditionalFormatting sqref="W55:W57">
    <cfRule type="cellIs" dxfId="633" priority="578" operator="equal">
      <formula>5</formula>
    </cfRule>
    <cfRule type="cellIs" dxfId="632" priority="579" operator="equal">
      <formula>4</formula>
    </cfRule>
    <cfRule type="cellIs" dxfId="631" priority="580" operator="equal">
      <formula>2</formula>
    </cfRule>
    <cfRule type="cellIs" dxfId="630" priority="581" operator="equal">
      <formula>1</formula>
    </cfRule>
    <cfRule type="cellIs" dxfId="629" priority="582" operator="equal">
      <formula>3</formula>
    </cfRule>
    <cfRule type="cellIs" dxfId="628" priority="583" operator="equal">
      <formula>2</formula>
    </cfRule>
    <cfRule type="cellIs" dxfId="627" priority="584" operator="equal">
      <formula>1</formula>
    </cfRule>
  </conditionalFormatting>
  <conditionalFormatting sqref="W55:W57">
    <cfRule type="cellIs" dxfId="626" priority="577" operator="equal">
      <formula>1</formula>
    </cfRule>
  </conditionalFormatting>
  <conditionalFormatting sqref="W67">
    <cfRule type="cellIs" dxfId="625" priority="570" operator="equal">
      <formula>5</formula>
    </cfRule>
    <cfRule type="cellIs" dxfId="624" priority="571" operator="equal">
      <formula>4</formula>
    </cfRule>
    <cfRule type="cellIs" dxfId="623" priority="572" operator="equal">
      <formula>2</formula>
    </cfRule>
    <cfRule type="cellIs" dxfId="622" priority="573" operator="equal">
      <formula>1</formula>
    </cfRule>
    <cfRule type="cellIs" dxfId="621" priority="574" operator="equal">
      <formula>3</formula>
    </cfRule>
    <cfRule type="cellIs" dxfId="620" priority="575" operator="equal">
      <formula>2</formula>
    </cfRule>
    <cfRule type="cellIs" dxfId="619" priority="576" operator="equal">
      <formula>1</formula>
    </cfRule>
  </conditionalFormatting>
  <conditionalFormatting sqref="W67">
    <cfRule type="cellIs" dxfId="618" priority="569" operator="equal">
      <formula>1</formula>
    </cfRule>
  </conditionalFormatting>
  <conditionalFormatting sqref="R19:V22">
    <cfRule type="cellIs" dxfId="617" priority="549" operator="equal">
      <formula>5</formula>
    </cfRule>
    <cfRule type="cellIs" dxfId="616" priority="550" operator="equal">
      <formula>4</formula>
    </cfRule>
    <cfRule type="cellIs" dxfId="615" priority="551" operator="equal">
      <formula>2</formula>
    </cfRule>
    <cfRule type="cellIs" dxfId="614" priority="552" operator="equal">
      <formula>3</formula>
    </cfRule>
  </conditionalFormatting>
  <conditionalFormatting sqref="R19:V22">
    <cfRule type="cellIs" dxfId="613" priority="548" operator="equal">
      <formula>1</formula>
    </cfRule>
  </conditionalFormatting>
  <conditionalFormatting sqref="W18">
    <cfRule type="cellIs" dxfId="612" priority="539" operator="equal">
      <formula>5</formula>
    </cfRule>
    <cfRule type="cellIs" dxfId="611" priority="540" operator="equal">
      <formula>4</formula>
    </cfRule>
    <cfRule type="cellIs" dxfId="610" priority="541" operator="equal">
      <formula>2</formula>
    </cfRule>
    <cfRule type="cellIs" dxfId="609" priority="542" operator="equal">
      <formula>3</formula>
    </cfRule>
  </conditionalFormatting>
  <conditionalFormatting sqref="W18">
    <cfRule type="cellIs" dxfId="608" priority="538" operator="equal">
      <formula>1</formula>
    </cfRule>
  </conditionalFormatting>
  <conditionalFormatting sqref="G34:K34">
    <cfRule type="cellIs" dxfId="607" priority="529" operator="equal">
      <formula>5</formula>
    </cfRule>
    <cfRule type="cellIs" dxfId="606" priority="530" operator="equal">
      <formula>4</formula>
    </cfRule>
    <cfRule type="cellIs" dxfId="605" priority="531" operator="equal">
      <formula>2</formula>
    </cfRule>
    <cfRule type="cellIs" dxfId="604" priority="532" operator="equal">
      <formula>3</formula>
    </cfRule>
  </conditionalFormatting>
  <conditionalFormatting sqref="G34:K34">
    <cfRule type="cellIs" dxfId="603" priority="528" operator="equal">
      <formula>1</formula>
    </cfRule>
  </conditionalFormatting>
  <conditionalFormatting sqref="C24">
    <cfRule type="containsText" dxfId="602" priority="488" operator="containsText" text="F3 exigé">
      <formula>NOT(ISERROR(SEARCH("F3 exigé",C24)))</formula>
    </cfRule>
  </conditionalFormatting>
  <conditionalFormatting sqref="O24">
    <cfRule type="containsText" dxfId="601" priority="487" operator="containsText" text="F3 exigé">
      <formula>NOT(ISERROR(SEARCH("F3 exigé",O24)))</formula>
    </cfRule>
  </conditionalFormatting>
  <conditionalFormatting sqref="A36:L37 A40 A49:C49 L48:L49 A44:A47 K39 A43:L43 A38:C39 A48:D48">
    <cfRule type="containsText" dxfId="600" priority="486" operator="containsText" text="F3 exigé">
      <formula>NOT(ISERROR(SEARCH("F3 exigé",A36)))</formula>
    </cfRule>
  </conditionalFormatting>
  <conditionalFormatting sqref="C1:C15 C33:C39 C48:C53 C67:C71 C83:C1048576 C24 C57 C62 C43 C28 C78 C18 C73:C74">
    <cfRule type="containsText" dxfId="599" priority="485" operator="containsText" text="F3 exigé">
      <formula>NOT(ISERROR(SEARCH("F3 exigé",C1)))</formula>
    </cfRule>
  </conditionalFormatting>
  <conditionalFormatting sqref="N1:N12 N33:N37 N48:N52 N67:N71 N55:N58 N85:N1048576 N78 N23:N24 N43 N28 N62">
    <cfRule type="containsText" dxfId="598" priority="484" operator="containsText" text="F3 exigé">
      <formula>NOT(ISERROR(SEARCH("F3 exigé",N1)))</formula>
    </cfRule>
  </conditionalFormatting>
  <conditionalFormatting sqref="A9:W9 R17:V17 A34:C34 W33:W34 A28:W28 A24:K24 E14:F14 M24:Q24 A29:A32 E18:K18 M17:N17 M20:M22 G19:M19 M23:W23 G20:K22 R20:V22 R18:W19 A23:B23 A26:A27 A33:D33 G33:N34 G13:K13 A11:W12 B10:W10 C14:C15 A13:A22 C18 C13:D13 M18">
    <cfRule type="containsText" dxfId="597" priority="483" operator="containsText" text="N/A">
      <formula>NOT(ISERROR(SEARCH("N/A",A9)))</formula>
    </cfRule>
  </conditionalFormatting>
  <conditionalFormatting sqref="G38:K38">
    <cfRule type="containsText" dxfId="596" priority="482" operator="containsText" text="N/A">
      <formula>NOT(ISERROR(SEARCH("N/A",G38)))</formula>
    </cfRule>
  </conditionalFormatting>
  <conditionalFormatting sqref="G48:K48">
    <cfRule type="containsText" dxfId="595" priority="481" operator="containsText" text="N/A">
      <formula>NOT(ISERROR(SEARCH("N/A",G48)))</formula>
    </cfRule>
  </conditionalFormatting>
  <conditionalFormatting sqref="G53:K53">
    <cfRule type="containsText" dxfId="594" priority="480" operator="containsText" text="N/A">
      <formula>NOT(ISERROR(SEARCH("N/A",G53)))</formula>
    </cfRule>
  </conditionalFormatting>
  <conditionalFormatting sqref="G67:K67">
    <cfRule type="containsText" dxfId="593" priority="479" operator="containsText" text="N/A">
      <formula>NOT(ISERROR(SEARCH("N/A",G67)))</formula>
    </cfRule>
  </conditionalFormatting>
  <conditionalFormatting sqref="G72:K72">
    <cfRule type="containsText" dxfId="592" priority="478" operator="containsText" text="N/A">
      <formula>NOT(ISERROR(SEARCH("N/A",G72)))</formula>
    </cfRule>
  </conditionalFormatting>
  <conditionalFormatting sqref="G83:K83">
    <cfRule type="containsText" dxfId="591" priority="477" operator="containsText" text="N/A">
      <formula>NOT(ISERROR(SEARCH("N/A",G83)))</formula>
    </cfRule>
  </conditionalFormatting>
  <conditionalFormatting sqref="S83:V83">
    <cfRule type="containsText" dxfId="590" priority="476" operator="containsText" text="N/A">
      <formula>NOT(ISERROR(SEARCH("N/A",S83)))</formula>
    </cfRule>
  </conditionalFormatting>
  <conditionalFormatting sqref="S67:V67">
    <cfRule type="containsText" dxfId="589" priority="475" operator="containsText" text="N/A">
      <formula>NOT(ISERROR(SEARCH("N/A",S67)))</formula>
    </cfRule>
  </conditionalFormatting>
  <conditionalFormatting sqref="S55:V55">
    <cfRule type="containsText" dxfId="588" priority="474" operator="containsText" text="N/A">
      <formula>NOT(ISERROR(SEARCH("N/A",S55)))</formula>
    </cfRule>
  </conditionalFormatting>
  <conditionalFormatting sqref="S48:V48">
    <cfRule type="containsText" dxfId="587" priority="473" operator="containsText" text="N/A">
      <formula>NOT(ISERROR(SEARCH("N/A",S48)))</formula>
    </cfRule>
  </conditionalFormatting>
  <conditionalFormatting sqref="S33:V33">
    <cfRule type="containsText" dxfId="586" priority="472" operator="containsText" text="N/A">
      <formula>NOT(ISERROR(SEARCH("N/A",S33)))</formula>
    </cfRule>
  </conditionalFormatting>
  <conditionalFormatting sqref="G19:K22">
    <cfRule type="cellIs" dxfId="585" priority="468" operator="equal">
      <formula>5</formula>
    </cfRule>
    <cfRule type="cellIs" dxfId="584" priority="469" operator="equal">
      <formula>4</formula>
    </cfRule>
    <cfRule type="cellIs" dxfId="583" priority="470" operator="equal">
      <formula>2</formula>
    </cfRule>
    <cfRule type="cellIs" dxfId="582" priority="471" operator="equal">
      <formula>3</formula>
    </cfRule>
  </conditionalFormatting>
  <conditionalFormatting sqref="G19:K22">
    <cfRule type="cellIs" dxfId="581" priority="467" operator="equal">
      <formula>1</formula>
    </cfRule>
  </conditionalFormatting>
  <conditionalFormatting sqref="G34:K34">
    <cfRule type="cellIs" dxfId="580" priority="463" operator="equal">
      <formula>5</formula>
    </cfRule>
    <cfRule type="cellIs" dxfId="579" priority="464" operator="equal">
      <formula>4</formula>
    </cfRule>
    <cfRule type="cellIs" dxfId="578" priority="465" operator="equal">
      <formula>2</formula>
    </cfRule>
    <cfRule type="cellIs" dxfId="577" priority="466" operator="equal">
      <formula>3</formula>
    </cfRule>
  </conditionalFormatting>
  <conditionalFormatting sqref="G34:K34">
    <cfRule type="cellIs" dxfId="576" priority="462" operator="equal">
      <formula>1</formula>
    </cfRule>
  </conditionalFormatting>
  <conditionalFormatting sqref="G34:K34">
    <cfRule type="cellIs" dxfId="575" priority="458" operator="equal">
      <formula>5</formula>
    </cfRule>
    <cfRule type="cellIs" dxfId="574" priority="459" operator="equal">
      <formula>4</formula>
    </cfRule>
    <cfRule type="cellIs" dxfId="573" priority="460" operator="equal">
      <formula>2</formula>
    </cfRule>
    <cfRule type="cellIs" dxfId="572" priority="461" operator="equal">
      <formula>3</formula>
    </cfRule>
  </conditionalFormatting>
  <conditionalFormatting sqref="G34:K34">
    <cfRule type="cellIs" dxfId="571" priority="457" operator="equal">
      <formula>1</formula>
    </cfRule>
  </conditionalFormatting>
  <conditionalFormatting sqref="G49:K49">
    <cfRule type="cellIs" dxfId="570" priority="453" operator="equal">
      <formula>5</formula>
    </cfRule>
    <cfRule type="cellIs" dxfId="569" priority="454" operator="equal">
      <formula>4</formula>
    </cfRule>
    <cfRule type="cellIs" dxfId="568" priority="455" operator="equal">
      <formula>2</formula>
    </cfRule>
    <cfRule type="cellIs" dxfId="567" priority="456" operator="equal">
      <formula>3</formula>
    </cfRule>
  </conditionalFormatting>
  <conditionalFormatting sqref="G49:K49">
    <cfRule type="cellIs" dxfId="566" priority="452" operator="equal">
      <formula>1</formula>
    </cfRule>
  </conditionalFormatting>
  <conditionalFormatting sqref="G49:K49">
    <cfRule type="containsText" dxfId="565" priority="451" operator="containsText" text="N/A">
      <formula>NOT(ISERROR(SEARCH("N/A",G49)))</formula>
    </cfRule>
  </conditionalFormatting>
  <conditionalFormatting sqref="G49:K49">
    <cfRule type="cellIs" dxfId="564" priority="447" operator="equal">
      <formula>5</formula>
    </cfRule>
    <cfRule type="cellIs" dxfId="563" priority="448" operator="equal">
      <formula>4</formula>
    </cfRule>
    <cfRule type="cellIs" dxfId="562" priority="449" operator="equal">
      <formula>2</formula>
    </cfRule>
    <cfRule type="cellIs" dxfId="561" priority="450" operator="equal">
      <formula>3</formula>
    </cfRule>
  </conditionalFormatting>
  <conditionalFormatting sqref="G49:K49">
    <cfRule type="cellIs" dxfId="560" priority="446" operator="equal">
      <formula>1</formula>
    </cfRule>
  </conditionalFormatting>
  <conditionalFormatting sqref="G54:K56">
    <cfRule type="cellIs" dxfId="559" priority="442" operator="equal">
      <formula>5</formula>
    </cfRule>
    <cfRule type="cellIs" dxfId="558" priority="443" operator="equal">
      <formula>4</formula>
    </cfRule>
    <cfRule type="cellIs" dxfId="557" priority="444" operator="equal">
      <formula>2</formula>
    </cfRule>
    <cfRule type="cellIs" dxfId="556" priority="445" operator="equal">
      <formula>3</formula>
    </cfRule>
  </conditionalFormatting>
  <conditionalFormatting sqref="G54:K56">
    <cfRule type="cellIs" dxfId="555" priority="441" operator="equal">
      <formula>1</formula>
    </cfRule>
  </conditionalFormatting>
  <conditionalFormatting sqref="G54:K56">
    <cfRule type="containsText" dxfId="554" priority="440" operator="containsText" text="N/A">
      <formula>NOT(ISERROR(SEARCH("N/A",G54)))</formula>
    </cfRule>
  </conditionalFormatting>
  <conditionalFormatting sqref="G54:K56">
    <cfRule type="cellIs" dxfId="553" priority="436" operator="equal">
      <formula>5</formula>
    </cfRule>
    <cfRule type="cellIs" dxfId="552" priority="437" operator="equal">
      <formula>4</formula>
    </cfRule>
    <cfRule type="cellIs" dxfId="551" priority="438" operator="equal">
      <formula>2</formula>
    </cfRule>
    <cfRule type="cellIs" dxfId="550" priority="439" operator="equal">
      <formula>3</formula>
    </cfRule>
  </conditionalFormatting>
  <conditionalFormatting sqref="G54:K56">
    <cfRule type="cellIs" dxfId="549" priority="435" operator="equal">
      <formula>1</formula>
    </cfRule>
  </conditionalFormatting>
  <conditionalFormatting sqref="G58:K58">
    <cfRule type="cellIs" dxfId="548" priority="431" operator="equal">
      <formula>5</formula>
    </cfRule>
    <cfRule type="cellIs" dxfId="547" priority="432" operator="equal">
      <formula>4</formula>
    </cfRule>
    <cfRule type="cellIs" dxfId="546" priority="433" operator="equal">
      <formula>2</formula>
    </cfRule>
    <cfRule type="cellIs" dxfId="545" priority="434" operator="equal">
      <formula>3</formula>
    </cfRule>
  </conditionalFormatting>
  <conditionalFormatting sqref="G58:K58">
    <cfRule type="cellIs" dxfId="544" priority="430" operator="equal">
      <formula>1</formula>
    </cfRule>
  </conditionalFormatting>
  <conditionalFormatting sqref="G58:K58">
    <cfRule type="containsText" dxfId="543" priority="429" operator="containsText" text="N/A">
      <formula>NOT(ISERROR(SEARCH("N/A",G58)))</formula>
    </cfRule>
  </conditionalFormatting>
  <conditionalFormatting sqref="G58:K58">
    <cfRule type="cellIs" dxfId="542" priority="425" operator="equal">
      <formula>5</formula>
    </cfRule>
    <cfRule type="cellIs" dxfId="541" priority="426" operator="equal">
      <formula>4</formula>
    </cfRule>
    <cfRule type="cellIs" dxfId="540" priority="427" operator="equal">
      <formula>2</formula>
    </cfRule>
    <cfRule type="cellIs" dxfId="539" priority="428" operator="equal">
      <formula>3</formula>
    </cfRule>
  </conditionalFormatting>
  <conditionalFormatting sqref="G58:K58">
    <cfRule type="cellIs" dxfId="538" priority="424" operator="equal">
      <formula>1</formula>
    </cfRule>
  </conditionalFormatting>
  <conditionalFormatting sqref="G68:K68">
    <cfRule type="cellIs" dxfId="537" priority="420" operator="equal">
      <formula>5</formula>
    </cfRule>
    <cfRule type="cellIs" dxfId="536" priority="421" operator="equal">
      <formula>4</formula>
    </cfRule>
    <cfRule type="cellIs" dxfId="535" priority="422" operator="equal">
      <formula>2</formula>
    </cfRule>
    <cfRule type="cellIs" dxfId="534" priority="423" operator="equal">
      <formula>3</formula>
    </cfRule>
  </conditionalFormatting>
  <conditionalFormatting sqref="G68:K68">
    <cfRule type="cellIs" dxfId="533" priority="419" operator="equal">
      <formula>1</formula>
    </cfRule>
  </conditionalFormatting>
  <conditionalFormatting sqref="G68:K68">
    <cfRule type="containsText" dxfId="532" priority="418" operator="containsText" text="N/A">
      <formula>NOT(ISERROR(SEARCH("N/A",G68)))</formula>
    </cfRule>
  </conditionalFormatting>
  <conditionalFormatting sqref="G68:K68">
    <cfRule type="cellIs" dxfId="531" priority="414" operator="equal">
      <formula>5</formula>
    </cfRule>
    <cfRule type="cellIs" dxfId="530" priority="415" operator="equal">
      <formula>4</formula>
    </cfRule>
    <cfRule type="cellIs" dxfId="529" priority="416" operator="equal">
      <formula>2</formula>
    </cfRule>
    <cfRule type="cellIs" dxfId="528" priority="417" operator="equal">
      <formula>3</formula>
    </cfRule>
  </conditionalFormatting>
  <conditionalFormatting sqref="G68:K68">
    <cfRule type="cellIs" dxfId="527" priority="413" operator="equal">
      <formula>1</formula>
    </cfRule>
  </conditionalFormatting>
  <conditionalFormatting sqref="G73:K74">
    <cfRule type="cellIs" dxfId="526" priority="409" operator="equal">
      <formula>5</formula>
    </cfRule>
    <cfRule type="cellIs" dxfId="525" priority="410" operator="equal">
      <formula>4</formula>
    </cfRule>
    <cfRule type="cellIs" dxfId="524" priority="411" operator="equal">
      <formula>2</formula>
    </cfRule>
    <cfRule type="cellIs" dxfId="523" priority="412" operator="equal">
      <formula>3</formula>
    </cfRule>
  </conditionalFormatting>
  <conditionalFormatting sqref="G73:K74">
    <cfRule type="cellIs" dxfId="522" priority="408" operator="equal">
      <formula>1</formula>
    </cfRule>
  </conditionalFormatting>
  <conditionalFormatting sqref="G73:K74">
    <cfRule type="containsText" dxfId="521" priority="407" operator="containsText" text="N/A">
      <formula>NOT(ISERROR(SEARCH("N/A",G73)))</formula>
    </cfRule>
  </conditionalFormatting>
  <conditionalFormatting sqref="G73:K74">
    <cfRule type="cellIs" dxfId="520" priority="403" operator="equal">
      <formula>5</formula>
    </cfRule>
    <cfRule type="cellIs" dxfId="519" priority="404" operator="equal">
      <formula>4</formula>
    </cfRule>
    <cfRule type="cellIs" dxfId="518" priority="405" operator="equal">
      <formula>2</formula>
    </cfRule>
    <cfRule type="cellIs" dxfId="517" priority="406" operator="equal">
      <formula>3</formula>
    </cfRule>
  </conditionalFormatting>
  <conditionalFormatting sqref="G73:K74">
    <cfRule type="cellIs" dxfId="516" priority="402" operator="equal">
      <formula>1</formula>
    </cfRule>
  </conditionalFormatting>
  <conditionalFormatting sqref="G84:K84">
    <cfRule type="cellIs" dxfId="515" priority="398" operator="equal">
      <formula>5</formula>
    </cfRule>
    <cfRule type="cellIs" dxfId="514" priority="399" operator="equal">
      <formula>4</formula>
    </cfRule>
    <cfRule type="cellIs" dxfId="513" priority="400" operator="equal">
      <formula>2</formula>
    </cfRule>
    <cfRule type="cellIs" dxfId="512" priority="401" operator="equal">
      <formula>3</formula>
    </cfRule>
  </conditionalFormatting>
  <conditionalFormatting sqref="G84:K84">
    <cfRule type="cellIs" dxfId="511" priority="397" operator="equal">
      <formula>1</formula>
    </cfRule>
  </conditionalFormatting>
  <conditionalFormatting sqref="G84:K84">
    <cfRule type="containsText" dxfId="510" priority="396" operator="containsText" text="N/A">
      <formula>NOT(ISERROR(SEARCH("N/A",G84)))</formula>
    </cfRule>
  </conditionalFormatting>
  <conditionalFormatting sqref="G84:K84">
    <cfRule type="cellIs" dxfId="509" priority="392" operator="equal">
      <formula>5</formula>
    </cfRule>
    <cfRule type="cellIs" dxfId="508" priority="393" operator="equal">
      <formula>4</formula>
    </cfRule>
    <cfRule type="cellIs" dxfId="507" priority="394" operator="equal">
      <formula>2</formula>
    </cfRule>
    <cfRule type="cellIs" dxfId="506" priority="395" operator="equal">
      <formula>3</formula>
    </cfRule>
  </conditionalFormatting>
  <conditionalFormatting sqref="G84:K84">
    <cfRule type="cellIs" dxfId="505" priority="391" operator="equal">
      <formula>1</formula>
    </cfRule>
  </conditionalFormatting>
  <conditionalFormatting sqref="S84:V84">
    <cfRule type="cellIs" dxfId="504" priority="387" operator="equal">
      <formula>5</formula>
    </cfRule>
    <cfRule type="cellIs" dxfId="503" priority="388" operator="equal">
      <formula>4</formula>
    </cfRule>
    <cfRule type="cellIs" dxfId="502" priority="389" operator="equal">
      <formula>2</formula>
    </cfRule>
    <cfRule type="cellIs" dxfId="501" priority="390" operator="equal">
      <formula>3</formula>
    </cfRule>
  </conditionalFormatting>
  <conditionalFormatting sqref="S84:V84">
    <cfRule type="cellIs" dxfId="500" priority="386" operator="equal">
      <formula>1</formula>
    </cfRule>
  </conditionalFormatting>
  <conditionalFormatting sqref="S84:V84">
    <cfRule type="containsText" dxfId="499" priority="385" operator="containsText" text="N/A">
      <formula>NOT(ISERROR(SEARCH("N/A",S84)))</formula>
    </cfRule>
  </conditionalFormatting>
  <conditionalFormatting sqref="S84:V84">
    <cfRule type="cellIs" dxfId="498" priority="381" operator="equal">
      <formula>5</formula>
    </cfRule>
    <cfRule type="cellIs" dxfId="497" priority="382" operator="equal">
      <formula>4</formula>
    </cfRule>
    <cfRule type="cellIs" dxfId="496" priority="383" operator="equal">
      <formula>2</formula>
    </cfRule>
    <cfRule type="cellIs" dxfId="495" priority="384" operator="equal">
      <formula>3</formula>
    </cfRule>
  </conditionalFormatting>
  <conditionalFormatting sqref="S84:V84">
    <cfRule type="cellIs" dxfId="494" priority="380" operator="equal">
      <formula>1</formula>
    </cfRule>
  </conditionalFormatting>
  <conditionalFormatting sqref="O84">
    <cfRule type="cellIs" dxfId="493" priority="376" operator="equal">
      <formula>5</formula>
    </cfRule>
    <cfRule type="cellIs" dxfId="492" priority="377" operator="equal">
      <formula>4</formula>
    </cfRule>
    <cfRule type="cellIs" dxfId="491" priority="378" operator="equal">
      <formula>2</formula>
    </cfRule>
    <cfRule type="cellIs" dxfId="490" priority="379" operator="equal">
      <formula>3</formula>
    </cfRule>
  </conditionalFormatting>
  <conditionalFormatting sqref="O84">
    <cfRule type="cellIs" dxfId="489" priority="375" operator="equal">
      <formula>1</formula>
    </cfRule>
  </conditionalFormatting>
  <conditionalFormatting sqref="O84">
    <cfRule type="containsText" dxfId="488" priority="374" operator="containsText" text="N/A">
      <formula>NOT(ISERROR(SEARCH("N/A",O84)))</formula>
    </cfRule>
  </conditionalFormatting>
  <conditionalFormatting sqref="O84">
    <cfRule type="cellIs" dxfId="487" priority="370" operator="equal">
      <formula>5</formula>
    </cfRule>
    <cfRule type="cellIs" dxfId="486" priority="371" operator="equal">
      <formula>4</formula>
    </cfRule>
    <cfRule type="cellIs" dxfId="485" priority="372" operator="equal">
      <formula>2</formula>
    </cfRule>
    <cfRule type="cellIs" dxfId="484" priority="373" operator="equal">
      <formula>3</formula>
    </cfRule>
  </conditionalFormatting>
  <conditionalFormatting sqref="O84">
    <cfRule type="cellIs" dxfId="483" priority="369" operator="equal">
      <formula>1</formula>
    </cfRule>
  </conditionalFormatting>
  <conditionalFormatting sqref="S68:V68">
    <cfRule type="cellIs" dxfId="482" priority="365" operator="equal">
      <formula>5</formula>
    </cfRule>
    <cfRule type="cellIs" dxfId="481" priority="366" operator="equal">
      <formula>4</formula>
    </cfRule>
    <cfRule type="cellIs" dxfId="480" priority="367" operator="equal">
      <formula>2</formula>
    </cfRule>
    <cfRule type="cellIs" dxfId="479" priority="368" operator="equal">
      <formula>3</formula>
    </cfRule>
  </conditionalFormatting>
  <conditionalFormatting sqref="S68:V68">
    <cfRule type="cellIs" dxfId="478" priority="364" operator="equal">
      <formula>1</formula>
    </cfRule>
  </conditionalFormatting>
  <conditionalFormatting sqref="S68:V68">
    <cfRule type="containsText" dxfId="477" priority="363" operator="containsText" text="N/A">
      <formula>NOT(ISERROR(SEARCH("N/A",S68)))</formula>
    </cfRule>
  </conditionalFormatting>
  <conditionalFormatting sqref="S68:V68">
    <cfRule type="cellIs" dxfId="476" priority="359" operator="equal">
      <formula>5</formula>
    </cfRule>
    <cfRule type="cellIs" dxfId="475" priority="360" operator="equal">
      <formula>4</formula>
    </cfRule>
    <cfRule type="cellIs" dxfId="474" priority="361" operator="equal">
      <formula>2</formula>
    </cfRule>
    <cfRule type="cellIs" dxfId="473" priority="362" operator="equal">
      <formula>3</formula>
    </cfRule>
  </conditionalFormatting>
  <conditionalFormatting sqref="S68:V68">
    <cfRule type="cellIs" dxfId="472" priority="358" operator="equal">
      <formula>1</formula>
    </cfRule>
  </conditionalFormatting>
  <conditionalFormatting sqref="O68">
    <cfRule type="cellIs" dxfId="471" priority="354" operator="equal">
      <formula>5</formula>
    </cfRule>
    <cfRule type="cellIs" dxfId="470" priority="355" operator="equal">
      <formula>4</formula>
    </cfRule>
    <cfRule type="cellIs" dxfId="469" priority="356" operator="equal">
      <formula>2</formula>
    </cfRule>
    <cfRule type="cellIs" dxfId="468" priority="357" operator="equal">
      <formula>3</formula>
    </cfRule>
  </conditionalFormatting>
  <conditionalFormatting sqref="O68">
    <cfRule type="cellIs" dxfId="467" priority="353" operator="equal">
      <formula>1</formula>
    </cfRule>
  </conditionalFormatting>
  <conditionalFormatting sqref="O68">
    <cfRule type="containsText" dxfId="466" priority="352" operator="containsText" text="N/A">
      <formula>NOT(ISERROR(SEARCH("N/A",O68)))</formula>
    </cfRule>
  </conditionalFormatting>
  <conditionalFormatting sqref="O68">
    <cfRule type="cellIs" dxfId="465" priority="348" operator="equal">
      <formula>5</formula>
    </cfRule>
    <cfRule type="cellIs" dxfId="464" priority="349" operator="equal">
      <formula>4</formula>
    </cfRule>
    <cfRule type="cellIs" dxfId="463" priority="350" operator="equal">
      <formula>2</formula>
    </cfRule>
    <cfRule type="cellIs" dxfId="462" priority="351" operator="equal">
      <formula>3</formula>
    </cfRule>
  </conditionalFormatting>
  <conditionalFormatting sqref="O68">
    <cfRule type="cellIs" dxfId="461" priority="347" operator="equal">
      <formula>1</formula>
    </cfRule>
  </conditionalFormatting>
  <conditionalFormatting sqref="S56:V56">
    <cfRule type="cellIs" dxfId="460" priority="343" operator="equal">
      <formula>5</formula>
    </cfRule>
    <cfRule type="cellIs" dxfId="459" priority="344" operator="equal">
      <formula>4</formula>
    </cfRule>
    <cfRule type="cellIs" dxfId="458" priority="345" operator="equal">
      <formula>2</formula>
    </cfRule>
    <cfRule type="cellIs" dxfId="457" priority="346" operator="equal">
      <formula>3</formula>
    </cfRule>
  </conditionalFormatting>
  <conditionalFormatting sqref="S56:V56">
    <cfRule type="cellIs" dxfId="456" priority="342" operator="equal">
      <formula>1</formula>
    </cfRule>
  </conditionalFormatting>
  <conditionalFormatting sqref="S56:V56">
    <cfRule type="containsText" dxfId="455" priority="341" operator="containsText" text="N/A">
      <formula>NOT(ISERROR(SEARCH("N/A",S56)))</formula>
    </cfRule>
  </conditionalFormatting>
  <conditionalFormatting sqref="S56:V56">
    <cfRule type="cellIs" dxfId="454" priority="337" operator="equal">
      <formula>5</formula>
    </cfRule>
    <cfRule type="cellIs" dxfId="453" priority="338" operator="equal">
      <formula>4</formula>
    </cfRule>
    <cfRule type="cellIs" dxfId="452" priority="339" operator="equal">
      <formula>2</formula>
    </cfRule>
    <cfRule type="cellIs" dxfId="451" priority="340" operator="equal">
      <formula>3</formula>
    </cfRule>
  </conditionalFormatting>
  <conditionalFormatting sqref="S56:V56">
    <cfRule type="cellIs" dxfId="450" priority="336" operator="equal">
      <formula>1</formula>
    </cfRule>
  </conditionalFormatting>
  <conditionalFormatting sqref="O56">
    <cfRule type="cellIs" dxfId="449" priority="332" operator="equal">
      <formula>5</formula>
    </cfRule>
    <cfRule type="cellIs" dxfId="448" priority="333" operator="equal">
      <formula>4</formula>
    </cfRule>
    <cfRule type="cellIs" dxfId="447" priority="334" operator="equal">
      <formula>2</formula>
    </cfRule>
    <cfRule type="cellIs" dxfId="446" priority="335" operator="equal">
      <formula>3</formula>
    </cfRule>
  </conditionalFormatting>
  <conditionalFormatting sqref="O56">
    <cfRule type="cellIs" dxfId="445" priority="331" operator="equal">
      <formula>1</formula>
    </cfRule>
  </conditionalFormatting>
  <conditionalFormatting sqref="O56">
    <cfRule type="containsText" dxfId="444" priority="330" operator="containsText" text="N/A">
      <formula>NOT(ISERROR(SEARCH("N/A",O56)))</formula>
    </cfRule>
  </conditionalFormatting>
  <conditionalFormatting sqref="O56">
    <cfRule type="cellIs" dxfId="443" priority="326" operator="equal">
      <formula>5</formula>
    </cfRule>
    <cfRule type="cellIs" dxfId="442" priority="327" operator="equal">
      <formula>4</formula>
    </cfRule>
    <cfRule type="cellIs" dxfId="441" priority="328" operator="equal">
      <formula>2</formula>
    </cfRule>
    <cfRule type="cellIs" dxfId="440" priority="329" operator="equal">
      <formula>3</formula>
    </cfRule>
  </conditionalFormatting>
  <conditionalFormatting sqref="O56">
    <cfRule type="cellIs" dxfId="439" priority="325" operator="equal">
      <formula>1</formula>
    </cfRule>
  </conditionalFormatting>
  <conditionalFormatting sqref="S49:V49">
    <cfRule type="cellIs" dxfId="438" priority="321" operator="equal">
      <formula>5</formula>
    </cfRule>
    <cfRule type="cellIs" dxfId="437" priority="322" operator="equal">
      <formula>4</formula>
    </cfRule>
    <cfRule type="cellIs" dxfId="436" priority="323" operator="equal">
      <formula>2</formula>
    </cfRule>
    <cfRule type="cellIs" dxfId="435" priority="324" operator="equal">
      <formula>3</formula>
    </cfRule>
  </conditionalFormatting>
  <conditionalFormatting sqref="S49:V49">
    <cfRule type="cellIs" dxfId="434" priority="320" operator="equal">
      <formula>1</formula>
    </cfRule>
  </conditionalFormatting>
  <conditionalFormatting sqref="S49:V49">
    <cfRule type="containsText" dxfId="433" priority="319" operator="containsText" text="N/A">
      <formula>NOT(ISERROR(SEARCH("N/A",S49)))</formula>
    </cfRule>
  </conditionalFormatting>
  <conditionalFormatting sqref="S49:V49">
    <cfRule type="cellIs" dxfId="432" priority="315" operator="equal">
      <formula>5</formula>
    </cfRule>
    <cfRule type="cellIs" dxfId="431" priority="316" operator="equal">
      <formula>4</formula>
    </cfRule>
    <cfRule type="cellIs" dxfId="430" priority="317" operator="equal">
      <formula>2</formula>
    </cfRule>
    <cfRule type="cellIs" dxfId="429" priority="318" operator="equal">
      <formula>3</formula>
    </cfRule>
  </conditionalFormatting>
  <conditionalFormatting sqref="S49:V49">
    <cfRule type="cellIs" dxfId="428" priority="314" operator="equal">
      <formula>1</formula>
    </cfRule>
  </conditionalFormatting>
  <conditionalFormatting sqref="O49">
    <cfRule type="cellIs" dxfId="427" priority="310" operator="equal">
      <formula>5</formula>
    </cfRule>
    <cfRule type="cellIs" dxfId="426" priority="311" operator="equal">
      <formula>4</formula>
    </cfRule>
    <cfRule type="cellIs" dxfId="425" priority="312" operator="equal">
      <formula>2</formula>
    </cfRule>
    <cfRule type="cellIs" dxfId="424" priority="313" operator="equal">
      <formula>3</formula>
    </cfRule>
  </conditionalFormatting>
  <conditionalFormatting sqref="O49">
    <cfRule type="cellIs" dxfId="423" priority="309" operator="equal">
      <formula>1</formula>
    </cfRule>
  </conditionalFormatting>
  <conditionalFormatting sqref="O49">
    <cfRule type="containsText" dxfId="422" priority="308" operator="containsText" text="N/A">
      <formula>NOT(ISERROR(SEARCH("N/A",O49)))</formula>
    </cfRule>
  </conditionalFormatting>
  <conditionalFormatting sqref="O49">
    <cfRule type="cellIs" dxfId="421" priority="304" operator="equal">
      <formula>5</formula>
    </cfRule>
    <cfRule type="cellIs" dxfId="420" priority="305" operator="equal">
      <formula>4</formula>
    </cfRule>
    <cfRule type="cellIs" dxfId="419" priority="306" operator="equal">
      <formula>2</formula>
    </cfRule>
    <cfRule type="cellIs" dxfId="418" priority="307" operator="equal">
      <formula>3</formula>
    </cfRule>
  </conditionalFormatting>
  <conditionalFormatting sqref="O49">
    <cfRule type="cellIs" dxfId="417" priority="303" operator="equal">
      <formula>1</formula>
    </cfRule>
  </conditionalFormatting>
  <conditionalFormatting sqref="S34:V34">
    <cfRule type="cellIs" dxfId="416" priority="299" operator="equal">
      <formula>5</formula>
    </cfRule>
    <cfRule type="cellIs" dxfId="415" priority="300" operator="equal">
      <formula>4</formula>
    </cfRule>
    <cfRule type="cellIs" dxfId="414" priority="301" operator="equal">
      <formula>2</formula>
    </cfRule>
    <cfRule type="cellIs" dxfId="413" priority="302" operator="equal">
      <formula>3</formula>
    </cfRule>
  </conditionalFormatting>
  <conditionalFormatting sqref="S34:V34">
    <cfRule type="cellIs" dxfId="412" priority="298" operator="equal">
      <formula>1</formula>
    </cfRule>
  </conditionalFormatting>
  <conditionalFormatting sqref="S34:V34">
    <cfRule type="containsText" dxfId="411" priority="297" operator="containsText" text="N/A">
      <formula>NOT(ISERROR(SEARCH("N/A",S34)))</formula>
    </cfRule>
  </conditionalFormatting>
  <conditionalFormatting sqref="S34:V34">
    <cfRule type="cellIs" dxfId="410" priority="293" operator="equal">
      <formula>5</formula>
    </cfRule>
    <cfRule type="cellIs" dxfId="409" priority="294" operator="equal">
      <formula>4</formula>
    </cfRule>
    <cfRule type="cellIs" dxfId="408" priority="295" operator="equal">
      <formula>2</formula>
    </cfRule>
    <cfRule type="cellIs" dxfId="407" priority="296" operator="equal">
      <formula>3</formula>
    </cfRule>
  </conditionalFormatting>
  <conditionalFormatting sqref="S34:V34">
    <cfRule type="cellIs" dxfId="406" priority="292" operator="equal">
      <formula>1</formula>
    </cfRule>
  </conditionalFormatting>
  <conditionalFormatting sqref="O34">
    <cfRule type="cellIs" dxfId="405" priority="288" operator="equal">
      <formula>5</formula>
    </cfRule>
    <cfRule type="cellIs" dxfId="404" priority="289" operator="equal">
      <formula>4</formula>
    </cfRule>
    <cfRule type="cellIs" dxfId="403" priority="290" operator="equal">
      <formula>2</formula>
    </cfRule>
    <cfRule type="cellIs" dxfId="402" priority="291" operator="equal">
      <formula>3</formula>
    </cfRule>
  </conditionalFormatting>
  <conditionalFormatting sqref="O34">
    <cfRule type="cellIs" dxfId="401" priority="287" operator="equal">
      <formula>1</formula>
    </cfRule>
  </conditionalFormatting>
  <conditionalFormatting sqref="O34">
    <cfRule type="containsText" dxfId="400" priority="286" operator="containsText" text="N/A">
      <formula>NOT(ISERROR(SEARCH("N/A",O34)))</formula>
    </cfRule>
  </conditionalFormatting>
  <conditionalFormatting sqref="O34">
    <cfRule type="cellIs" dxfId="399" priority="282" operator="equal">
      <formula>5</formula>
    </cfRule>
    <cfRule type="cellIs" dxfId="398" priority="283" operator="equal">
      <formula>4</formula>
    </cfRule>
    <cfRule type="cellIs" dxfId="397" priority="284" operator="equal">
      <formula>2</formula>
    </cfRule>
    <cfRule type="cellIs" dxfId="396" priority="285" operator="equal">
      <formula>3</formula>
    </cfRule>
  </conditionalFormatting>
  <conditionalFormatting sqref="O34">
    <cfRule type="cellIs" dxfId="395" priority="281" operator="equal">
      <formula>1</formula>
    </cfRule>
  </conditionalFormatting>
  <conditionalFormatting sqref="L39">
    <cfRule type="cellIs" dxfId="394" priority="277" operator="equal">
      <formula>5</formula>
    </cfRule>
    <cfRule type="cellIs" dxfId="393" priority="278" operator="equal">
      <formula>4</formula>
    </cfRule>
    <cfRule type="cellIs" dxfId="392" priority="279" operator="equal">
      <formula>2</formula>
    </cfRule>
    <cfRule type="cellIs" dxfId="391" priority="280" operator="equal">
      <formula>3</formula>
    </cfRule>
  </conditionalFormatting>
  <conditionalFormatting sqref="L39">
    <cfRule type="cellIs" dxfId="390" priority="276" operator="equal">
      <formula>1</formula>
    </cfRule>
  </conditionalFormatting>
  <conditionalFormatting sqref="L39">
    <cfRule type="containsText" dxfId="389" priority="275" operator="containsText" text="N/A">
      <formula>NOT(ISERROR(SEARCH("N/A",L39)))</formula>
    </cfRule>
  </conditionalFormatting>
  <conditionalFormatting sqref="L39">
    <cfRule type="cellIs" dxfId="388" priority="271" operator="equal">
      <formula>5</formula>
    </cfRule>
    <cfRule type="cellIs" dxfId="387" priority="272" operator="equal">
      <formula>4</formula>
    </cfRule>
    <cfRule type="cellIs" dxfId="386" priority="273" operator="equal">
      <formula>2</formula>
    </cfRule>
    <cfRule type="cellIs" dxfId="385" priority="274" operator="equal">
      <formula>3</formula>
    </cfRule>
  </conditionalFormatting>
  <conditionalFormatting sqref="L39">
    <cfRule type="cellIs" dxfId="384" priority="270" operator="equal">
      <formula>1</formula>
    </cfRule>
  </conditionalFormatting>
  <conditionalFormatting sqref="L39">
    <cfRule type="cellIs" dxfId="383" priority="266" operator="equal">
      <formula>5</formula>
    </cfRule>
    <cfRule type="cellIs" dxfId="382" priority="267" operator="equal">
      <formula>4</formula>
    </cfRule>
    <cfRule type="cellIs" dxfId="381" priority="268" operator="equal">
      <formula>2</formula>
    </cfRule>
    <cfRule type="cellIs" dxfId="380" priority="269" operator="equal">
      <formula>3</formula>
    </cfRule>
  </conditionalFormatting>
  <conditionalFormatting sqref="L39">
    <cfRule type="cellIs" dxfId="379" priority="265" operator="equal">
      <formula>1</formula>
    </cfRule>
  </conditionalFormatting>
  <conditionalFormatting sqref="L24">
    <cfRule type="cellIs" dxfId="378" priority="261" operator="equal">
      <formula>5</formula>
    </cfRule>
    <cfRule type="cellIs" dxfId="377" priority="262" operator="equal">
      <formula>4</formula>
    </cfRule>
    <cfRule type="cellIs" dxfId="376" priority="263" operator="equal">
      <formula>2</formula>
    </cfRule>
    <cfRule type="cellIs" dxfId="375" priority="264" operator="equal">
      <formula>3</formula>
    </cfRule>
  </conditionalFormatting>
  <conditionalFormatting sqref="L24">
    <cfRule type="cellIs" dxfId="374" priority="260" operator="equal">
      <formula>1</formula>
    </cfRule>
  </conditionalFormatting>
  <conditionalFormatting sqref="L24">
    <cfRule type="containsText" dxfId="373" priority="259" operator="containsText" text="N/A">
      <formula>NOT(ISERROR(SEARCH("N/A",L24)))</formula>
    </cfRule>
  </conditionalFormatting>
  <conditionalFormatting sqref="L24">
    <cfRule type="cellIs" dxfId="372" priority="255" operator="equal">
      <formula>5</formula>
    </cfRule>
    <cfRule type="cellIs" dxfId="371" priority="256" operator="equal">
      <formula>4</formula>
    </cfRule>
    <cfRule type="cellIs" dxfId="370" priority="257" operator="equal">
      <formula>2</formula>
    </cfRule>
    <cfRule type="cellIs" dxfId="369" priority="258" operator="equal">
      <formula>3</formula>
    </cfRule>
  </conditionalFormatting>
  <conditionalFormatting sqref="L24">
    <cfRule type="cellIs" dxfId="368" priority="254" operator="equal">
      <formula>1</formula>
    </cfRule>
  </conditionalFormatting>
  <conditionalFormatting sqref="L24">
    <cfRule type="cellIs" dxfId="367" priority="250" operator="equal">
      <formula>5</formula>
    </cfRule>
    <cfRule type="cellIs" dxfId="366" priority="251" operator="equal">
      <formula>4</formula>
    </cfRule>
    <cfRule type="cellIs" dxfId="365" priority="252" operator="equal">
      <formula>2</formula>
    </cfRule>
    <cfRule type="cellIs" dxfId="364" priority="253" operator="equal">
      <formula>3</formula>
    </cfRule>
  </conditionalFormatting>
  <conditionalFormatting sqref="L24">
    <cfRule type="cellIs" dxfId="363" priority="249" operator="equal">
      <formula>1</formula>
    </cfRule>
  </conditionalFormatting>
  <conditionalFormatting sqref="L14:L17">
    <cfRule type="cellIs" dxfId="362" priority="245" operator="equal">
      <formula>5</formula>
    </cfRule>
    <cfRule type="cellIs" dxfId="361" priority="246" operator="equal">
      <formula>4</formula>
    </cfRule>
    <cfRule type="cellIs" dxfId="360" priority="247" operator="equal">
      <formula>2</formula>
    </cfRule>
    <cfRule type="cellIs" dxfId="359" priority="248" operator="equal">
      <formula>3</formula>
    </cfRule>
  </conditionalFormatting>
  <conditionalFormatting sqref="L14:L17">
    <cfRule type="cellIs" dxfId="358" priority="244" operator="equal">
      <formula>1</formula>
    </cfRule>
  </conditionalFormatting>
  <conditionalFormatting sqref="L14:L17">
    <cfRule type="containsText" dxfId="357" priority="243" operator="containsText" text="N/A">
      <formula>NOT(ISERROR(SEARCH("N/A",L14)))</formula>
    </cfRule>
  </conditionalFormatting>
  <conditionalFormatting sqref="L14:L17">
    <cfRule type="cellIs" dxfId="356" priority="239" operator="equal">
      <formula>5</formula>
    </cfRule>
    <cfRule type="cellIs" dxfId="355" priority="240" operator="equal">
      <formula>4</formula>
    </cfRule>
    <cfRule type="cellIs" dxfId="354" priority="241" operator="equal">
      <formula>2</formula>
    </cfRule>
    <cfRule type="cellIs" dxfId="353" priority="242" operator="equal">
      <formula>3</formula>
    </cfRule>
  </conditionalFormatting>
  <conditionalFormatting sqref="L14:L17">
    <cfRule type="cellIs" dxfId="352" priority="238" operator="equal">
      <formula>1</formula>
    </cfRule>
  </conditionalFormatting>
  <conditionalFormatting sqref="L14:L17">
    <cfRule type="cellIs" dxfId="351" priority="234" operator="equal">
      <formula>5</formula>
    </cfRule>
    <cfRule type="cellIs" dxfId="350" priority="235" operator="equal">
      <formula>4</formula>
    </cfRule>
    <cfRule type="cellIs" dxfId="349" priority="236" operator="equal">
      <formula>2</formula>
    </cfRule>
    <cfRule type="cellIs" dxfId="348" priority="237" operator="equal">
      <formula>3</formula>
    </cfRule>
  </conditionalFormatting>
  <conditionalFormatting sqref="L14:L17">
    <cfRule type="cellIs" dxfId="347" priority="233" operator="equal">
      <formula>1</formula>
    </cfRule>
  </conditionalFormatting>
  <conditionalFormatting sqref="L18">
    <cfRule type="cellIs" dxfId="346" priority="229" operator="equal">
      <formula>5</formula>
    </cfRule>
    <cfRule type="cellIs" dxfId="345" priority="230" operator="equal">
      <formula>4</formula>
    </cfRule>
    <cfRule type="cellIs" dxfId="344" priority="231" operator="equal">
      <formula>2</formula>
    </cfRule>
    <cfRule type="cellIs" dxfId="343" priority="232" operator="equal">
      <formula>3</formula>
    </cfRule>
  </conditionalFormatting>
  <conditionalFormatting sqref="L18">
    <cfRule type="cellIs" dxfId="342" priority="228" operator="equal">
      <formula>1</formula>
    </cfRule>
  </conditionalFormatting>
  <conditionalFormatting sqref="L18">
    <cfRule type="containsText" dxfId="341" priority="227" operator="containsText" text="N/A">
      <formula>NOT(ISERROR(SEARCH("N/A",L18)))</formula>
    </cfRule>
  </conditionalFormatting>
  <conditionalFormatting sqref="L18">
    <cfRule type="cellIs" dxfId="340" priority="223" operator="equal">
      <formula>5</formula>
    </cfRule>
    <cfRule type="cellIs" dxfId="339" priority="224" operator="equal">
      <formula>4</formula>
    </cfRule>
    <cfRule type="cellIs" dxfId="338" priority="225" operator="equal">
      <formula>2</formula>
    </cfRule>
    <cfRule type="cellIs" dxfId="337" priority="226" operator="equal">
      <formula>3</formula>
    </cfRule>
  </conditionalFormatting>
  <conditionalFormatting sqref="L18">
    <cfRule type="cellIs" dxfId="336" priority="222" operator="equal">
      <formula>1</formula>
    </cfRule>
  </conditionalFormatting>
  <conditionalFormatting sqref="L18">
    <cfRule type="cellIs" dxfId="335" priority="218" operator="equal">
      <formula>5</formula>
    </cfRule>
    <cfRule type="cellIs" dxfId="334" priority="219" operator="equal">
      <formula>4</formula>
    </cfRule>
    <cfRule type="cellIs" dxfId="333" priority="220" operator="equal">
      <formula>2</formula>
    </cfRule>
    <cfRule type="cellIs" dxfId="332" priority="221" operator="equal">
      <formula>3</formula>
    </cfRule>
  </conditionalFormatting>
  <conditionalFormatting sqref="L18">
    <cfRule type="cellIs" dxfId="331" priority="217" operator="equal">
      <formula>1</formula>
    </cfRule>
  </conditionalFormatting>
  <conditionalFormatting sqref="W18">
    <cfRule type="cellIs" dxfId="330" priority="213" operator="equal">
      <formula>5</formula>
    </cfRule>
    <cfRule type="cellIs" dxfId="329" priority="214" operator="equal">
      <formula>4</formula>
    </cfRule>
    <cfRule type="cellIs" dxfId="328" priority="215" operator="equal">
      <formula>2</formula>
    </cfRule>
    <cfRule type="cellIs" dxfId="327" priority="216" operator="equal">
      <formula>3</formula>
    </cfRule>
  </conditionalFormatting>
  <conditionalFormatting sqref="W18">
    <cfRule type="cellIs" dxfId="326" priority="212" operator="equal">
      <formula>1</formula>
    </cfRule>
  </conditionalFormatting>
  <conditionalFormatting sqref="W24">
    <cfRule type="cellIs" dxfId="325" priority="198" operator="equal">
      <formula>5</formula>
    </cfRule>
    <cfRule type="cellIs" dxfId="324" priority="199" operator="equal">
      <formula>4</formula>
    </cfRule>
    <cfRule type="cellIs" dxfId="323" priority="200" operator="equal">
      <formula>2</formula>
    </cfRule>
    <cfRule type="cellIs" dxfId="322" priority="201" operator="equal">
      <formula>3</formula>
    </cfRule>
  </conditionalFormatting>
  <conditionalFormatting sqref="W24">
    <cfRule type="cellIs" dxfId="321" priority="197" operator="equal">
      <formula>1</formula>
    </cfRule>
  </conditionalFormatting>
  <conditionalFormatting sqref="W24">
    <cfRule type="containsText" dxfId="320" priority="196" operator="containsText" text="N/A">
      <formula>NOT(ISERROR(SEARCH("N/A",W24)))</formula>
    </cfRule>
  </conditionalFormatting>
  <conditionalFormatting sqref="N29:N32">
    <cfRule type="containsText" dxfId="319" priority="194" operator="containsText" text="F3 exigé">
      <formula>NOT(ISERROR(SEARCH("F3 exigé",N29)))</formula>
    </cfRule>
  </conditionalFormatting>
  <conditionalFormatting sqref="B29 M29:W32">
    <cfRule type="containsText" dxfId="318" priority="193" operator="containsText" text="N/A">
      <formula>NOT(ISERROR(SEARCH("N/A",B29)))</formula>
    </cfRule>
  </conditionalFormatting>
  <conditionalFormatting sqref="N13:N16">
    <cfRule type="containsText" dxfId="317" priority="192" operator="containsText" text="F3 exigé">
      <formula>NOT(ISERROR(SEARCH("F3 exigé",N13)))</formula>
    </cfRule>
  </conditionalFormatting>
  <conditionalFormatting sqref="M13:W16">
    <cfRule type="containsText" dxfId="316" priority="191" operator="containsText" text="N/A">
      <formula>NOT(ISERROR(SEARCH("N/A",M13)))</formula>
    </cfRule>
  </conditionalFormatting>
  <conditionalFormatting sqref="N38:N39">
    <cfRule type="containsText" dxfId="315" priority="190" operator="containsText" text="F3 exigé">
      <formula>NOT(ISERROR(SEARCH("F3 exigé",N38)))</formula>
    </cfRule>
  </conditionalFormatting>
  <conditionalFormatting sqref="B44:L47">
    <cfRule type="containsText" dxfId="314" priority="189" operator="containsText" text="F3 exigé">
      <formula>NOT(ISERROR(SEARCH("F3 exigé",B44)))</formula>
    </cfRule>
  </conditionalFormatting>
  <conditionalFormatting sqref="C44:C47">
    <cfRule type="containsText" dxfId="313" priority="188" operator="containsText" text="F3 exigé">
      <formula>NOT(ISERROR(SEARCH("F3 exigé",C44)))</formula>
    </cfRule>
  </conditionalFormatting>
  <conditionalFormatting sqref="N44:N47">
    <cfRule type="containsText" dxfId="312" priority="187" operator="containsText" text="F3 exigé">
      <formula>NOT(ISERROR(SEARCH("F3 exigé",N44)))</formula>
    </cfRule>
  </conditionalFormatting>
  <conditionalFormatting sqref="C63:C66">
    <cfRule type="containsText" dxfId="311" priority="186" operator="containsText" text="F3 exigé">
      <formula>NOT(ISERROR(SEARCH("F3 exigé",C63)))</formula>
    </cfRule>
  </conditionalFormatting>
  <conditionalFormatting sqref="N63:N66">
    <cfRule type="containsText" dxfId="310" priority="185" operator="containsText" text="F3 exigé">
      <formula>NOT(ISERROR(SEARCH("F3 exigé",N63)))</formula>
    </cfRule>
  </conditionalFormatting>
  <conditionalFormatting sqref="N53:N54">
    <cfRule type="containsText" dxfId="309" priority="184" operator="containsText" text="F3 exigé">
      <formula>NOT(ISERROR(SEARCH("F3 exigé",N53)))</formula>
    </cfRule>
  </conditionalFormatting>
  <conditionalFormatting sqref="C79:C82">
    <cfRule type="containsText" dxfId="308" priority="183" operator="containsText" text="F3 exigé">
      <formula>NOT(ISERROR(SEARCH("F3 exigé",C79)))</formula>
    </cfRule>
  </conditionalFormatting>
  <conditionalFormatting sqref="N79:N82">
    <cfRule type="containsText" dxfId="307" priority="182" operator="containsText" text="F3 exigé">
      <formula>NOT(ISERROR(SEARCH("F3 exigé",N79)))</formula>
    </cfRule>
  </conditionalFormatting>
  <conditionalFormatting sqref="N72:N74">
    <cfRule type="containsText" dxfId="306" priority="181" operator="containsText" text="F3 exigé">
      <formula>NOT(ISERROR(SEARCH("F3 exigé",N72)))</formula>
    </cfRule>
  </conditionalFormatting>
  <conditionalFormatting sqref="D18">
    <cfRule type="containsText" dxfId="305" priority="180" operator="containsText" text="F3 exigé">
      <formula>NOT(ISERROR(SEARCH("F3 exigé",D18)))</formula>
    </cfRule>
  </conditionalFormatting>
  <conditionalFormatting sqref="D18">
    <cfRule type="containsText" dxfId="304" priority="179" operator="containsText" text="N/A">
      <formula>NOT(ISERROR(SEARCH("N/A",D18)))</formula>
    </cfRule>
  </conditionalFormatting>
  <conditionalFormatting sqref="L38">
    <cfRule type="cellIs" dxfId="303" priority="165" operator="equal">
      <formula>5</formula>
    </cfRule>
    <cfRule type="cellIs" dxfId="302" priority="166" operator="equal">
      <formula>4</formula>
    </cfRule>
    <cfRule type="cellIs" dxfId="301" priority="167" operator="equal">
      <formula>2</formula>
    </cfRule>
    <cfRule type="cellIs" dxfId="300" priority="168" operator="equal">
      <formula>3</formula>
    </cfRule>
  </conditionalFormatting>
  <conditionalFormatting sqref="L38">
    <cfRule type="cellIs" dxfId="299" priority="164" operator="equal">
      <formula>1</formula>
    </cfRule>
  </conditionalFormatting>
  <conditionalFormatting sqref="L38">
    <cfRule type="containsText" dxfId="298" priority="163" operator="containsText" text="N/A">
      <formula>NOT(ISERROR(SEARCH("N/A",L38)))</formula>
    </cfRule>
  </conditionalFormatting>
  <conditionalFormatting sqref="L38">
    <cfRule type="cellIs" dxfId="297" priority="159" operator="equal">
      <formula>5</formula>
    </cfRule>
    <cfRule type="cellIs" dxfId="296" priority="160" operator="equal">
      <formula>4</formula>
    </cfRule>
    <cfRule type="cellIs" dxfId="295" priority="161" operator="equal">
      <formula>2</formula>
    </cfRule>
    <cfRule type="cellIs" dxfId="294" priority="162" operator="equal">
      <formula>3</formula>
    </cfRule>
  </conditionalFormatting>
  <conditionalFormatting sqref="L38">
    <cfRule type="cellIs" dxfId="293" priority="158" operator="equal">
      <formula>1</formula>
    </cfRule>
  </conditionalFormatting>
  <conditionalFormatting sqref="A41:A42">
    <cfRule type="containsText" dxfId="292" priority="123" operator="containsText" text="N/A">
      <formula>NOT(ISERROR(SEARCH("N/A",A41)))</formula>
    </cfRule>
  </conditionalFormatting>
  <conditionalFormatting sqref="A25:B25">
    <cfRule type="containsText" dxfId="291" priority="86" operator="containsText" text="N/A">
      <formula>NOT(ISERROR(SEARCH("N/A",A25)))</formula>
    </cfRule>
  </conditionalFormatting>
  <conditionalFormatting sqref="M25">
    <cfRule type="containsText" dxfId="290" priority="78" operator="containsText" text="N/A">
      <formula>NOT(ISERROR(SEARCH("N/A",M25)))</formula>
    </cfRule>
  </conditionalFormatting>
  <conditionalFormatting sqref="B27">
    <cfRule type="containsText" dxfId="289" priority="77" operator="containsText" text="F3 exigé">
      <formula>NOT(ISERROR(SEARCH("F3 exigé",B27)))</formula>
    </cfRule>
  </conditionalFormatting>
  <conditionalFormatting sqref="B27">
    <cfRule type="containsText" dxfId="288" priority="76" operator="containsText" text="N/A">
      <formula>NOT(ISERROR(SEARCH("N/A",B27)))</formula>
    </cfRule>
  </conditionalFormatting>
  <conditionalFormatting sqref="B40">
    <cfRule type="containsText" dxfId="287" priority="72" operator="containsText" text="N/A">
      <formula>NOT(ISERROR(SEARCH("N/A",B40)))</formula>
    </cfRule>
  </conditionalFormatting>
  <conditionalFormatting sqref="B42">
    <cfRule type="containsText" dxfId="286" priority="71" operator="containsText" text="F3 exigé">
      <formula>NOT(ISERROR(SEARCH("F3 exigé",B42)))</formula>
    </cfRule>
  </conditionalFormatting>
  <conditionalFormatting sqref="B42">
    <cfRule type="containsText" dxfId="285" priority="70" operator="containsText" text="N/A">
      <formula>NOT(ISERROR(SEARCH("N/A",B42)))</formula>
    </cfRule>
  </conditionalFormatting>
  <conditionalFormatting sqref="M40">
    <cfRule type="containsText" dxfId="284" priority="68" operator="containsText" text="N/A">
      <formula>NOT(ISERROR(SEARCH("N/A",M40)))</formula>
    </cfRule>
  </conditionalFormatting>
  <conditionalFormatting sqref="M42">
    <cfRule type="containsText" dxfId="283" priority="45" operator="containsText" text="F3 exigé">
      <formula>NOT(ISERROR(SEARCH("F3 exigé",M42)))</formula>
    </cfRule>
  </conditionalFormatting>
  <conditionalFormatting sqref="B59">
    <cfRule type="containsText" dxfId="282" priority="64" operator="containsText" text="N/A">
      <formula>NOT(ISERROR(SEARCH("N/A",B59)))</formula>
    </cfRule>
  </conditionalFormatting>
  <conditionalFormatting sqref="B61">
    <cfRule type="containsText" dxfId="281" priority="63" operator="containsText" text="F3 exigé">
      <formula>NOT(ISERROR(SEARCH("F3 exigé",B61)))</formula>
    </cfRule>
  </conditionalFormatting>
  <conditionalFormatting sqref="B61">
    <cfRule type="containsText" dxfId="280" priority="62" operator="containsText" text="N/A">
      <formula>NOT(ISERROR(SEARCH("N/A",B61)))</formula>
    </cfRule>
  </conditionalFormatting>
  <conditionalFormatting sqref="M59">
    <cfRule type="containsText" dxfId="279" priority="60" operator="containsText" text="N/A">
      <formula>NOT(ISERROR(SEARCH("N/A",M59)))</formula>
    </cfRule>
  </conditionalFormatting>
  <conditionalFormatting sqref="B77">
    <cfRule type="containsText" dxfId="278" priority="55" operator="containsText" text="F3 exigé">
      <formula>NOT(ISERROR(SEARCH("F3 exigé",B77)))</formula>
    </cfRule>
  </conditionalFormatting>
  <conditionalFormatting sqref="B77">
    <cfRule type="containsText" dxfId="277" priority="54" operator="containsText" text="N/A">
      <formula>NOT(ISERROR(SEARCH("N/A",B77)))</formula>
    </cfRule>
  </conditionalFormatting>
  <conditionalFormatting sqref="C75">
    <cfRule type="containsText" dxfId="276" priority="57" operator="containsText" text="F3 exigé">
      <formula>NOT(ISERROR(SEARCH("F3 exigé",C75)))</formula>
    </cfRule>
  </conditionalFormatting>
  <conditionalFormatting sqref="B75:L75">
    <cfRule type="containsText" dxfId="275" priority="56" operator="containsText" text="N/A">
      <formula>NOT(ISERROR(SEARCH("N/A",B75)))</formula>
    </cfRule>
  </conditionalFormatting>
  <conditionalFormatting sqref="N75">
    <cfRule type="containsText" dxfId="274" priority="53" operator="containsText" text="F3 exigé">
      <formula>NOT(ISERROR(SEARCH("F3 exigé",N75)))</formula>
    </cfRule>
  </conditionalFormatting>
  <conditionalFormatting sqref="M75:W75">
    <cfRule type="containsText" dxfId="273" priority="52" operator="containsText" text="N/A">
      <formula>NOT(ISERROR(SEARCH("N/A",M75)))</formula>
    </cfRule>
  </conditionalFormatting>
  <conditionalFormatting sqref="M42">
    <cfRule type="containsText" dxfId="272" priority="44" operator="containsText" text="N/A">
      <formula>NOT(ISERROR(SEARCH("N/A",M42)))</formula>
    </cfRule>
  </conditionalFormatting>
  <conditionalFormatting sqref="M27">
    <cfRule type="containsText" dxfId="271" priority="37" operator="containsText" text="F3 exigé">
      <formula>NOT(ISERROR(SEARCH("F3 exigé",M27)))</formula>
    </cfRule>
  </conditionalFormatting>
  <conditionalFormatting sqref="M27">
    <cfRule type="containsText" dxfId="270" priority="36" operator="containsText" text="N/A">
      <formula>NOT(ISERROR(SEARCH("N/A",M27)))</formula>
    </cfRule>
  </conditionalFormatting>
  <conditionalFormatting sqref="M61">
    <cfRule type="containsText" dxfId="269" priority="35" operator="containsText" text="F3 exigé">
      <formula>NOT(ISERROR(SEARCH("F3 exigé",M61)))</formula>
    </cfRule>
  </conditionalFormatting>
  <conditionalFormatting sqref="M61">
    <cfRule type="containsText" dxfId="268" priority="34" operator="containsText" text="N/A">
      <formula>NOT(ISERROR(SEARCH("N/A",M61)))</formula>
    </cfRule>
  </conditionalFormatting>
  <conditionalFormatting sqref="A4:A7">
    <cfRule type="containsText" dxfId="267" priority="30" operator="containsText" text="R1">
      <formula>NOT(ISERROR(SEARCH("R1",A4)))</formula>
    </cfRule>
    <cfRule type="containsText" dxfId="266" priority="31" operator="containsText" text="R3 required">
      <formula>NOT(ISERROR(SEARCH("R3 required",A4)))</formula>
    </cfRule>
  </conditionalFormatting>
  <conditionalFormatting sqref="A4:A7">
    <cfRule type="containsText" dxfId="265" priority="29" operator="containsText" text="R0">
      <formula>NOT(ISERROR(SEARCH("R0",A4)))</formula>
    </cfRule>
  </conditionalFormatting>
  <conditionalFormatting sqref="A10">
    <cfRule type="containsText" dxfId="264" priority="28" operator="containsText" text="N/A">
      <formula>NOT(ISERROR(SEARCH("N/A",A10)))</formula>
    </cfRule>
  </conditionalFormatting>
  <conditionalFormatting sqref="A10">
    <cfRule type="containsText" dxfId="263" priority="26" operator="containsText" text="R1">
      <formula>NOT(ISERROR(SEARCH("R1",A10)))</formula>
    </cfRule>
    <cfRule type="containsText" dxfId="262" priority="27" operator="containsText" text="R3 required">
      <formula>NOT(ISERROR(SEARCH("R3 required",A10)))</formula>
    </cfRule>
  </conditionalFormatting>
  <conditionalFormatting sqref="A10">
    <cfRule type="containsText" dxfId="261" priority="25" operator="containsText" text="R0">
      <formula>NOT(ISERROR(SEARCH("R0",A10)))</formula>
    </cfRule>
  </conditionalFormatting>
  <conditionalFormatting sqref="B13 B18:B22">
    <cfRule type="containsText" dxfId="260" priority="24" operator="containsText" text="N/A">
      <formula>NOT(ISERROR(SEARCH("N/A",B13)))</formula>
    </cfRule>
  </conditionalFormatting>
  <conditionalFormatting sqref="B14:B17">
    <cfRule type="containsText" dxfId="259" priority="23" operator="containsText" text="N/A">
      <formula>NOT(ISERROR(SEARCH("N/A",B14)))</formula>
    </cfRule>
  </conditionalFormatting>
  <conditionalFormatting sqref="B13:B22">
    <cfRule type="containsText" dxfId="258" priority="21" operator="containsText" text="R1">
      <formula>NOT(ISERROR(SEARCH("R1",B13)))</formula>
    </cfRule>
    <cfRule type="containsText" dxfId="257" priority="22" operator="containsText" text="R3 required">
      <formula>NOT(ISERROR(SEARCH("R3 required",B13)))</formula>
    </cfRule>
  </conditionalFormatting>
  <conditionalFormatting sqref="B13:B22">
    <cfRule type="containsText" dxfId="256" priority="20" operator="containsText" text="R0">
      <formula>NOT(ISERROR(SEARCH("R0",B13)))</formula>
    </cfRule>
  </conditionalFormatting>
  <conditionalFormatting sqref="L13">
    <cfRule type="containsText" dxfId="255" priority="19" operator="containsText" text="N/A">
      <formula>NOT(ISERROR(SEARCH("N/A",L13)))</formula>
    </cfRule>
  </conditionalFormatting>
  <conditionalFormatting sqref="L13">
    <cfRule type="containsText" dxfId="254" priority="17" operator="containsText" text="R1">
      <formula>NOT(ISERROR(SEARCH("R1",L13)))</formula>
    </cfRule>
    <cfRule type="containsText" dxfId="253" priority="18" operator="containsText" text="R3 required">
      <formula>NOT(ISERROR(SEARCH("R3 required",L13)))</formula>
    </cfRule>
  </conditionalFormatting>
  <conditionalFormatting sqref="L13">
    <cfRule type="containsText" dxfId="252" priority="16" operator="containsText" text="R0">
      <formula>NOT(ISERROR(SEARCH("R0",L13)))</formula>
    </cfRule>
  </conditionalFormatting>
  <conditionalFormatting sqref="C72">
    <cfRule type="containsText" dxfId="251" priority="15" operator="containsText" text="F3 exigé">
      <formula>NOT(ISERROR(SEARCH("F3 exigé",C72)))</formula>
    </cfRule>
  </conditionalFormatting>
  <conditionalFormatting sqref="B72:C72">
    <cfRule type="containsText" dxfId="250" priority="13" operator="containsText" text="R1">
      <formula>NOT(ISERROR(SEARCH("R1",B72)))</formula>
    </cfRule>
    <cfRule type="containsText" dxfId="249" priority="14" operator="containsText" text="R3 required">
      <formula>NOT(ISERROR(SEARCH("R3 required",B72)))</formula>
    </cfRule>
  </conditionalFormatting>
  <conditionalFormatting sqref="B72:C72">
    <cfRule type="containsText" dxfId="248" priority="12" operator="containsText" text="R0">
      <formula>NOT(ISERROR(SEARCH("R0",B72)))</formula>
    </cfRule>
  </conditionalFormatting>
  <conditionalFormatting sqref="N83:N84">
    <cfRule type="containsText" dxfId="247" priority="11" operator="containsText" text="F3 exigé">
      <formula>NOT(ISERROR(SEARCH("F3 exigé",N83)))</formula>
    </cfRule>
  </conditionalFormatting>
  <conditionalFormatting sqref="M77">
    <cfRule type="containsText" dxfId="246" priority="10" operator="containsText" text="F3 exigé">
      <formula>NOT(ISERROR(SEARCH("F3 exigé",M77)))</formula>
    </cfRule>
  </conditionalFormatting>
  <conditionalFormatting sqref="M77">
    <cfRule type="containsText" dxfId="245" priority="9" operator="containsText" text="N/A">
      <formula>NOT(ISERROR(SEARCH("N/A",M77)))</formula>
    </cfRule>
  </conditionalFormatting>
  <conditionalFormatting sqref="W17">
    <cfRule type="containsText" dxfId="244" priority="8" operator="containsText" text="N/A">
      <formula>NOT(ISERROR(SEARCH("N/A",W17)))</formula>
    </cfRule>
  </conditionalFormatting>
  <conditionalFormatting sqref="W17">
    <cfRule type="containsText" dxfId="243" priority="6" operator="containsText" text="R1">
      <formula>NOT(ISERROR(SEARCH("R1",W17)))</formula>
    </cfRule>
    <cfRule type="containsText" dxfId="242" priority="7" operator="containsText" text="R3 required">
      <formula>NOT(ISERROR(SEARCH("R3 required",W17)))</formula>
    </cfRule>
  </conditionalFormatting>
  <conditionalFormatting sqref="W17">
    <cfRule type="containsText" dxfId="241" priority="5" operator="containsText" text="R0">
      <formula>NOT(ISERROR(SEARCH("R0",W17)))</formula>
    </cfRule>
  </conditionalFormatting>
  <conditionalFormatting sqref="N18">
    <cfRule type="containsText" dxfId="240" priority="4" operator="containsText" text="F3 exigé">
      <formula>NOT(ISERROR(SEARCH("F3 exigé",N18)))</formula>
    </cfRule>
  </conditionalFormatting>
  <conditionalFormatting sqref="P18:Q18 N18">
    <cfRule type="containsText" dxfId="239" priority="3" operator="containsText" text="N/A">
      <formula>NOT(ISERROR(SEARCH("N/A",N18)))</formula>
    </cfRule>
  </conditionalFormatting>
  <conditionalFormatting sqref="O18">
    <cfRule type="containsText" dxfId="238" priority="2" operator="containsText" text="F3 exigé">
      <formula>NOT(ISERROR(SEARCH("F3 exigé",O18)))</formula>
    </cfRule>
  </conditionalFormatting>
  <conditionalFormatting sqref="O18">
    <cfRule type="containsText" dxfId="237" priority="1" operator="containsText" text="N/A">
      <formula>NOT(ISERROR(SEARCH("N/A",O18)))</formula>
    </cfRule>
  </conditionalFormatting>
  <pageMargins left="0.7" right="0.7" top="0.75" bottom="0.75" header="0.3" footer="0.3"/>
  <pageSetup paperSize="9" scale="58"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containsText" priority="38" operator="containsText" id="{2096BDB7-ACF8-4A20-A011-C6195069BE8B}">
            <xm:f>NOT(ISERROR(SEARCH("+F",C27)))</xm:f>
            <xm:f>"+F"</xm:f>
            <x14:dxf>
              <font>
                <b/>
                <i val="0"/>
              </font>
              <fill>
                <patternFill>
                  <bgColor theme="9" tint="-0.24994659260841701"/>
                </patternFill>
              </fill>
            </x14:dxf>
          </x14:cfRule>
          <x14:cfRule type="containsText" priority="39" operator="containsText" id="{D83DE18C-FDAD-4E71-BB7D-040DB87CAABE}">
            <xm:f>NOT(ISERROR(SEARCH("+M",C27)))</xm:f>
            <xm:f>"+M"</xm:f>
            <x14:dxf>
              <font>
                <b/>
                <i val="0"/>
              </font>
              <fill>
                <patternFill>
                  <bgColor theme="9" tint="0.39994506668294322"/>
                </patternFill>
              </fill>
            </x14:dxf>
          </x14:cfRule>
          <x14:cfRule type="containsText" priority="40" operator="containsText" id="{A15FE677-7121-4442-9FC5-E40DEBC1B16E}">
            <xm:f>NOT(ISERROR(SEARCH("+L",C27)))</xm:f>
            <xm:f>"+L"</xm:f>
            <x14:dxf>
              <font>
                <b/>
                <i val="0"/>
              </font>
              <fill>
                <patternFill>
                  <bgColor theme="9" tint="0.59996337778862885"/>
                </patternFill>
              </fill>
            </x14:dxf>
          </x14:cfRule>
          <x14:cfRule type="containsText" priority="41" operator="containsText" id="{398E6672-7840-4BCE-A933-DE9C4B2ACFFE}">
            <xm:f>NOT(ISERROR(SEARCH("-L",C27)))</xm:f>
            <xm:f>"-L"</xm:f>
            <x14:dxf>
              <font>
                <b/>
                <i val="0"/>
              </font>
              <fill>
                <patternFill>
                  <bgColor theme="5" tint="0.59996337778862885"/>
                </patternFill>
              </fill>
            </x14:dxf>
          </x14:cfRule>
          <x14:cfRule type="containsText" priority="42" operator="containsText" id="{DAB386E8-F579-45C3-A4D1-646E061D2C31}">
            <xm:f>NOT(ISERROR(SEARCH("-M",C27)))</xm:f>
            <xm:f>"-M"</xm:f>
            <x14:dxf>
              <font>
                <b/>
                <i val="0"/>
              </font>
              <fill>
                <patternFill>
                  <bgColor theme="5" tint="0.39994506668294322"/>
                </patternFill>
              </fill>
            </x14:dxf>
          </x14:cfRule>
          <x14:cfRule type="containsText" priority="43" operator="containsText" id="{F557BB7D-C985-4A65-B76E-B9E8A2EC7373}">
            <xm:f>NOT(ISERROR(SEARCH("-F",C27)))</xm:f>
            <xm:f>"-F"</xm:f>
            <x14:dxf>
              <font>
                <b/>
                <i val="0"/>
                <color auto="1"/>
              </font>
              <fill>
                <patternFill>
                  <bgColor theme="5" tint="-0.24994659260841701"/>
                </patternFill>
              </fill>
            </x14:dxf>
          </x14:cfRule>
          <xm:sqref>C27 N27:W27 C42:L42 N42:W42 C61:L61 N61:W61 C77:L77 N77:W77 E27:L27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M48"/>
  <sheetViews>
    <sheetView topLeftCell="A22" zoomScale="80" zoomScaleNormal="80" workbookViewId="0">
      <selection activeCell="D39" sqref="D39:D43"/>
    </sheetView>
  </sheetViews>
  <sheetFormatPr defaultColWidth="8.7109375" defaultRowHeight="15" x14ac:dyDescent="0.25"/>
  <cols>
    <col min="1" max="1" width="15.5703125" customWidth="1"/>
    <col min="2" max="2" width="16" customWidth="1"/>
    <col min="3" max="3" width="12.42578125" customWidth="1"/>
    <col min="4" max="4" width="15.85546875" customWidth="1"/>
    <col min="5" max="5" width="12.85546875" customWidth="1"/>
    <col min="6" max="6" width="13.140625" customWidth="1"/>
    <col min="7" max="7" width="11.140625" customWidth="1"/>
    <col min="8" max="8" width="11.5703125" customWidth="1"/>
    <col min="9" max="14" width="3.85546875" style="137" customWidth="1"/>
    <col min="15" max="38" width="3.85546875" customWidth="1"/>
    <col min="39" max="39" width="14.140625" customWidth="1"/>
  </cols>
  <sheetData>
    <row r="1" spans="1:39" x14ac:dyDescent="0.25">
      <c r="D1" s="195" t="s">
        <v>50</v>
      </c>
    </row>
    <row r="2" spans="1:39" s="17" customFormat="1" ht="23.25" x14ac:dyDescent="0.25">
      <c r="A2" s="658" t="s">
        <v>233</v>
      </c>
      <c r="B2" s="658"/>
      <c r="C2" s="658"/>
      <c r="D2" s="658"/>
      <c r="E2" s="658"/>
      <c r="F2" s="658"/>
      <c r="G2" s="658"/>
      <c r="H2" s="658"/>
      <c r="I2" s="658"/>
      <c r="J2" s="658"/>
      <c r="K2" s="658"/>
      <c r="L2" s="658"/>
      <c r="M2" s="658"/>
      <c r="N2" s="658"/>
      <c r="O2" s="658"/>
      <c r="P2" s="119"/>
      <c r="Q2" s="119"/>
      <c r="R2" s="119"/>
      <c r="S2" s="119"/>
      <c r="T2" s="119"/>
      <c r="U2" s="65"/>
      <c r="V2" s="65"/>
      <c r="W2" s="65"/>
      <c r="X2" s="65"/>
      <c r="Y2" s="65"/>
      <c r="Z2" s="65"/>
      <c r="AA2" s="65"/>
      <c r="AB2" s="65"/>
      <c r="AC2" s="65"/>
      <c r="AD2" s="65"/>
      <c r="AE2" s="65"/>
      <c r="AF2" s="65"/>
      <c r="AG2" s="65"/>
      <c r="AH2" s="65"/>
      <c r="AI2" s="65"/>
      <c r="AJ2" s="65"/>
      <c r="AK2" s="65"/>
      <c r="AL2" s="65"/>
      <c r="AM2" s="65"/>
    </row>
    <row r="3" spans="1:39" s="17" customFormat="1" x14ac:dyDescent="0.25">
      <c r="A3" s="65"/>
      <c r="B3" s="65"/>
      <c r="C3" s="65"/>
      <c r="D3" s="65"/>
      <c r="E3" s="65"/>
      <c r="F3" s="65"/>
      <c r="G3" s="65"/>
      <c r="H3" s="65"/>
      <c r="I3" s="215"/>
      <c r="J3" s="215"/>
      <c r="K3" s="215"/>
      <c r="L3" s="215"/>
      <c r="M3" s="215"/>
      <c r="N3" s="215"/>
      <c r="O3" s="65"/>
      <c r="P3" s="65"/>
      <c r="Q3" s="65"/>
      <c r="R3" s="65"/>
      <c r="S3" s="65"/>
      <c r="T3" s="65"/>
      <c r="U3" s="65"/>
      <c r="V3" s="65"/>
      <c r="W3" s="65"/>
      <c r="X3" s="65"/>
      <c r="Y3" s="65"/>
      <c r="Z3" s="65"/>
      <c r="AA3" s="65"/>
      <c r="AB3" s="65"/>
      <c r="AC3" s="65"/>
      <c r="AD3" s="65"/>
      <c r="AE3" s="65"/>
      <c r="AF3" s="65"/>
      <c r="AG3" s="65"/>
      <c r="AH3" s="65"/>
      <c r="AI3" s="65"/>
      <c r="AJ3" s="65"/>
      <c r="AK3" s="65"/>
      <c r="AL3" s="65"/>
      <c r="AM3" s="65"/>
    </row>
    <row r="4" spans="1:39" s="17" customFormat="1" ht="15.75" x14ac:dyDescent="0.25">
      <c r="A4" s="485" t="s">
        <v>72</v>
      </c>
      <c r="B4" s="66"/>
      <c r="C4" s="219" t="str">
        <f>'Table 1-B  Context Analysis'!$C$5</f>
        <v xml:space="preserve"> Nigeria</v>
      </c>
      <c r="D4" s="65"/>
      <c r="E4" s="67"/>
      <c r="F4" s="67"/>
      <c r="G4" s="67"/>
      <c r="H4" s="67"/>
      <c r="I4" s="216"/>
      <c r="J4" s="216"/>
      <c r="K4" s="216"/>
      <c r="L4" s="216"/>
      <c r="M4" s="216"/>
      <c r="N4" s="216"/>
      <c r="O4" s="67"/>
      <c r="P4" s="67"/>
      <c r="Q4" s="67"/>
      <c r="R4" s="67"/>
      <c r="S4" s="67"/>
      <c r="T4" s="67"/>
      <c r="U4" s="65"/>
      <c r="V4" s="65"/>
      <c r="W4" s="65"/>
      <c r="X4" s="65"/>
      <c r="Y4" s="65"/>
      <c r="Z4" s="65"/>
      <c r="AA4" s="65"/>
      <c r="AB4" s="65"/>
      <c r="AC4" s="65"/>
      <c r="AD4" s="65"/>
      <c r="AE4" s="65"/>
      <c r="AF4" s="65"/>
      <c r="AG4" s="65"/>
      <c r="AH4" s="65"/>
      <c r="AI4" s="65"/>
      <c r="AJ4" s="65"/>
      <c r="AK4" s="65"/>
      <c r="AL4" s="65"/>
      <c r="AM4" s="65"/>
    </row>
    <row r="5" spans="1:39" s="17" customFormat="1" ht="15.75" x14ac:dyDescent="0.25">
      <c r="A5" s="486" t="s">
        <v>80</v>
      </c>
      <c r="B5" s="66"/>
      <c r="C5" s="176" t="str">
        <f>'Table 1-B  Context Analysis'!$C$6</f>
        <v>Borno</v>
      </c>
      <c r="D5" s="65"/>
      <c r="E5" s="67"/>
      <c r="F5" s="67"/>
      <c r="G5" s="67"/>
      <c r="H5" s="67"/>
      <c r="I5" s="216"/>
      <c r="J5" s="216"/>
      <c r="K5" s="216"/>
      <c r="L5" s="216"/>
      <c r="M5" s="216"/>
      <c r="N5" s="216"/>
      <c r="O5" s="67"/>
      <c r="P5" s="67"/>
      <c r="Q5" s="67"/>
      <c r="R5" s="67"/>
      <c r="S5" s="67"/>
      <c r="T5" s="67"/>
      <c r="U5" s="65"/>
      <c r="V5" s="65"/>
      <c r="W5" s="65"/>
      <c r="X5" s="65"/>
      <c r="Y5" s="65"/>
      <c r="Z5" s="65"/>
      <c r="AA5" s="65"/>
      <c r="AB5" s="65"/>
      <c r="AC5" s="65"/>
      <c r="AD5" s="65"/>
      <c r="AE5" s="65"/>
      <c r="AF5" s="65"/>
      <c r="AG5" s="65"/>
      <c r="AH5" s="65"/>
      <c r="AI5" s="65"/>
      <c r="AJ5" s="65"/>
      <c r="AK5" s="65"/>
      <c r="AL5" s="65"/>
      <c r="AM5" s="65"/>
    </row>
    <row r="6" spans="1:39" s="17" customFormat="1" ht="15.75" x14ac:dyDescent="0.25">
      <c r="A6" s="486" t="s">
        <v>81</v>
      </c>
      <c r="B6" s="66"/>
      <c r="C6" s="176" t="str">
        <f>'Table 1-B  Context Analysis'!$C$7</f>
        <v>Shani</v>
      </c>
      <c r="D6" s="65"/>
      <c r="E6" s="67"/>
      <c r="F6" s="67"/>
      <c r="G6" s="67"/>
      <c r="H6" s="67"/>
      <c r="I6" s="216"/>
      <c r="J6" s="216"/>
      <c r="K6" s="216"/>
      <c r="L6" s="216"/>
      <c r="M6" s="216"/>
      <c r="N6" s="216"/>
      <c r="O6" s="67"/>
      <c r="P6" s="67"/>
      <c r="Q6" s="67"/>
      <c r="R6" s="67"/>
      <c r="S6" s="67"/>
      <c r="T6" s="67"/>
      <c r="U6" s="65"/>
      <c r="V6" s="65"/>
      <c r="W6" s="65"/>
      <c r="X6" s="65"/>
      <c r="Y6" s="65"/>
      <c r="Z6" s="65"/>
      <c r="AA6" s="65"/>
      <c r="AB6" s="65"/>
      <c r="AC6" s="65"/>
      <c r="AD6" s="65"/>
      <c r="AE6" s="65"/>
      <c r="AF6" s="65"/>
      <c r="AG6" s="65"/>
      <c r="AH6" s="65"/>
      <c r="AI6" s="65"/>
      <c r="AJ6" s="65"/>
      <c r="AK6" s="65"/>
      <c r="AL6" s="65"/>
      <c r="AM6" s="65"/>
    </row>
    <row r="7" spans="1:39" s="17" customFormat="1" x14ac:dyDescent="0.25">
      <c r="A7" s="523" t="s">
        <v>123</v>
      </c>
      <c r="B7" s="66"/>
      <c r="C7" s="947" t="str">
        <f>'Table 1-B  Context Analysis'!$C$9</f>
        <v xml:space="preserve"> oct-19</v>
      </c>
      <c r="D7" s="941"/>
      <c r="E7" s="67"/>
      <c r="F7" s="67"/>
      <c r="G7" s="67"/>
      <c r="H7" s="67"/>
      <c r="I7" s="216"/>
      <c r="J7" s="216"/>
      <c r="K7" s="216"/>
      <c r="L7" s="216"/>
      <c r="M7" s="216"/>
      <c r="N7" s="216"/>
      <c r="O7" s="67"/>
      <c r="P7" s="67"/>
      <c r="Q7" s="67"/>
      <c r="R7" s="67"/>
      <c r="S7" s="67"/>
      <c r="T7" s="67"/>
      <c r="U7" s="65"/>
      <c r="V7" s="65"/>
      <c r="W7" s="65"/>
      <c r="X7" s="65"/>
      <c r="Y7" s="65"/>
      <c r="Z7" s="65"/>
      <c r="AA7" s="65"/>
      <c r="AB7" s="65"/>
      <c r="AC7" s="65"/>
      <c r="AD7" s="65"/>
      <c r="AE7" s="65"/>
      <c r="AF7" s="65"/>
      <c r="AG7" s="65"/>
      <c r="AH7" s="65"/>
      <c r="AI7" s="65"/>
      <c r="AJ7" s="65"/>
      <c r="AK7" s="65"/>
      <c r="AL7" s="65"/>
      <c r="AM7" s="65"/>
    </row>
    <row r="8" spans="1:39" s="17" customFormat="1" ht="23.85" customHeight="1" x14ac:dyDescent="0.25">
      <c r="A8" s="524" t="s">
        <v>234</v>
      </c>
      <c r="B8" s="65"/>
      <c r="C8" s="940">
        <f>'Table 1-B  Context Analysis'!$K$2</f>
        <v>44123</v>
      </c>
      <c r="D8" s="941"/>
      <c r="E8" s="65"/>
      <c r="F8" s="65"/>
      <c r="G8" s="65"/>
      <c r="H8" s="65"/>
      <c r="I8" s="215"/>
      <c r="J8" s="215"/>
      <c r="K8" s="215"/>
      <c r="L8" s="215"/>
      <c r="M8" s="215"/>
      <c r="N8" s="215"/>
      <c r="O8" s="65"/>
      <c r="P8" s="65"/>
      <c r="Q8" s="65"/>
      <c r="R8" s="65"/>
      <c r="S8" s="65"/>
      <c r="T8" s="65"/>
      <c r="U8" s="65"/>
      <c r="V8" s="65"/>
      <c r="W8" s="65"/>
      <c r="X8" s="65"/>
      <c r="Y8" s="65"/>
      <c r="Z8" s="65"/>
      <c r="AA8" s="65"/>
      <c r="AB8" s="65"/>
      <c r="AC8" s="65"/>
      <c r="AD8" s="65"/>
      <c r="AE8" s="65"/>
      <c r="AF8" s="65"/>
      <c r="AG8" s="65"/>
      <c r="AH8" s="65"/>
      <c r="AI8" s="65"/>
      <c r="AJ8" s="65"/>
      <c r="AK8" s="65"/>
      <c r="AL8" s="65"/>
      <c r="AM8" s="65"/>
    </row>
    <row r="9" spans="1:39" s="17" customFormat="1" ht="23.85" customHeight="1" x14ac:dyDescent="0.25">
      <c r="A9" s="65"/>
      <c r="B9" s="65"/>
      <c r="C9" s="65"/>
      <c r="D9" s="65"/>
      <c r="E9" s="65"/>
      <c r="F9" s="65"/>
      <c r="G9" s="65"/>
      <c r="H9" s="65"/>
      <c r="I9" s="215"/>
      <c r="J9" s="215"/>
      <c r="K9" s="215"/>
      <c r="L9" s="215"/>
      <c r="M9" s="215"/>
      <c r="N9" s="215"/>
      <c r="O9" s="65"/>
      <c r="P9" s="65"/>
      <c r="Q9" s="65"/>
      <c r="R9" s="65"/>
      <c r="S9" s="65"/>
      <c r="T9" s="65"/>
      <c r="U9" s="65"/>
      <c r="V9" s="65"/>
      <c r="W9" s="65"/>
      <c r="X9" s="65"/>
      <c r="Y9" s="65"/>
      <c r="Z9" s="65"/>
      <c r="AA9" s="65"/>
      <c r="AB9" s="65"/>
      <c r="AC9" s="65"/>
      <c r="AD9" s="65"/>
      <c r="AE9" s="65"/>
      <c r="AF9" s="65"/>
      <c r="AG9" s="65"/>
      <c r="AH9" s="65"/>
      <c r="AI9" s="65"/>
      <c r="AJ9" s="65"/>
      <c r="AK9" s="65"/>
      <c r="AL9" s="65"/>
      <c r="AM9" s="65"/>
    </row>
    <row r="10" spans="1:39" ht="23.25" customHeight="1" thickBot="1" x14ac:dyDescent="0.3">
      <c r="A10" s="790" t="s">
        <v>235</v>
      </c>
      <c r="B10" s="791"/>
      <c r="C10" s="791"/>
      <c r="D10" s="791"/>
      <c r="E10" s="791"/>
      <c r="F10" s="791"/>
      <c r="G10" s="791"/>
      <c r="H10" s="791"/>
      <c r="I10" s="791"/>
      <c r="J10" s="791"/>
      <c r="K10" s="791"/>
      <c r="L10" s="791"/>
      <c r="M10" s="791"/>
      <c r="N10" s="791"/>
      <c r="O10" s="791"/>
      <c r="P10" s="791"/>
      <c r="Q10" s="791"/>
      <c r="R10" s="791"/>
      <c r="S10" s="791"/>
      <c r="T10" s="791"/>
      <c r="U10" s="791"/>
      <c r="V10" s="791"/>
      <c r="W10" s="791"/>
      <c r="X10" s="791"/>
      <c r="Y10" s="791"/>
      <c r="Z10" s="791"/>
      <c r="AA10" s="791"/>
      <c r="AB10" s="791"/>
      <c r="AC10" s="791"/>
      <c r="AD10" s="791"/>
      <c r="AE10" s="791"/>
      <c r="AF10" s="791"/>
      <c r="AG10" s="791"/>
      <c r="AH10" s="218"/>
      <c r="AI10" s="218"/>
      <c r="AJ10" s="218"/>
      <c r="AK10" s="218"/>
      <c r="AL10" s="218"/>
      <c r="AM10" s="358"/>
    </row>
    <row r="11" spans="1:39" ht="17.25" customHeight="1" thickTop="1" thickBot="1" x14ac:dyDescent="0.3">
      <c r="A11" s="948" t="s">
        <v>30</v>
      </c>
      <c r="B11" s="948" t="s">
        <v>31</v>
      </c>
      <c r="C11" s="950" t="s">
        <v>99</v>
      </c>
      <c r="D11" s="952" t="s">
        <v>139</v>
      </c>
      <c r="E11" s="953"/>
      <c r="F11" s="953"/>
      <c r="G11" s="954"/>
      <c r="H11" s="955" t="s">
        <v>239</v>
      </c>
      <c r="I11" s="956"/>
      <c r="J11" s="956"/>
      <c r="K11" s="956"/>
      <c r="L11" s="956"/>
      <c r="M11" s="956"/>
      <c r="N11" s="956"/>
      <c r="O11" s="956"/>
      <c r="P11" s="956"/>
      <c r="Q11" s="956"/>
      <c r="R11" s="956"/>
      <c r="S11" s="956"/>
      <c r="T11" s="956"/>
      <c r="U11" s="956"/>
      <c r="V11" s="956"/>
      <c r="W11" s="956"/>
      <c r="X11" s="956"/>
      <c r="Y11" s="956"/>
      <c r="Z11" s="956"/>
      <c r="AA11" s="956"/>
      <c r="AB11" s="956"/>
      <c r="AC11" s="956"/>
      <c r="AD11" s="956"/>
      <c r="AE11" s="956"/>
      <c r="AF11" s="957"/>
      <c r="AG11" s="526"/>
      <c r="AH11" s="526"/>
      <c r="AI11" s="526"/>
      <c r="AJ11" s="526"/>
      <c r="AK11" s="526"/>
      <c r="AL11" s="526"/>
      <c r="AM11" s="974" t="s">
        <v>240</v>
      </c>
    </row>
    <row r="12" spans="1:39" ht="38.25" customHeight="1" x14ac:dyDescent="0.25">
      <c r="A12" s="949"/>
      <c r="B12" s="949"/>
      <c r="C12" s="951"/>
      <c r="D12" s="525" t="s">
        <v>236</v>
      </c>
      <c r="E12" s="942" t="s">
        <v>237</v>
      </c>
      <c r="F12" s="942" t="s">
        <v>146</v>
      </c>
      <c r="G12" s="945" t="s">
        <v>147</v>
      </c>
      <c r="H12" s="964" t="s">
        <v>51</v>
      </c>
      <c r="I12" s="958" t="s">
        <v>241</v>
      </c>
      <c r="J12" s="959"/>
      <c r="K12" s="959"/>
      <c r="L12" s="959"/>
      <c r="M12" s="959"/>
      <c r="N12" s="960"/>
      <c r="O12" s="971" t="s">
        <v>242</v>
      </c>
      <c r="P12" s="959"/>
      <c r="Q12" s="959"/>
      <c r="R12" s="959"/>
      <c r="S12" s="959"/>
      <c r="T12" s="959"/>
      <c r="U12" s="958" t="s">
        <v>243</v>
      </c>
      <c r="V12" s="959"/>
      <c r="W12" s="959"/>
      <c r="X12" s="959"/>
      <c r="Y12" s="959"/>
      <c r="Z12" s="960"/>
      <c r="AA12" s="958" t="s">
        <v>244</v>
      </c>
      <c r="AB12" s="959"/>
      <c r="AC12" s="959"/>
      <c r="AD12" s="959"/>
      <c r="AE12" s="959"/>
      <c r="AF12" s="960"/>
      <c r="AG12" s="958" t="s">
        <v>135</v>
      </c>
      <c r="AH12" s="959"/>
      <c r="AI12" s="959"/>
      <c r="AJ12" s="959"/>
      <c r="AK12" s="959"/>
      <c r="AL12" s="960"/>
      <c r="AM12" s="975"/>
    </row>
    <row r="13" spans="1:39" ht="53.25" customHeight="1" thickBot="1" x14ac:dyDescent="0.3">
      <c r="A13" s="949"/>
      <c r="B13" s="949"/>
      <c r="C13" s="951"/>
      <c r="D13" s="525" t="s">
        <v>238</v>
      </c>
      <c r="E13" s="943"/>
      <c r="F13" s="944"/>
      <c r="G13" s="946"/>
      <c r="H13" s="965"/>
      <c r="I13" s="961"/>
      <c r="J13" s="962"/>
      <c r="K13" s="962"/>
      <c r="L13" s="962"/>
      <c r="M13" s="962"/>
      <c r="N13" s="963"/>
      <c r="O13" s="972"/>
      <c r="P13" s="967"/>
      <c r="Q13" s="967"/>
      <c r="R13" s="967"/>
      <c r="S13" s="967"/>
      <c r="T13" s="967"/>
      <c r="U13" s="966"/>
      <c r="V13" s="967"/>
      <c r="W13" s="967"/>
      <c r="X13" s="967"/>
      <c r="Y13" s="967"/>
      <c r="Z13" s="968"/>
      <c r="AA13" s="966"/>
      <c r="AB13" s="967"/>
      <c r="AC13" s="967"/>
      <c r="AD13" s="967"/>
      <c r="AE13" s="967"/>
      <c r="AF13" s="968"/>
      <c r="AG13" s="966"/>
      <c r="AH13" s="967"/>
      <c r="AI13" s="967"/>
      <c r="AJ13" s="967"/>
      <c r="AK13" s="967"/>
      <c r="AL13" s="968"/>
      <c r="AM13" s="975"/>
    </row>
    <row r="14" spans="1:39" ht="32.25" customHeight="1" thickTop="1" thickBot="1" x14ac:dyDescent="0.3">
      <c r="A14" s="970" t="str">
        <f>'Table 1-B  Context Analysis'!C6</f>
        <v>Borno</v>
      </c>
      <c r="B14" s="969" t="str">
        <f>'Table 1-B  Context Analysis'!C7</f>
        <v>Shani</v>
      </c>
      <c r="C14" s="973" t="str">
        <f>'Table 1-B  Context Analysis'!B17&amp;$D$1&amp;'Table 1-B  Context Analysis'!B18&amp;'Table 3 - Synthesis &amp; Classif'!$D$1&amp;'Table 1-B  Context Analysis'!B19</f>
        <v>NG 15 / LH2 / LH3</v>
      </c>
      <c r="D14" s="976">
        <f>'Table 2 -B -Outcome Analysis '!G34+'Table 2 -B -Outcome Analysis '!H34+'Table 2 -B -Outcome Analysis '!I34+'Table 2 -B -Outcome Analysis '!J34+'Table 2 -B -Outcome Analysis '!K34</f>
        <v>0</v>
      </c>
      <c r="E14" s="976">
        <f>'Table 2 -B -Outcome Analysis '!G49+'Table 2 -B -Outcome Analysis '!H49+'Table 2 -B -Outcome Analysis '!I49+'Table 2 -B -Outcome Analysis '!J49+'Table 2 -B -Outcome Analysis '!K49</f>
        <v>0</v>
      </c>
      <c r="F14" s="976">
        <f>'Table 2 -B -Outcome Analysis '!G68+'Table 2 -B -Outcome Analysis '!H68+'Table 2 -B -Outcome Analysis '!I68+'Table 2 -B -Outcome Analysis '!J68+'Table 2 -B -Outcome Analysis '!K68</f>
        <v>0</v>
      </c>
      <c r="G14" s="976">
        <f>'Table 2 -B -Outcome Analysis '!G84+'Table 2 -B -Outcome Analysis '!H84+'Table 2 -B -Outcome Analysis '!I84+'Table 2 -B -Outcome Analysis '!J84+'Table 2 -B -Outcome Analysis '!K84</f>
        <v>0</v>
      </c>
      <c r="H14" s="217"/>
      <c r="I14" s="333" t="s">
        <v>58</v>
      </c>
      <c r="J14" s="334" t="s">
        <v>59</v>
      </c>
      <c r="K14" s="335" t="s">
        <v>60</v>
      </c>
      <c r="L14" s="336" t="s">
        <v>61</v>
      </c>
      <c r="M14" s="336" t="s">
        <v>62</v>
      </c>
      <c r="N14" s="336" t="s">
        <v>63</v>
      </c>
      <c r="O14" s="333" t="s">
        <v>58</v>
      </c>
      <c r="P14" s="334" t="s">
        <v>59</v>
      </c>
      <c r="Q14" s="335" t="s">
        <v>60</v>
      </c>
      <c r="R14" s="336" t="s">
        <v>61</v>
      </c>
      <c r="S14" s="336" t="s">
        <v>62</v>
      </c>
      <c r="T14" s="336" t="s">
        <v>63</v>
      </c>
      <c r="U14" s="333" t="s">
        <v>58</v>
      </c>
      <c r="V14" s="334" t="s">
        <v>59</v>
      </c>
      <c r="W14" s="335" t="s">
        <v>60</v>
      </c>
      <c r="X14" s="336" t="s">
        <v>61</v>
      </c>
      <c r="Y14" s="336" t="s">
        <v>62</v>
      </c>
      <c r="Z14" s="336" t="s">
        <v>63</v>
      </c>
      <c r="AA14" s="333" t="s">
        <v>58</v>
      </c>
      <c r="AB14" s="334" t="s">
        <v>59</v>
      </c>
      <c r="AC14" s="335" t="s">
        <v>60</v>
      </c>
      <c r="AD14" s="336" t="s">
        <v>61</v>
      </c>
      <c r="AE14" s="336" t="s">
        <v>62</v>
      </c>
      <c r="AF14" s="336" t="s">
        <v>63</v>
      </c>
      <c r="AG14" s="333" t="s">
        <v>58</v>
      </c>
      <c r="AH14" s="334" t="s">
        <v>59</v>
      </c>
      <c r="AI14" s="335" t="s">
        <v>60</v>
      </c>
      <c r="AJ14" s="336" t="s">
        <v>61</v>
      </c>
      <c r="AK14" s="336" t="s">
        <v>62</v>
      </c>
      <c r="AL14" s="393" t="s">
        <v>63</v>
      </c>
      <c r="AM14" s="394"/>
    </row>
    <row r="15" spans="1:39" ht="16.5" thickBot="1" x14ac:dyDescent="0.3">
      <c r="A15" s="970"/>
      <c r="B15" s="969"/>
      <c r="C15" s="973"/>
      <c r="D15" s="977"/>
      <c r="E15" s="977"/>
      <c r="F15" s="977"/>
      <c r="G15" s="977"/>
      <c r="H15" s="527" t="s">
        <v>183</v>
      </c>
      <c r="I15" s="221">
        <f>IF($D$14&gt;0,0,'Table 2-A- FC Analysis'!D35)</f>
        <v>0</v>
      </c>
      <c r="J15" s="221">
        <f>IF($D$14&gt;0,0,'Table 2-A- FC Analysis'!E35)</f>
        <v>0</v>
      </c>
      <c r="K15" s="221" t="str">
        <f>IF($D$14&gt;0,0,'Table 2-A- FC Analysis'!F35)</f>
        <v>x</v>
      </c>
      <c r="L15" s="221">
        <f>IF($D$14&gt;0,0,'Table 2-A- FC Analysis'!G35)</f>
        <v>0</v>
      </c>
      <c r="M15" s="221">
        <f>IF($D$14&gt;0,0,'Table 2-A- FC Analysis'!H35)</f>
        <v>0</v>
      </c>
      <c r="N15" s="221">
        <f>IF($D$14&gt;0,0,'Table 2-A- FC Analysis'!I35)</f>
        <v>0</v>
      </c>
      <c r="O15" s="221">
        <f>IF($D$14&gt;0,0,'Table 2-A- FC Analysis'!D70)</f>
        <v>0</v>
      </c>
      <c r="P15" s="221">
        <f>IF($D$14&gt;0,0,'Table 2-A- FC Analysis'!E70)</f>
        <v>0</v>
      </c>
      <c r="Q15" s="221">
        <f>IF($D$14&gt;0,0,'Table 2-A- FC Analysis'!F70)</f>
        <v>0</v>
      </c>
      <c r="R15" s="221">
        <f>IF($D$14&gt;0,0,'Table 2-A- FC Analysis'!G70)</f>
        <v>0</v>
      </c>
      <c r="S15" s="221" t="str">
        <f>IF($D$14&gt;0,0,'Table 2-A- FC Analysis'!H70)</f>
        <v>x</v>
      </c>
      <c r="T15" s="221">
        <f>IF($D$14&gt;0,0,'Table 2-A- FC Analysis'!I70)</f>
        <v>0</v>
      </c>
      <c r="U15" s="221">
        <f>IF($D$14&gt;0,0,'Table 2-A- FC Analysis'!D102)</f>
        <v>0</v>
      </c>
      <c r="V15" s="221">
        <f>IF($D$14&gt;0,0,'Table 2-A- FC Analysis'!E102)</f>
        <v>0</v>
      </c>
      <c r="W15" s="221">
        <f>IF($D$14&gt;0,0,'Table 2-A- FC Analysis'!F102)</f>
        <v>0</v>
      </c>
      <c r="X15" s="221">
        <f>IF($D$14&gt;0,0,'Table 2-A- FC Analysis'!G102)</f>
        <v>0</v>
      </c>
      <c r="Y15" s="221" t="str">
        <f>IF($D$14&gt;0,0,'Table 2-A- FC Analysis'!H102)</f>
        <v>x</v>
      </c>
      <c r="Z15" s="221">
        <f>IF($D$14&gt;0,0,'Table 2-A- FC Analysis'!I102)</f>
        <v>0</v>
      </c>
      <c r="AA15" s="221">
        <f>IF($D$14&gt;0,0,'Table 2-A- FC Analysis'!D134)</f>
        <v>0</v>
      </c>
      <c r="AB15" s="221">
        <f>IF($D$14&gt;0,0,'Table 2-A- FC Analysis'!E134)</f>
        <v>0</v>
      </c>
      <c r="AC15" s="221">
        <f>IF($D$14&gt;0,0,'Table 2-A- FC Analysis'!F134)</f>
        <v>0</v>
      </c>
      <c r="AD15" s="221">
        <f>IF($D$14&gt;0,0,'Table 2-A- FC Analysis'!G134)</f>
        <v>0</v>
      </c>
      <c r="AE15" s="221" t="str">
        <f>IF($D$14&gt;0,0,'Table 2-A- FC Analysis'!H134)</f>
        <v>x</v>
      </c>
      <c r="AF15" s="221">
        <f>IF($D$14&gt;0,0,'Table 2-A- FC Analysis'!I134)</f>
        <v>0</v>
      </c>
      <c r="AG15" s="221">
        <f>IF($D$14&gt;0,0,'Table 2-A- FC Analysis'!D166)</f>
        <v>0</v>
      </c>
      <c r="AH15" s="221">
        <f>IF($D$14&gt;0,0,'Table 2-A- FC Analysis'!E166)</f>
        <v>0</v>
      </c>
      <c r="AI15" s="221" t="str">
        <f>IF($D$14&gt;0,0,'Table 2-A- FC Analysis'!F166)</f>
        <v>x</v>
      </c>
      <c r="AJ15" s="221">
        <f>IF($D$14&gt;0,0,'Table 2-A- FC Analysis'!G166)</f>
        <v>0</v>
      </c>
      <c r="AK15" s="221">
        <f>IF($D$14&gt;0,0,'Table 2-A- FC Analysis'!H166)</f>
        <v>0</v>
      </c>
      <c r="AL15" s="221">
        <f>IF($D$14&gt;0,0,'Table 2-A- FC Analysis'!I166)</f>
        <v>0</v>
      </c>
      <c r="AM15" s="996"/>
    </row>
    <row r="16" spans="1:39" ht="16.5" thickBot="1" x14ac:dyDescent="0.3">
      <c r="A16" s="970"/>
      <c r="B16" s="969"/>
      <c r="C16" s="973"/>
      <c r="D16" s="977"/>
      <c r="E16" s="977"/>
      <c r="F16" s="977"/>
      <c r="G16" s="977"/>
      <c r="H16" s="527" t="s">
        <v>184</v>
      </c>
      <c r="I16" s="221">
        <f>IF($E$14&gt;0,0,'Table 2-A- FC Analysis'!D36)</f>
        <v>0</v>
      </c>
      <c r="J16" s="221">
        <f>IF($E$14&gt;0,0,'Table 2-A- FC Analysis'!E36)</f>
        <v>0</v>
      </c>
      <c r="K16" s="221" t="str">
        <f>IF($E$14&gt;0,0,'Table 2-A- FC Analysis'!F36)</f>
        <v>x</v>
      </c>
      <c r="L16" s="221">
        <f>IF($E$14&gt;0,0,'Table 2-A- FC Analysis'!G36)</f>
        <v>0</v>
      </c>
      <c r="M16" s="221">
        <f>IF($E$14&gt;0,0,'Table 2-A- FC Analysis'!H36)</f>
        <v>0</v>
      </c>
      <c r="N16" s="221">
        <f>IF($E$14&gt;0,0,'Table 2-A- FC Analysis'!I36)</f>
        <v>0</v>
      </c>
      <c r="O16" s="221">
        <f>IF($E$14&gt;0,0,'Table 2-A- FC Analysis'!D71)</f>
        <v>0</v>
      </c>
      <c r="P16" s="221">
        <f>IF($E$14&gt;0,0,'Table 2-A- FC Analysis'!E71)</f>
        <v>0</v>
      </c>
      <c r="Q16" s="221">
        <f>IF($E$14&gt;0,0,'Table 2-A- FC Analysis'!F71)</f>
        <v>0</v>
      </c>
      <c r="R16" s="221">
        <f>IF($E$14&gt;0,0,'Table 2-A- FC Analysis'!G71)</f>
        <v>0</v>
      </c>
      <c r="S16" s="221" t="str">
        <f>IF($E$14&gt;0,0,'Table 2-A- FC Analysis'!H71)</f>
        <v>x</v>
      </c>
      <c r="T16" s="221">
        <f>IF($E$14&gt;0,0,'Table 2-A- FC Analysis'!I71)</f>
        <v>0</v>
      </c>
      <c r="U16" s="221">
        <f>IF($E$14&gt;0,0,'Table 2-A- FC Analysis'!D103)</f>
        <v>0</v>
      </c>
      <c r="V16" s="221">
        <f>IF($E$14&gt;0,0,'Table 2-A- FC Analysis'!E103)</f>
        <v>0</v>
      </c>
      <c r="W16" s="221">
        <f>IF($E$14&gt;0,0,'Table 2-A- FC Analysis'!F103)</f>
        <v>0</v>
      </c>
      <c r="X16" s="221">
        <f>IF($E$14&gt;0,0,'Table 2-A- FC Analysis'!G103)</f>
        <v>0</v>
      </c>
      <c r="Y16" s="221" t="str">
        <f>IF($E$14&gt;0,0,'Table 2-A- FC Analysis'!H103)</f>
        <v>x</v>
      </c>
      <c r="Z16" s="221">
        <f>IF($E$14&gt;0,0,'Table 2-A- FC Analysis'!I103)</f>
        <v>0</v>
      </c>
      <c r="AA16" s="221">
        <f>IF($E$14&gt;0,0,'Table 2-A- FC Analysis'!D135)</f>
        <v>0</v>
      </c>
      <c r="AB16" s="221">
        <f>IF($E$14&gt;0,0,'Table 2-A- FC Analysis'!E135)</f>
        <v>0</v>
      </c>
      <c r="AC16" s="221">
        <f>IF($E$14&gt;0,0,'Table 2-A- FC Analysis'!F135)</f>
        <v>0</v>
      </c>
      <c r="AD16" s="221">
        <f>IF($E$14&gt;0,0,'Table 2-A- FC Analysis'!G135)</f>
        <v>0</v>
      </c>
      <c r="AE16" s="221" t="str">
        <f>IF($E$14&gt;0,0,'Table 2-A- FC Analysis'!H135)</f>
        <v>x</v>
      </c>
      <c r="AF16" s="221">
        <f>IF($E$14&gt;0,0,'Table 2-A- FC Analysis'!I135)</f>
        <v>0</v>
      </c>
      <c r="AG16" s="221">
        <f>IF($E$14&gt;0,0,'Table 2-A- FC Analysis'!D167)</f>
        <v>0</v>
      </c>
      <c r="AH16" s="221">
        <f>IF($E$14&gt;0,0,'Table 2-A- FC Analysis'!E167)</f>
        <v>0</v>
      </c>
      <c r="AI16" s="221" t="str">
        <f>IF($E$14&gt;0,0,'Table 2-A- FC Analysis'!F167)</f>
        <v>x</v>
      </c>
      <c r="AJ16" s="221">
        <f>IF($E$14&gt;0,0,'Table 2-A- FC Analysis'!G167)</f>
        <v>0</v>
      </c>
      <c r="AK16" s="221">
        <f>IF($E$14&gt;0,0,'Table 2-A- FC Analysis'!H167)</f>
        <v>0</v>
      </c>
      <c r="AL16" s="221">
        <f>IF($E$14&gt;0,0,'Table 2-A- FC Analysis'!I167)</f>
        <v>0</v>
      </c>
      <c r="AM16" s="996"/>
    </row>
    <row r="17" spans="1:39" ht="16.5" thickBot="1" x14ac:dyDescent="0.3">
      <c r="A17" s="970"/>
      <c r="B17" s="969"/>
      <c r="C17" s="973"/>
      <c r="D17" s="977"/>
      <c r="E17" s="977"/>
      <c r="F17" s="977"/>
      <c r="G17" s="977"/>
      <c r="H17" s="527" t="s">
        <v>15</v>
      </c>
      <c r="I17" s="221">
        <f>IF($F$14&gt;0,0,'Table 2-A- FC Analysis'!D37)</f>
        <v>0</v>
      </c>
      <c r="J17" s="221">
        <f>IF($F$14&gt;0,0,'Table 2-A- FC Analysis'!E37)</f>
        <v>0</v>
      </c>
      <c r="K17" s="221" t="str">
        <f>IF($F$14&gt;0,0,'Table 2-A- FC Analysis'!F37)</f>
        <v>x</v>
      </c>
      <c r="L17" s="221">
        <f>IF($F$14&gt;0,0,'Table 2-A- FC Analysis'!G37)</f>
        <v>0</v>
      </c>
      <c r="M17" s="221">
        <f>IF($F$14&gt;0,0,'Table 2-A- FC Analysis'!H37)</f>
        <v>0</v>
      </c>
      <c r="N17" s="221">
        <f>IF($F$14&gt;0,0,'Table 2-A- FC Analysis'!I37)</f>
        <v>0</v>
      </c>
      <c r="O17" s="221">
        <f>IF($F$14&gt;0,0,'Table 2-A- FC Analysis'!D72)</f>
        <v>0</v>
      </c>
      <c r="P17" s="221">
        <f>IF($F$14&gt;0,0,'Table 2-A- FC Analysis'!E72)</f>
        <v>0</v>
      </c>
      <c r="Q17" s="221">
        <f>IF($F$14&gt;0,0,'Table 2-A- FC Analysis'!F72)</f>
        <v>0</v>
      </c>
      <c r="R17" s="221">
        <f>IF($F$14&gt;0,0,'Table 2-A- FC Analysis'!G72)</f>
        <v>0</v>
      </c>
      <c r="S17" s="221" t="str">
        <f>IF($F$14&gt;0,0,'Table 2-A- FC Analysis'!H72)</f>
        <v>x</v>
      </c>
      <c r="T17" s="221">
        <f>IF($F$14&gt;0,0,'Table 2-A- FC Analysis'!I72)</f>
        <v>0</v>
      </c>
      <c r="U17" s="221">
        <f>IF($F$14&gt;0,0,'Table 2-A- FC Analysis'!D104)</f>
        <v>0</v>
      </c>
      <c r="V17" s="221">
        <f>IF($F$14&gt;0,0,'Table 2-A- FC Analysis'!E104)</f>
        <v>0</v>
      </c>
      <c r="W17" s="221">
        <f>IF($F$14&gt;0,0,'Table 2-A- FC Analysis'!F104)</f>
        <v>0</v>
      </c>
      <c r="X17" s="221">
        <f>IF($F$14&gt;0,0,'Table 2-A- FC Analysis'!G104)</f>
        <v>0</v>
      </c>
      <c r="Y17" s="221" t="str">
        <f>IF($F$14&gt;0,0,'Table 2-A- FC Analysis'!H104)</f>
        <v>x</v>
      </c>
      <c r="Z17" s="221">
        <f>IF($F$14&gt;0,0,'Table 2-A- FC Analysis'!I104)</f>
        <v>0</v>
      </c>
      <c r="AA17" s="221">
        <f>IF($F$14&gt;0,0,'Table 2-A- FC Analysis'!D136)</f>
        <v>0</v>
      </c>
      <c r="AB17" s="221">
        <f>IF($F$14&gt;0,0,'Table 2-A- FC Analysis'!E136)</f>
        <v>0</v>
      </c>
      <c r="AC17" s="221">
        <f>IF($F$14&gt;0,0,'Table 2-A- FC Analysis'!F136)</f>
        <v>0</v>
      </c>
      <c r="AD17" s="221">
        <f>IF($F$14&gt;0,0,'Table 2-A- FC Analysis'!G136)</f>
        <v>0</v>
      </c>
      <c r="AE17" s="221" t="str">
        <f>IF($F$14&gt;0,0,'Table 2-A- FC Analysis'!H136)</f>
        <v>x</v>
      </c>
      <c r="AF17" s="221">
        <f>IF($F$14&gt;0,0,'Table 2-A- FC Analysis'!I136)</f>
        <v>0</v>
      </c>
      <c r="AG17" s="221">
        <f>IF($F$14&gt;0,0,'Table 2-A- FC Analysis'!D168)</f>
        <v>0</v>
      </c>
      <c r="AH17" s="221">
        <f>IF($F$14&gt;0,0,'Table 2-A- FC Analysis'!E168)</f>
        <v>0</v>
      </c>
      <c r="AI17" s="221" t="str">
        <f>IF($F$14&gt;0,0,'Table 2-A- FC Analysis'!F168)</f>
        <v>x</v>
      </c>
      <c r="AJ17" s="221">
        <f>IF($F$14&gt;0,0,'Table 2-A- FC Analysis'!G168)</f>
        <v>0</v>
      </c>
      <c r="AK17" s="221">
        <f>IF($F$14&gt;0,0,'Table 2-A- FC Analysis'!H168)</f>
        <v>0</v>
      </c>
      <c r="AL17" s="221">
        <f>IF($F$14&gt;0,0,'Table 2-A- FC Analysis'!I168)</f>
        <v>0</v>
      </c>
      <c r="AM17" s="996"/>
    </row>
    <row r="18" spans="1:39" ht="16.5" thickBot="1" x14ac:dyDescent="0.3">
      <c r="A18" s="970"/>
      <c r="B18" s="969"/>
      <c r="C18" s="973"/>
      <c r="D18" s="978"/>
      <c r="E18" s="978"/>
      <c r="F18" s="978"/>
      <c r="G18" s="978"/>
      <c r="H18" s="527" t="s">
        <v>16</v>
      </c>
      <c r="I18" s="221">
        <f>IF($G$14&gt;0,0,'Table 2-A- FC Analysis'!D38)</f>
        <v>0</v>
      </c>
      <c r="J18" s="221">
        <f>IF($G$14&gt;0,0,'Table 2-A- FC Analysis'!E38)</f>
        <v>0</v>
      </c>
      <c r="K18" s="221" t="str">
        <f>IF($G$14&gt;0,0,'Table 2-A- FC Analysis'!F38)</f>
        <v>x</v>
      </c>
      <c r="L18" s="221">
        <f>IF($G$14&gt;0,0,'Table 2-A- FC Analysis'!G38)</f>
        <v>0</v>
      </c>
      <c r="M18" s="221">
        <f>IF($G$14&gt;0,0,'Table 2-A- FC Analysis'!H38)</f>
        <v>0</v>
      </c>
      <c r="N18" s="221">
        <f>IF($G$14&gt;0,0,'Table 2-A- FC Analysis'!I38)</f>
        <v>0</v>
      </c>
      <c r="O18" s="221">
        <f>IF($G$14&gt;0,0,'Table 2-A- FC Analysis'!D73)</f>
        <v>0</v>
      </c>
      <c r="P18" s="221">
        <f>IF($G$14&gt;0,0,'Table 2-A- FC Analysis'!E73)</f>
        <v>0</v>
      </c>
      <c r="Q18" s="221">
        <f>IF($G$14&gt;0,0,'Table 2-A- FC Analysis'!F73)</f>
        <v>0</v>
      </c>
      <c r="R18" s="221">
        <f>IF($G$14&gt;0,0,'Table 2-A- FC Analysis'!G73)</f>
        <v>0</v>
      </c>
      <c r="S18" s="221" t="str">
        <f>IF($G$14&gt;0,0,'Table 2-A- FC Analysis'!H73)</f>
        <v>x</v>
      </c>
      <c r="T18" s="221">
        <f>IF($G$14&gt;0,0,'Table 2-A- FC Analysis'!I73)</f>
        <v>0</v>
      </c>
      <c r="U18" s="221">
        <f>IF($G$14&gt;0,0,'Table 2-A- FC Analysis'!D105)</f>
        <v>0</v>
      </c>
      <c r="V18" s="221">
        <f>IF($G$14&gt;0,0,'Table 2-A- FC Analysis'!E105)</f>
        <v>0</v>
      </c>
      <c r="W18" s="221">
        <f>IF($G$14&gt;0,0,'Table 2-A- FC Analysis'!F105)</f>
        <v>0</v>
      </c>
      <c r="X18" s="221">
        <f>IF($G$14&gt;0,0,'Table 2-A- FC Analysis'!G105)</f>
        <v>0</v>
      </c>
      <c r="Y18" s="221" t="str">
        <f>IF($G$14&gt;0,0,'Table 2-A- FC Analysis'!H105)</f>
        <v>x</v>
      </c>
      <c r="Z18" s="221">
        <f>IF($G$14&gt;0,0,'Table 2-A- FC Analysis'!I105)</f>
        <v>0</v>
      </c>
      <c r="AA18" s="221">
        <f>IF($G$14&gt;0,0,'Table 2-A- FC Analysis'!D137)</f>
        <v>0</v>
      </c>
      <c r="AB18" s="221">
        <f>IF($G$14&gt;0,0,'Table 2-A- FC Analysis'!E137)</f>
        <v>0</v>
      </c>
      <c r="AC18" s="221">
        <f>IF($G$14&gt;0,0,'Table 2-A- FC Analysis'!F137)</f>
        <v>0</v>
      </c>
      <c r="AD18" s="221">
        <f>IF($G$14&gt;0,0,'Table 2-A- FC Analysis'!G137)</f>
        <v>0</v>
      </c>
      <c r="AE18" s="221" t="str">
        <f>IF($G$14&gt;0,0,'Table 2-A- FC Analysis'!H137)</f>
        <v>x</v>
      </c>
      <c r="AF18" s="221">
        <f>IF($G$14&gt;0,0,'Table 2-A- FC Analysis'!I137)</f>
        <v>0</v>
      </c>
      <c r="AG18" s="221">
        <f>IF($G$14&gt;0,0,'Table 2-A- FC Analysis'!D169)</f>
        <v>0</v>
      </c>
      <c r="AH18" s="221">
        <f>IF($G$14&gt;0,0,'Table 2-A- FC Analysis'!E169)</f>
        <v>0</v>
      </c>
      <c r="AI18" s="221" t="str">
        <f>IF($G$14&gt;0,0,'Table 2-A- FC Analysis'!F169)</f>
        <v>x</v>
      </c>
      <c r="AJ18" s="221">
        <f>IF($G$14&gt;0,0,'Table 2-A- FC Analysis'!G169)</f>
        <v>0</v>
      </c>
      <c r="AK18" s="221">
        <f>IF($G$14&gt;0,0,'Table 2-A- FC Analysis'!H169)</f>
        <v>0</v>
      </c>
      <c r="AL18" s="221">
        <f>IF($G$14&gt;0,0,'Table 2-A- FC Analysis'!I169)</f>
        <v>0</v>
      </c>
      <c r="AM18" s="997"/>
    </row>
    <row r="21" spans="1:39" ht="23.25" x14ac:dyDescent="0.25">
      <c r="A21" s="658" t="s">
        <v>245</v>
      </c>
      <c r="B21" s="658"/>
      <c r="C21" s="658"/>
      <c r="D21" s="658"/>
      <c r="E21" s="658"/>
      <c r="F21" s="658"/>
      <c r="G21" s="658"/>
      <c r="H21" s="658"/>
      <c r="I21" s="658"/>
      <c r="J21" s="658"/>
      <c r="K21" s="658"/>
      <c r="L21" s="658"/>
      <c r="M21" s="658"/>
      <c r="N21" s="658"/>
      <c r="O21" s="658"/>
      <c r="P21" s="658"/>
      <c r="Q21" s="658"/>
      <c r="R21" s="658"/>
      <c r="S21" s="658"/>
      <c r="T21" s="658"/>
      <c r="U21" s="658"/>
      <c r="V21" s="658"/>
      <c r="W21" s="658"/>
      <c r="X21" s="658"/>
      <c r="Y21" s="658"/>
      <c r="Z21" s="658"/>
      <c r="AA21" s="658"/>
      <c r="AB21" s="658"/>
      <c r="AC21" s="658"/>
      <c r="AD21" s="658"/>
      <c r="AE21" s="658"/>
      <c r="AF21" s="658"/>
      <c r="AG21" s="658"/>
      <c r="AH21" s="658"/>
      <c r="AI21" s="658"/>
      <c r="AJ21" s="658"/>
      <c r="AK21" s="658"/>
      <c r="AL21" s="658"/>
      <c r="AM21" s="658"/>
    </row>
    <row r="22" spans="1:39" x14ac:dyDescent="0.25">
      <c r="A22" s="985"/>
      <c r="B22" s="986"/>
      <c r="C22" s="986"/>
      <c r="D22" s="986"/>
      <c r="E22" s="986"/>
      <c r="F22" s="986"/>
      <c r="G22" s="986"/>
      <c r="H22" s="986"/>
      <c r="I22" s="986"/>
      <c r="J22" s="986"/>
      <c r="K22" s="986"/>
      <c r="L22" s="986"/>
      <c r="M22" s="986"/>
      <c r="N22" s="986"/>
      <c r="O22" s="986"/>
      <c r="P22" s="986"/>
      <c r="Q22" s="986"/>
      <c r="R22" s="986"/>
      <c r="S22" s="986"/>
      <c r="T22" s="986"/>
      <c r="U22" s="986"/>
      <c r="V22" s="986"/>
      <c r="W22" s="986"/>
      <c r="X22" s="986"/>
      <c r="Y22" s="986"/>
      <c r="Z22" s="986"/>
      <c r="AA22" s="986"/>
      <c r="AB22" s="986"/>
      <c r="AC22" s="986"/>
      <c r="AD22" s="986"/>
      <c r="AE22" s="986"/>
      <c r="AF22" s="986"/>
      <c r="AG22" s="986"/>
      <c r="AH22" s="986"/>
      <c r="AI22" s="986"/>
      <c r="AJ22" s="986"/>
      <c r="AK22" s="986"/>
      <c r="AL22" s="986"/>
      <c r="AM22" s="987"/>
    </row>
    <row r="23" spans="1:39" ht="100.5" customHeight="1" x14ac:dyDescent="0.25">
      <c r="A23" s="988"/>
      <c r="B23" s="989"/>
      <c r="C23" s="989"/>
      <c r="D23" s="989"/>
      <c r="E23" s="989"/>
      <c r="F23" s="989"/>
      <c r="G23" s="989"/>
      <c r="H23" s="989"/>
      <c r="I23" s="989"/>
      <c r="J23" s="989"/>
      <c r="K23" s="989"/>
      <c r="L23" s="989"/>
      <c r="M23" s="989"/>
      <c r="N23" s="989"/>
      <c r="O23" s="989"/>
      <c r="P23" s="989"/>
      <c r="Q23" s="989"/>
      <c r="R23" s="989"/>
      <c r="S23" s="989"/>
      <c r="T23" s="989"/>
      <c r="U23" s="989"/>
      <c r="V23" s="989"/>
      <c r="W23" s="989"/>
      <c r="X23" s="989"/>
      <c r="Y23" s="989"/>
      <c r="Z23" s="989"/>
      <c r="AA23" s="989"/>
      <c r="AB23" s="989"/>
      <c r="AC23" s="989"/>
      <c r="AD23" s="989"/>
      <c r="AE23" s="989"/>
      <c r="AF23" s="989"/>
      <c r="AG23" s="989"/>
      <c r="AH23" s="989"/>
      <c r="AI23" s="989"/>
      <c r="AJ23" s="989"/>
      <c r="AK23" s="989"/>
      <c r="AL23" s="989"/>
      <c r="AM23" s="990"/>
    </row>
    <row r="28" spans="1:39" s="17" customFormat="1" ht="23.25" x14ac:dyDescent="0.25">
      <c r="A28" s="658" t="s">
        <v>233</v>
      </c>
      <c r="B28" s="658"/>
      <c r="C28" s="658"/>
      <c r="D28" s="658"/>
      <c r="E28" s="658"/>
      <c r="F28" s="658"/>
      <c r="G28" s="658"/>
      <c r="H28" s="658"/>
      <c r="I28" s="658"/>
      <c r="J28" s="658"/>
      <c r="K28" s="658"/>
      <c r="L28" s="658"/>
      <c r="M28" s="658"/>
      <c r="N28" s="658"/>
      <c r="O28" s="658"/>
      <c r="P28" s="119"/>
      <c r="Q28" s="119"/>
      <c r="R28" s="119"/>
      <c r="S28" s="119"/>
      <c r="T28" s="119"/>
      <c r="U28" s="65"/>
      <c r="V28" s="65"/>
      <c r="W28" s="65"/>
      <c r="X28" s="65"/>
      <c r="Y28" s="65"/>
      <c r="Z28" s="65"/>
      <c r="AA28" s="65"/>
      <c r="AB28" s="65"/>
      <c r="AC28" s="65"/>
      <c r="AD28" s="65"/>
      <c r="AE28" s="65"/>
      <c r="AF28" s="65"/>
      <c r="AG28" s="65"/>
      <c r="AH28" s="65"/>
      <c r="AI28" s="65"/>
      <c r="AJ28" s="65"/>
      <c r="AK28" s="65"/>
      <c r="AL28" s="65"/>
      <c r="AM28" s="65"/>
    </row>
    <row r="29" spans="1:39" s="17" customFormat="1" x14ac:dyDescent="0.25">
      <c r="A29" s="65"/>
      <c r="B29" s="65"/>
      <c r="C29" s="65"/>
      <c r="D29" s="65"/>
      <c r="E29" s="65"/>
      <c r="F29" s="65"/>
      <c r="G29" s="65"/>
      <c r="H29" s="65"/>
      <c r="I29" s="215"/>
      <c r="J29" s="215"/>
      <c r="K29" s="215"/>
      <c r="L29" s="215"/>
      <c r="M29" s="215"/>
      <c r="N29" s="21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row>
    <row r="30" spans="1:39" s="17" customFormat="1" ht="15.75" x14ac:dyDescent="0.25">
      <c r="A30" s="485" t="s">
        <v>72</v>
      </c>
      <c r="B30" s="66"/>
      <c r="C30" s="219" t="str">
        <f>'Table 1-B  Context Analysis'!$C$5</f>
        <v xml:space="preserve"> Nigeria</v>
      </c>
      <c r="D30" s="65"/>
      <c r="E30" s="67"/>
      <c r="F30" s="67"/>
      <c r="G30" s="67"/>
      <c r="H30" s="67"/>
      <c r="I30" s="216"/>
      <c r="J30" s="216"/>
      <c r="K30" s="216"/>
      <c r="L30" s="216"/>
      <c r="M30" s="216"/>
      <c r="N30" s="216"/>
      <c r="O30" s="67"/>
      <c r="P30" s="67"/>
      <c r="Q30" s="67"/>
      <c r="R30" s="67"/>
      <c r="S30" s="67"/>
      <c r="T30" s="67"/>
      <c r="U30" s="65"/>
      <c r="V30" s="65"/>
      <c r="W30" s="65"/>
      <c r="X30" s="65"/>
      <c r="Y30" s="65"/>
      <c r="Z30" s="65"/>
      <c r="AA30" s="65"/>
      <c r="AB30" s="65"/>
      <c r="AC30" s="65"/>
      <c r="AD30" s="65"/>
      <c r="AE30" s="65"/>
      <c r="AF30" s="65"/>
      <c r="AG30" s="65"/>
      <c r="AH30" s="65"/>
      <c r="AI30" s="65"/>
      <c r="AJ30" s="65"/>
      <c r="AK30" s="65"/>
      <c r="AL30" s="65"/>
      <c r="AM30" s="65"/>
    </row>
    <row r="31" spans="1:39" s="17" customFormat="1" ht="15.75" x14ac:dyDescent="0.25">
      <c r="A31" s="486" t="s">
        <v>80</v>
      </c>
      <c r="B31" s="66"/>
      <c r="C31" s="176" t="str">
        <f>'Table 1-B  Context Analysis'!$C$6</f>
        <v>Borno</v>
      </c>
      <c r="D31" s="65"/>
      <c r="E31" s="67"/>
      <c r="F31" s="67"/>
      <c r="G31" s="67"/>
      <c r="H31" s="67"/>
      <c r="I31" s="216"/>
      <c r="J31" s="216"/>
      <c r="K31" s="216"/>
      <c r="L31" s="216"/>
      <c r="M31" s="216"/>
      <c r="N31" s="216"/>
      <c r="O31" s="67"/>
      <c r="P31" s="67"/>
      <c r="Q31" s="67"/>
      <c r="R31" s="67"/>
      <c r="S31" s="67"/>
      <c r="T31" s="67"/>
      <c r="U31" s="65"/>
      <c r="V31" s="65"/>
      <c r="W31" s="65"/>
      <c r="X31" s="65"/>
      <c r="Y31" s="65"/>
      <c r="Z31" s="65"/>
      <c r="AA31" s="65"/>
      <c r="AB31" s="65"/>
      <c r="AC31" s="65"/>
      <c r="AD31" s="65"/>
      <c r="AE31" s="65"/>
      <c r="AF31" s="65"/>
      <c r="AG31" s="65"/>
      <c r="AH31" s="65"/>
      <c r="AI31" s="65"/>
      <c r="AJ31" s="65"/>
      <c r="AK31" s="65"/>
      <c r="AL31" s="65"/>
      <c r="AM31" s="65"/>
    </row>
    <row r="32" spans="1:39" s="17" customFormat="1" ht="15.75" x14ac:dyDescent="0.25">
      <c r="A32" s="486" t="s">
        <v>81</v>
      </c>
      <c r="B32" s="66"/>
      <c r="C32" s="176" t="str">
        <f>'Table 1-B  Context Analysis'!$C$7</f>
        <v>Shani</v>
      </c>
      <c r="D32" s="65"/>
      <c r="E32" s="67"/>
      <c r="F32" s="67"/>
      <c r="G32" s="67"/>
      <c r="H32" s="67"/>
      <c r="I32" s="216"/>
      <c r="J32" s="216"/>
      <c r="K32" s="216"/>
      <c r="L32" s="216"/>
      <c r="M32" s="216"/>
      <c r="N32" s="216"/>
      <c r="O32" s="67"/>
      <c r="P32" s="67"/>
      <c r="Q32" s="67"/>
      <c r="R32" s="67"/>
      <c r="S32" s="67"/>
      <c r="T32" s="67"/>
      <c r="U32" s="65"/>
      <c r="V32" s="65"/>
      <c r="W32" s="65"/>
      <c r="X32" s="65"/>
      <c r="Y32" s="65"/>
      <c r="Z32" s="65"/>
      <c r="AA32" s="65"/>
      <c r="AB32" s="65"/>
      <c r="AC32" s="65"/>
      <c r="AD32" s="65"/>
      <c r="AE32" s="65"/>
      <c r="AF32" s="65"/>
      <c r="AG32" s="65"/>
      <c r="AH32" s="65"/>
      <c r="AI32" s="65"/>
      <c r="AJ32" s="65"/>
      <c r="AK32" s="65"/>
      <c r="AL32" s="65"/>
      <c r="AM32" s="65"/>
    </row>
    <row r="33" spans="1:39" s="17" customFormat="1" x14ac:dyDescent="0.25">
      <c r="A33" s="523" t="s">
        <v>123</v>
      </c>
      <c r="B33" s="66"/>
      <c r="C33" s="947" t="str">
        <f>'Table 1-B  Context Analysis'!$C$9</f>
        <v xml:space="preserve"> oct-19</v>
      </c>
      <c r="D33" s="941"/>
      <c r="E33" s="67"/>
      <c r="F33" s="67"/>
      <c r="G33" s="67"/>
      <c r="H33" s="67"/>
      <c r="I33" s="216"/>
      <c r="J33" s="216"/>
      <c r="K33" s="216"/>
      <c r="L33" s="216"/>
      <c r="M33" s="216"/>
      <c r="N33" s="216"/>
      <c r="O33" s="67"/>
      <c r="P33" s="67"/>
      <c r="Q33" s="67"/>
      <c r="R33" s="67"/>
      <c r="S33" s="67"/>
      <c r="T33" s="67"/>
      <c r="U33" s="65"/>
      <c r="V33" s="65"/>
      <c r="W33" s="65"/>
      <c r="X33" s="65"/>
      <c r="Y33" s="65"/>
      <c r="Z33" s="65"/>
      <c r="AA33" s="65"/>
      <c r="AB33" s="65"/>
      <c r="AC33" s="65"/>
      <c r="AD33" s="65"/>
      <c r="AE33" s="65"/>
      <c r="AF33" s="65"/>
      <c r="AG33" s="65"/>
      <c r="AH33" s="65"/>
      <c r="AI33" s="65"/>
      <c r="AJ33" s="65"/>
      <c r="AK33" s="65"/>
      <c r="AL33" s="65"/>
      <c r="AM33" s="65"/>
    </row>
    <row r="34" spans="1:39" s="17" customFormat="1" ht="23.85" customHeight="1" x14ac:dyDescent="0.25">
      <c r="A34" s="524" t="s">
        <v>246</v>
      </c>
      <c r="B34" s="65"/>
      <c r="C34" s="940">
        <f>'Table 1-B  Context Analysis'!$N$2</f>
        <v>0</v>
      </c>
      <c r="D34" s="941"/>
      <c r="E34" s="65"/>
      <c r="F34" s="65"/>
      <c r="G34" s="65"/>
      <c r="H34" s="65"/>
      <c r="I34" s="215"/>
      <c r="J34" s="215"/>
      <c r="K34" s="215"/>
      <c r="L34" s="215"/>
      <c r="M34" s="215"/>
      <c r="N34" s="21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row>
    <row r="35" spans="1:39" ht="23.25" customHeight="1" thickBot="1" x14ac:dyDescent="0.3">
      <c r="A35" s="790" t="s">
        <v>52</v>
      </c>
      <c r="B35" s="791"/>
      <c r="C35" s="791"/>
      <c r="D35" s="791"/>
      <c r="E35" s="791"/>
      <c r="F35" s="791"/>
      <c r="G35" s="791"/>
      <c r="H35" s="791"/>
      <c r="I35" s="791"/>
      <c r="J35" s="791"/>
      <c r="K35" s="791"/>
      <c r="L35" s="791"/>
      <c r="M35" s="791"/>
      <c r="N35" s="791"/>
      <c r="O35" s="791"/>
      <c r="P35" s="791"/>
      <c r="Q35" s="791"/>
      <c r="R35" s="791"/>
      <c r="S35" s="791"/>
      <c r="T35" s="791"/>
      <c r="U35" s="791"/>
      <c r="V35" s="791"/>
      <c r="W35" s="791"/>
      <c r="X35" s="791"/>
      <c r="Y35" s="791"/>
      <c r="Z35" s="791"/>
      <c r="AA35" s="791"/>
      <c r="AB35" s="791"/>
      <c r="AC35" s="791"/>
      <c r="AD35" s="791"/>
      <c r="AE35" s="791"/>
      <c r="AF35" s="791"/>
      <c r="AG35" s="791"/>
      <c r="AH35" s="218"/>
      <c r="AI35" s="218"/>
      <c r="AJ35" s="218"/>
      <c r="AK35" s="218"/>
      <c r="AL35" s="218"/>
      <c r="AM35" s="358"/>
    </row>
    <row r="36" spans="1:39" ht="17.25" customHeight="1" thickTop="1" thickBot="1" x14ac:dyDescent="0.3">
      <c r="A36" s="991" t="s">
        <v>30</v>
      </c>
      <c r="B36" s="993" t="s">
        <v>31</v>
      </c>
      <c r="C36" s="950" t="s">
        <v>99</v>
      </c>
      <c r="D36" s="952" t="s">
        <v>139</v>
      </c>
      <c r="E36" s="953"/>
      <c r="F36" s="953"/>
      <c r="G36" s="954"/>
      <c r="H36" s="955" t="s">
        <v>239</v>
      </c>
      <c r="I36" s="956"/>
      <c r="J36" s="956"/>
      <c r="K36" s="956"/>
      <c r="L36" s="956"/>
      <c r="M36" s="956"/>
      <c r="N36" s="956"/>
      <c r="O36" s="956"/>
      <c r="P36" s="956"/>
      <c r="Q36" s="956"/>
      <c r="R36" s="956"/>
      <c r="S36" s="956"/>
      <c r="T36" s="956"/>
      <c r="U36" s="956"/>
      <c r="V36" s="956"/>
      <c r="W36" s="956"/>
      <c r="X36" s="956"/>
      <c r="Y36" s="956"/>
      <c r="Z36" s="956"/>
      <c r="AA36" s="956"/>
      <c r="AB36" s="956"/>
      <c r="AC36" s="956"/>
      <c r="AD36" s="956"/>
      <c r="AE36" s="956"/>
      <c r="AF36" s="957"/>
      <c r="AG36" s="526"/>
      <c r="AH36" s="526"/>
      <c r="AI36" s="526"/>
      <c r="AJ36" s="526"/>
      <c r="AK36" s="526"/>
      <c r="AL36" s="526"/>
      <c r="AM36" s="974" t="s">
        <v>240</v>
      </c>
    </row>
    <row r="37" spans="1:39" ht="38.25" customHeight="1" x14ac:dyDescent="0.25">
      <c r="A37" s="992"/>
      <c r="B37" s="994"/>
      <c r="C37" s="951"/>
      <c r="D37" s="525" t="s">
        <v>236</v>
      </c>
      <c r="E37" s="942" t="s">
        <v>237</v>
      </c>
      <c r="F37" s="942" t="s">
        <v>146</v>
      </c>
      <c r="G37" s="945" t="s">
        <v>147</v>
      </c>
      <c r="H37" s="998" t="s">
        <v>51</v>
      </c>
      <c r="I37" s="958" t="s">
        <v>241</v>
      </c>
      <c r="J37" s="959"/>
      <c r="K37" s="959"/>
      <c r="L37" s="959"/>
      <c r="M37" s="959"/>
      <c r="N37" s="960"/>
      <c r="O37" s="971" t="s">
        <v>242</v>
      </c>
      <c r="P37" s="959"/>
      <c r="Q37" s="959"/>
      <c r="R37" s="959"/>
      <c r="S37" s="959"/>
      <c r="T37" s="959"/>
      <c r="U37" s="958" t="s">
        <v>243</v>
      </c>
      <c r="V37" s="959"/>
      <c r="W37" s="959"/>
      <c r="X37" s="959"/>
      <c r="Y37" s="959"/>
      <c r="Z37" s="960"/>
      <c r="AA37" s="958" t="s">
        <v>244</v>
      </c>
      <c r="AB37" s="959"/>
      <c r="AC37" s="959"/>
      <c r="AD37" s="959"/>
      <c r="AE37" s="959"/>
      <c r="AF37" s="960"/>
      <c r="AG37" s="958" t="s">
        <v>135</v>
      </c>
      <c r="AH37" s="959"/>
      <c r="AI37" s="959"/>
      <c r="AJ37" s="959"/>
      <c r="AK37" s="959"/>
      <c r="AL37" s="960"/>
      <c r="AM37" s="975"/>
    </row>
    <row r="38" spans="1:39" ht="53.25" customHeight="1" thickBot="1" x14ac:dyDescent="0.3">
      <c r="A38" s="992"/>
      <c r="B38" s="994"/>
      <c r="C38" s="951"/>
      <c r="D38" s="525" t="s">
        <v>238</v>
      </c>
      <c r="E38" s="943"/>
      <c r="F38" s="944"/>
      <c r="G38" s="946"/>
      <c r="H38" s="999"/>
      <c r="I38" s="961"/>
      <c r="J38" s="962"/>
      <c r="K38" s="962"/>
      <c r="L38" s="962"/>
      <c r="M38" s="962"/>
      <c r="N38" s="963"/>
      <c r="O38" s="972"/>
      <c r="P38" s="967"/>
      <c r="Q38" s="967"/>
      <c r="R38" s="967"/>
      <c r="S38" s="967"/>
      <c r="T38" s="967"/>
      <c r="U38" s="966"/>
      <c r="V38" s="967"/>
      <c r="W38" s="967"/>
      <c r="X38" s="967"/>
      <c r="Y38" s="967"/>
      <c r="Z38" s="968"/>
      <c r="AA38" s="966"/>
      <c r="AB38" s="967"/>
      <c r="AC38" s="967"/>
      <c r="AD38" s="967"/>
      <c r="AE38" s="967"/>
      <c r="AF38" s="968"/>
      <c r="AG38" s="966"/>
      <c r="AH38" s="967"/>
      <c r="AI38" s="967"/>
      <c r="AJ38" s="967"/>
      <c r="AK38" s="967"/>
      <c r="AL38" s="968"/>
      <c r="AM38" s="975"/>
    </row>
    <row r="39" spans="1:39" ht="32.25" customHeight="1" thickTop="1" thickBot="1" x14ac:dyDescent="0.3">
      <c r="A39" s="970" t="str">
        <f>A14</f>
        <v>Borno</v>
      </c>
      <c r="B39" s="973" t="str">
        <f>B14</f>
        <v>Shani</v>
      </c>
      <c r="C39" s="973" t="str">
        <f>C14</f>
        <v>NG 15 / LH2 / LH3</v>
      </c>
      <c r="D39" s="976">
        <f>'Table 2 -B -Outcome Analysis '!O34+'Table 2 -B -Outcome Analysis '!S34+'Table 2 -B -Outcome Analysis '!T34+'Table 2 -B -Outcome Analysis '!U34+'Table 2 -B -Outcome Analysis '!V34</f>
        <v>0</v>
      </c>
      <c r="E39" s="976">
        <f>'Table 2 -B -Outcome Analysis '!O49+'Table 2 -B -Outcome Analysis '!S49+'Table 2 -B -Outcome Analysis '!T49+'Table 2 -B -Outcome Analysis '!U49+'Table 2 -B -Outcome Analysis '!V49</f>
        <v>0</v>
      </c>
      <c r="F39" s="976">
        <f>'Table 2 -B -Outcome Analysis '!O68+'Table 2 -B -Outcome Analysis '!S68+'Table 2 -B -Outcome Analysis '!T68+'Table 2 -B -Outcome Analysis '!U68+'Table 2 -B -Outcome Analysis '!V68</f>
        <v>0</v>
      </c>
      <c r="G39" s="976">
        <f>'Table 2 -B -Outcome Analysis '!O84+'Table 2 -B -Outcome Analysis '!S84+'Table 2 -B -Outcome Analysis '!T84+'Table 2 -B -Outcome Analysis '!U84+'Table 2 -B -Outcome Analysis '!V84</f>
        <v>0</v>
      </c>
      <c r="H39" s="223"/>
      <c r="I39" s="333" t="s">
        <v>58</v>
      </c>
      <c r="J39" s="334" t="s">
        <v>59</v>
      </c>
      <c r="K39" s="335" t="s">
        <v>60</v>
      </c>
      <c r="L39" s="336" t="s">
        <v>61</v>
      </c>
      <c r="M39" s="336" t="s">
        <v>62</v>
      </c>
      <c r="N39" s="336" t="s">
        <v>63</v>
      </c>
      <c r="O39" s="333" t="s">
        <v>58</v>
      </c>
      <c r="P39" s="334" t="s">
        <v>59</v>
      </c>
      <c r="Q39" s="335" t="s">
        <v>60</v>
      </c>
      <c r="R39" s="336" t="s">
        <v>61</v>
      </c>
      <c r="S39" s="336" t="s">
        <v>62</v>
      </c>
      <c r="T39" s="336" t="s">
        <v>63</v>
      </c>
      <c r="U39" s="389" t="s">
        <v>58</v>
      </c>
      <c r="V39" s="390" t="s">
        <v>59</v>
      </c>
      <c r="W39" s="391" t="s">
        <v>60</v>
      </c>
      <c r="X39" s="392" t="s">
        <v>61</v>
      </c>
      <c r="Y39" s="392" t="s">
        <v>62</v>
      </c>
      <c r="Z39" s="392" t="s">
        <v>63</v>
      </c>
      <c r="AA39" s="333" t="s">
        <v>58</v>
      </c>
      <c r="AB39" s="334" t="s">
        <v>59</v>
      </c>
      <c r="AC39" s="335" t="s">
        <v>60</v>
      </c>
      <c r="AD39" s="336" t="s">
        <v>61</v>
      </c>
      <c r="AE39" s="336" t="s">
        <v>62</v>
      </c>
      <c r="AF39" s="336" t="s">
        <v>63</v>
      </c>
      <c r="AG39" s="333" t="s">
        <v>58</v>
      </c>
      <c r="AH39" s="334" t="s">
        <v>59</v>
      </c>
      <c r="AI39" s="335" t="s">
        <v>60</v>
      </c>
      <c r="AJ39" s="336" t="s">
        <v>61</v>
      </c>
      <c r="AK39" s="336" t="s">
        <v>62</v>
      </c>
      <c r="AL39" s="393" t="s">
        <v>63</v>
      </c>
      <c r="AM39" s="394"/>
    </row>
    <row r="40" spans="1:39" ht="16.5" thickBot="1" x14ac:dyDescent="0.3">
      <c r="A40" s="970"/>
      <c r="B40" s="973"/>
      <c r="C40" s="973"/>
      <c r="D40" s="977"/>
      <c r="E40" s="977"/>
      <c r="F40" s="977"/>
      <c r="G40" s="977"/>
      <c r="H40" s="527" t="s">
        <v>183</v>
      </c>
      <c r="I40" s="221">
        <f>IF($D$39&gt;0,0,'Table 2-A- FC Analysis'!K35)</f>
        <v>0</v>
      </c>
      <c r="J40" s="221">
        <f>IF($D$39&gt;0,0,'Table 2-A- FC Analysis'!L35)</f>
        <v>0</v>
      </c>
      <c r="K40" s="221" t="str">
        <f>IF($D$39&gt;0,0,'Table 2-A- FC Analysis'!M35)</f>
        <v>x</v>
      </c>
      <c r="L40" s="221">
        <f>IF($D$39&gt;0,0,'Table 2-A- FC Analysis'!N35)</f>
        <v>0</v>
      </c>
      <c r="M40" s="221">
        <f>IF($D$39&gt;0,0,'Table 2-A- FC Analysis'!O35)</f>
        <v>0</v>
      </c>
      <c r="N40" s="221">
        <f>IF($D$39&gt;0,0,'Table 2-A- FC Analysis'!P35)</f>
        <v>0</v>
      </c>
      <c r="O40" s="221">
        <f>IF($D$39&gt;0,0,'Table 2-A- FC Analysis'!K70)</f>
        <v>0</v>
      </c>
      <c r="P40" s="221">
        <f>IF($D$39&gt;0,0,'Table 2-A- FC Analysis'!L70)</f>
        <v>0</v>
      </c>
      <c r="Q40" s="221" t="str">
        <f>IF($D$39&gt;0,0,'Table 2-A- FC Analysis'!M70)</f>
        <v>x</v>
      </c>
      <c r="R40" s="221">
        <f>IF($D$39&gt;0,0,'Table 2-A- FC Analysis'!N70)</f>
        <v>0</v>
      </c>
      <c r="S40" s="221">
        <f>IF($D$39&gt;0,0,'Table 2-A- FC Analysis'!O70)</f>
        <v>0</v>
      </c>
      <c r="T40" s="221">
        <f>IF($D$39&gt;0,0,'Table 2-A- FC Analysis'!P70)</f>
        <v>0</v>
      </c>
      <c r="U40" s="220">
        <f>IF($D$39&gt;0,0,'Table 2-A- FC Analysis'!K102)</f>
        <v>0</v>
      </c>
      <c r="V40" s="220">
        <f>IF($D$39&gt;0,0,'Table 2-A- FC Analysis'!L102)</f>
        <v>0</v>
      </c>
      <c r="W40" s="220" t="str">
        <f>IF($D$39&gt;0,0,'Table 2-A- FC Analysis'!M102)</f>
        <v>x</v>
      </c>
      <c r="X40" s="220">
        <f>IF($D$39&gt;0,0,'Table 2-A- FC Analysis'!N102)</f>
        <v>0</v>
      </c>
      <c r="Y40" s="220">
        <f>IF($D$39&gt;0,0,'Table 2-A- FC Analysis'!O102)</f>
        <v>0</v>
      </c>
      <c r="Z40" s="220">
        <f>IF($D$39&gt;0,0,'Table 2-A- FC Analysis'!P102)</f>
        <v>0</v>
      </c>
      <c r="AA40" s="387">
        <f>IF($D$39&gt;0,0,'Table 2-A- FC Analysis'!K134)</f>
        <v>0</v>
      </c>
      <c r="AB40" s="387">
        <f>IF($D$39&gt;0,0,'Table 2-A- FC Analysis'!L134)</f>
        <v>0</v>
      </c>
      <c r="AC40" s="387">
        <f>IF($D$39&gt;0,0,'Table 2-A- FC Analysis'!M134)</f>
        <v>0</v>
      </c>
      <c r="AD40" s="387">
        <f>IF($D$39&gt;0,0,'Table 2-A- FC Analysis'!N134)</f>
        <v>0</v>
      </c>
      <c r="AE40" s="387" t="str">
        <f>IF($D$39&gt;0,0,'Table 2-A- FC Analysis'!O134)</f>
        <v>x</v>
      </c>
      <c r="AF40" s="387">
        <f>IF($D$39&gt;0,0,'Table 2-A- FC Analysis'!P134)</f>
        <v>0</v>
      </c>
      <c r="AG40" s="221">
        <f>IF($D$39&gt;0,0,'Table 2-A- FC Analysis'!K166)</f>
        <v>0</v>
      </c>
      <c r="AH40" s="221">
        <f>IF($D$39&gt;0,0,'Table 2-A- FC Analysis'!L166)</f>
        <v>0</v>
      </c>
      <c r="AI40" s="221">
        <f>IF($D$39&gt;0,0,'Table 2-A- FC Analysis'!M166)</f>
        <v>0</v>
      </c>
      <c r="AJ40" s="221">
        <f>IF($D$39&gt;0,0,'Table 2-A- FC Analysis'!N166)</f>
        <v>0</v>
      </c>
      <c r="AK40" s="221">
        <f>IF($D$39&gt;0,0,'Table 2-A- FC Analysis'!O166)</f>
        <v>0</v>
      </c>
      <c r="AL40" s="221" t="str">
        <f>IF($D$39&gt;0,0,'Table 2-A- FC Analysis'!P166)</f>
        <v>x</v>
      </c>
      <c r="AM40" s="995"/>
    </row>
    <row r="41" spans="1:39" ht="16.5" thickBot="1" x14ac:dyDescent="0.3">
      <c r="A41" s="970"/>
      <c r="B41" s="973"/>
      <c r="C41" s="973"/>
      <c r="D41" s="977"/>
      <c r="E41" s="977"/>
      <c r="F41" s="977"/>
      <c r="G41" s="977"/>
      <c r="H41" s="527" t="s">
        <v>184</v>
      </c>
      <c r="I41" s="221">
        <f>IF($E$39&gt;0,0,'Table 2-A- FC Analysis'!K36)</f>
        <v>0</v>
      </c>
      <c r="J41" s="221">
        <f>IF($E$39&gt;0,0,'Table 2-A- FC Analysis'!L37)</f>
        <v>0</v>
      </c>
      <c r="K41" s="221" t="str">
        <f>IF($E$39&gt;0,0,'Table 2-A- FC Analysis'!M37)</f>
        <v>x</v>
      </c>
      <c r="L41" s="221">
        <f>IF($E$39&gt;0,0,'Table 2-A- FC Analysis'!N37)</f>
        <v>0</v>
      </c>
      <c r="M41" s="221">
        <f>IF($E$39&gt;0,0,'Table 2-A- FC Analysis'!O37)</f>
        <v>0</v>
      </c>
      <c r="N41" s="221">
        <f>IF($E$39&gt;0,0,'Table 2-A- FC Analysis'!P37)</f>
        <v>0</v>
      </c>
      <c r="O41" s="220">
        <f>IF($E$39&gt;0,0,'Table 2-A- FC Analysis'!K71)</f>
        <v>0</v>
      </c>
      <c r="P41" s="220">
        <f>IF($E$39&gt;0,0,'Table 2-A- FC Analysis'!L71)</f>
        <v>0</v>
      </c>
      <c r="Q41" s="220" t="str">
        <f>IF($E$39&gt;0,0,'Table 2-A- FC Analysis'!M71)</f>
        <v>x</v>
      </c>
      <c r="R41" s="220">
        <f>IF($E$39&gt;0,0,'Table 2-A- FC Analysis'!N71)</f>
        <v>0</v>
      </c>
      <c r="S41" s="220">
        <f>IF($E$39&gt;0,0,'Table 2-A- FC Analysis'!O71)</f>
        <v>0</v>
      </c>
      <c r="T41" s="220">
        <f>IF($E$39&gt;0,0,'Table 2-A- FC Analysis'!P71)</f>
        <v>0</v>
      </c>
      <c r="U41" s="220">
        <f>IF($E$39&gt;0,0,'Table 2-A- FC Analysis'!K103)</f>
        <v>0</v>
      </c>
      <c r="V41" s="220">
        <f>IF($E$39&gt;0,0,'Table 2-A- FC Analysis'!L103)</f>
        <v>0</v>
      </c>
      <c r="W41" s="220" t="str">
        <f>IF($E$39&gt;0,0,'Table 2-A- FC Analysis'!M103)</f>
        <v>x</v>
      </c>
      <c r="X41" s="220">
        <f>IF($E$39&gt;0,0,'Table 2-A- FC Analysis'!N103)</f>
        <v>0</v>
      </c>
      <c r="Y41" s="220">
        <f>IF($E$39&gt;0,0,'Table 2-A- FC Analysis'!O103)</f>
        <v>0</v>
      </c>
      <c r="Z41" s="220">
        <f>IF($E$39&gt;0,0,'Table 2-A- FC Analysis'!P103)</f>
        <v>0</v>
      </c>
      <c r="AA41" s="387">
        <f>IF($E$39&gt;0,0,'Table 2-A- FC Analysis'!K135)</f>
        <v>0</v>
      </c>
      <c r="AB41" s="387">
        <f>IF($E$39&gt;0,0,'Table 2-A- FC Analysis'!L135)</f>
        <v>0</v>
      </c>
      <c r="AC41" s="387">
        <f>IF($E$39&gt;0,0,'Table 2-A- FC Analysis'!M135)</f>
        <v>0</v>
      </c>
      <c r="AD41" s="387">
        <f>IF($E$39&gt;0,0,'Table 2-A- FC Analysis'!N135)</f>
        <v>0</v>
      </c>
      <c r="AE41" s="387" t="str">
        <f>IF($E$39&gt;0,0,'Table 2-A- FC Analysis'!O135)</f>
        <v>x</v>
      </c>
      <c r="AF41" s="387">
        <f>IF($E$39&gt;0,0,'Table 2-A- FC Analysis'!P135)</f>
        <v>0</v>
      </c>
      <c r="AG41" s="221">
        <f>IF($E$39&gt;0,0,'Table 2-A- FC Analysis'!K167)</f>
        <v>0</v>
      </c>
      <c r="AH41" s="221">
        <f>IF($E$39&gt;0,0,'Table 2-A- FC Analysis'!L167)</f>
        <v>0</v>
      </c>
      <c r="AI41" s="221">
        <f>IF($E$39&gt;0,0,'Table 2-A- FC Analysis'!M167)</f>
        <v>0</v>
      </c>
      <c r="AJ41" s="221">
        <f>IF($E$39&gt;0,0,'Table 2-A- FC Analysis'!N167)</f>
        <v>0</v>
      </c>
      <c r="AK41" s="221">
        <f>IF($E$39&gt;0,0,'Table 2-A- FC Analysis'!O167)</f>
        <v>0</v>
      </c>
      <c r="AL41" s="221" t="str">
        <f>IF($E$39&gt;0,0,'Table 2-A- FC Analysis'!P167)</f>
        <v>x</v>
      </c>
      <c r="AM41" s="996"/>
    </row>
    <row r="42" spans="1:39" ht="16.5" thickBot="1" x14ac:dyDescent="0.3">
      <c r="A42" s="970"/>
      <c r="B42" s="973"/>
      <c r="C42" s="973"/>
      <c r="D42" s="977"/>
      <c r="E42" s="977"/>
      <c r="F42" s="977"/>
      <c r="G42" s="977"/>
      <c r="H42" s="527" t="s">
        <v>15</v>
      </c>
      <c r="I42" s="221">
        <f>IF($F$39&gt;0,0,'Table 2-A- FC Analysis'!K37)</f>
        <v>0</v>
      </c>
      <c r="J42" s="221">
        <f>IF($F$39&gt;0,0,'Table 2-A- FC Analysis'!L37)</f>
        <v>0</v>
      </c>
      <c r="K42" s="221" t="str">
        <f>IF($F$39&gt;0,0,'Table 2-A- FC Analysis'!M37)</f>
        <v>x</v>
      </c>
      <c r="L42" s="221">
        <f>IF($F$39&gt;0,0,'Table 2-A- FC Analysis'!N37)</f>
        <v>0</v>
      </c>
      <c r="M42" s="221">
        <f>IF($F$39&gt;0,0,'Table 2-A- FC Analysis'!O37)</f>
        <v>0</v>
      </c>
      <c r="N42" s="221">
        <f>IF($F$39&gt;0,0,'Table 2-A- FC Analysis'!P37)</f>
        <v>0</v>
      </c>
      <c r="O42" s="221">
        <f>IF($F$39&gt;0,0,'Table 2-A- FC Analysis'!K72)</f>
        <v>0</v>
      </c>
      <c r="P42" s="221">
        <f>IF($F$39&gt;0,0,'Table 2-A- FC Analysis'!L72)</f>
        <v>0</v>
      </c>
      <c r="Q42" s="221" t="str">
        <f>IF($F$39&gt;0,0,'Table 2-A- FC Analysis'!M72)</f>
        <v>x</v>
      </c>
      <c r="R42" s="221">
        <f>IF($F$39&gt;0,0,'Table 2-A- FC Analysis'!N72)</f>
        <v>0</v>
      </c>
      <c r="S42" s="221">
        <f>IF($F$39&gt;0,0,'Table 2-A- FC Analysis'!O72)</f>
        <v>0</v>
      </c>
      <c r="T42" s="221">
        <f>IF($F$39&gt;0,0,'Table 2-A- FC Analysis'!P72)</f>
        <v>0</v>
      </c>
      <c r="U42" s="220">
        <f>IF($F$39&gt;0,0,'Table 2-A- FC Analysis'!K104)</f>
        <v>0</v>
      </c>
      <c r="V42" s="220">
        <f>IF($F$39&gt;0,0,'Table 2-A- FC Analysis'!L104)</f>
        <v>0</v>
      </c>
      <c r="W42" s="220" t="str">
        <f>IF($F$39&gt;0,0,'Table 2-A- FC Analysis'!M104)</f>
        <v>x</v>
      </c>
      <c r="X42" s="220">
        <f>IF($F$39&gt;0,0,'Table 2-A- FC Analysis'!N104)</f>
        <v>0</v>
      </c>
      <c r="Y42" s="220">
        <f>IF($F$39&gt;0,0,'Table 2-A- FC Analysis'!O104)</f>
        <v>0</v>
      </c>
      <c r="Z42" s="220">
        <f>IF($F$39&gt;0,0,'Table 2-A- FC Analysis'!P104)</f>
        <v>0</v>
      </c>
      <c r="AA42" s="387">
        <f>IF($F$39&gt;0,0,'Table 2-A- FC Analysis'!K136)</f>
        <v>0</v>
      </c>
      <c r="AB42" s="387">
        <f>IF($F$39&gt;0,0,'Table 2-A- FC Analysis'!L136)</f>
        <v>0</v>
      </c>
      <c r="AC42" s="387">
        <f>IF($F$39&gt;0,0,'Table 2-A- FC Analysis'!M136)</f>
        <v>0</v>
      </c>
      <c r="AD42" s="387">
        <f>IF($F$39&gt;0,0,'Table 2-A- FC Analysis'!N136)</f>
        <v>0</v>
      </c>
      <c r="AE42" s="387" t="str">
        <f>IF($F$39&gt;0,0,'Table 2-A- FC Analysis'!O136)</f>
        <v>x</v>
      </c>
      <c r="AF42" s="387">
        <f>IF($F$39&gt;0,0,'Table 2-A- FC Analysis'!P136)</f>
        <v>0</v>
      </c>
      <c r="AG42" s="221">
        <f>IF($F$39&gt;0,0,'Table 2-A- FC Analysis'!K168)</f>
        <v>0</v>
      </c>
      <c r="AH42" s="221">
        <f>IF($F$39&gt;0,0,'Table 2-A- FC Analysis'!L168)</f>
        <v>0</v>
      </c>
      <c r="AI42" s="221">
        <f>IF($F$39&gt;0,0,'Table 2-A- FC Analysis'!M168)</f>
        <v>0</v>
      </c>
      <c r="AJ42" s="221">
        <f>IF($F$39&gt;0,0,'Table 2-A- FC Analysis'!N168)</f>
        <v>0</v>
      </c>
      <c r="AK42" s="221">
        <f>IF($F$39&gt;0,0,'Table 2-A- FC Analysis'!O168)</f>
        <v>0</v>
      </c>
      <c r="AL42" s="221" t="str">
        <f>IF($F$39&gt;0,0,'Table 2-A- FC Analysis'!P168)</f>
        <v>x</v>
      </c>
      <c r="AM42" s="996"/>
    </row>
    <row r="43" spans="1:39" ht="16.5" thickBot="1" x14ac:dyDescent="0.3">
      <c r="A43" s="970"/>
      <c r="B43" s="973"/>
      <c r="C43" s="973"/>
      <c r="D43" s="978"/>
      <c r="E43" s="978"/>
      <c r="F43" s="978"/>
      <c r="G43" s="978"/>
      <c r="H43" s="527" t="s">
        <v>16</v>
      </c>
      <c r="I43" s="222">
        <f>IF($G$39&gt;0,0,'Table 2-A- FC Analysis'!K38)</f>
        <v>0</v>
      </c>
      <c r="J43" s="222">
        <f>IF($G$39&gt;0,0,'Table 2-A- FC Analysis'!L38)</f>
        <v>0</v>
      </c>
      <c r="K43" s="222" t="str">
        <f>IF($G$39&gt;0,0,'Table 2-A- FC Analysis'!M38)</f>
        <v>x</v>
      </c>
      <c r="L43" s="222">
        <f>IF($G$39&gt;0,0,'Table 2-A- FC Analysis'!N38)</f>
        <v>0</v>
      </c>
      <c r="M43" s="222">
        <f>IF($G$39&gt;0,0,'Table 2-A- FC Analysis'!O38)</f>
        <v>0</v>
      </c>
      <c r="N43" s="222">
        <f>IF($G$39&gt;0,0,'Table 2-A- FC Analysis'!P38)</f>
        <v>0</v>
      </c>
      <c r="O43" s="222">
        <f>IF($G$39&gt;0,0,'Table 2-A- FC Analysis'!K73)</f>
        <v>0</v>
      </c>
      <c r="P43" s="222">
        <f>IF($G$39&gt;0,0,'Table 2-A- FC Analysis'!L73)</f>
        <v>0</v>
      </c>
      <c r="Q43" s="222" t="str">
        <f>IF($G$39&gt;0,0,'Table 2-A- FC Analysis'!M73)</f>
        <v>x</v>
      </c>
      <c r="R43" s="222">
        <f>IF($G$39&gt;0,0,'Table 2-A- FC Analysis'!N73)</f>
        <v>0</v>
      </c>
      <c r="S43" s="222">
        <f>IF($G$39&gt;0,0,'Table 2-A- FC Analysis'!O73)</f>
        <v>0</v>
      </c>
      <c r="T43" s="222">
        <f>IF($G$39&gt;0,0,'Table 2-A- FC Analysis'!P73)</f>
        <v>0</v>
      </c>
      <c r="U43" s="220">
        <f>IF($G$39&gt;0,0,'Table 2-A- FC Analysis'!K105)</f>
        <v>0</v>
      </c>
      <c r="V43" s="220">
        <f>IF($G$39&gt;0,0,'Table 2-A- FC Analysis'!L105)</f>
        <v>0</v>
      </c>
      <c r="W43" s="220" t="str">
        <f>IF($G$39&gt;0,0,'Table 2-A- FC Analysis'!M105)</f>
        <v>x</v>
      </c>
      <c r="X43" s="220">
        <f>IF($G$39&gt;0,0,'Table 2-A- FC Analysis'!N105)</f>
        <v>0</v>
      </c>
      <c r="Y43" s="220">
        <f>IF($G$39&gt;0,0,'Table 2-A- FC Analysis'!O105)</f>
        <v>0</v>
      </c>
      <c r="Z43" s="220">
        <f>IF($G$39&gt;0,0,'Table 2-A- FC Analysis'!P105)</f>
        <v>0</v>
      </c>
      <c r="AA43" s="388">
        <f>IF($G$39&gt;0,0,'Table 2-A- FC Analysis'!K137)</f>
        <v>0</v>
      </c>
      <c r="AB43" s="388">
        <f>IF($G$39&gt;0,0,'Table 2-A- FC Analysis'!L137)</f>
        <v>0</v>
      </c>
      <c r="AC43" s="388">
        <f>IF($G$39&gt;0,0,'Table 2-A- FC Analysis'!M137)</f>
        <v>0</v>
      </c>
      <c r="AD43" s="388">
        <f>IF($G$39&gt;0,0,'Table 2-A- FC Analysis'!N137)</f>
        <v>0</v>
      </c>
      <c r="AE43" s="388" t="str">
        <f>IF($G$39&gt;0,0,'Table 2-A- FC Analysis'!O137)</f>
        <v>x</v>
      </c>
      <c r="AF43" s="388">
        <f>IF($G$39&gt;0,0,'Table 2-A- FC Analysis'!P137)</f>
        <v>0</v>
      </c>
      <c r="AG43" s="222">
        <f>IF($G$39&gt;0,0,'Table 2-A- FC Analysis'!K169)</f>
        <v>0</v>
      </c>
      <c r="AH43" s="222">
        <f>IF($G$39&gt;0,0,'Table 2-A- FC Analysis'!L169)</f>
        <v>0</v>
      </c>
      <c r="AI43" s="222">
        <f>IF($G$39&gt;0,0,'Table 2-A- FC Analysis'!M169)</f>
        <v>0</v>
      </c>
      <c r="AJ43" s="222">
        <f>IF($G$39&gt;0,0,'Table 2-A- FC Analysis'!N169)</f>
        <v>0</v>
      </c>
      <c r="AK43" s="222">
        <f>IF($G$39&gt;0,0,'Table 2-A- FC Analysis'!O169)</f>
        <v>0</v>
      </c>
      <c r="AL43" s="222" t="str">
        <f>IF($G$39&gt;0,0,'Table 2-A- FC Analysis'!P169)</f>
        <v>x</v>
      </c>
      <c r="AM43" s="997"/>
    </row>
    <row r="46" spans="1:39" ht="23.25" x14ac:dyDescent="0.25">
      <c r="A46" s="658" t="s">
        <v>247</v>
      </c>
      <c r="B46" s="658"/>
      <c r="C46" s="658"/>
      <c r="D46" s="658"/>
      <c r="E46" s="658"/>
      <c r="F46" s="658"/>
      <c r="G46" s="658"/>
      <c r="H46" s="658"/>
      <c r="I46" s="658"/>
      <c r="J46" s="658"/>
      <c r="K46" s="658"/>
      <c r="L46" s="658"/>
      <c r="M46" s="658"/>
      <c r="N46" s="658"/>
      <c r="O46" s="658"/>
      <c r="P46" s="658"/>
      <c r="Q46" s="658"/>
      <c r="R46" s="658"/>
      <c r="S46" s="658"/>
      <c r="T46" s="658"/>
      <c r="U46" s="658"/>
      <c r="V46" s="658"/>
      <c r="W46" s="658"/>
      <c r="X46" s="658"/>
      <c r="Y46" s="658"/>
      <c r="Z46" s="658"/>
      <c r="AA46" s="658"/>
      <c r="AB46" s="658"/>
      <c r="AC46" s="658"/>
      <c r="AD46" s="658"/>
      <c r="AE46" s="658"/>
      <c r="AF46" s="658"/>
      <c r="AG46" s="658"/>
      <c r="AH46" s="658"/>
      <c r="AI46" s="658"/>
      <c r="AJ46" s="658"/>
      <c r="AK46" s="658"/>
      <c r="AL46" s="658"/>
      <c r="AM46" s="658"/>
    </row>
    <row r="47" spans="1:39" x14ac:dyDescent="0.25">
      <c r="A47" s="979"/>
      <c r="B47" s="980"/>
      <c r="C47" s="980"/>
      <c r="D47" s="980"/>
      <c r="E47" s="980"/>
      <c r="F47" s="980"/>
      <c r="G47" s="980"/>
      <c r="H47" s="980"/>
      <c r="I47" s="980"/>
      <c r="J47" s="980"/>
      <c r="K47" s="980"/>
      <c r="L47" s="980"/>
      <c r="M47" s="980"/>
      <c r="N47" s="980"/>
      <c r="O47" s="980"/>
      <c r="P47" s="980"/>
      <c r="Q47" s="980"/>
      <c r="R47" s="980"/>
      <c r="S47" s="980"/>
      <c r="T47" s="980"/>
      <c r="U47" s="980"/>
      <c r="V47" s="980"/>
      <c r="W47" s="980"/>
      <c r="X47" s="980"/>
      <c r="Y47" s="980"/>
      <c r="Z47" s="980"/>
      <c r="AA47" s="980"/>
      <c r="AB47" s="980"/>
      <c r="AC47" s="980"/>
      <c r="AD47" s="980"/>
      <c r="AE47" s="980"/>
      <c r="AF47" s="980"/>
      <c r="AG47" s="980"/>
      <c r="AH47" s="980"/>
      <c r="AI47" s="980"/>
      <c r="AJ47" s="980"/>
      <c r="AK47" s="980"/>
      <c r="AL47" s="980"/>
      <c r="AM47" s="981"/>
    </row>
    <row r="48" spans="1:39" ht="100.5" customHeight="1" x14ac:dyDescent="0.25">
      <c r="A48" s="982"/>
      <c r="B48" s="983"/>
      <c r="C48" s="983"/>
      <c r="D48" s="983"/>
      <c r="E48" s="983"/>
      <c r="F48" s="983"/>
      <c r="G48" s="983"/>
      <c r="H48" s="983"/>
      <c r="I48" s="983"/>
      <c r="J48" s="983"/>
      <c r="K48" s="983"/>
      <c r="L48" s="983"/>
      <c r="M48" s="983"/>
      <c r="N48" s="983"/>
      <c r="O48" s="983"/>
      <c r="P48" s="983"/>
      <c r="Q48" s="983"/>
      <c r="R48" s="983"/>
      <c r="S48" s="983"/>
      <c r="T48" s="983"/>
      <c r="U48" s="983"/>
      <c r="V48" s="983"/>
      <c r="W48" s="983"/>
      <c r="X48" s="983"/>
      <c r="Y48" s="983"/>
      <c r="Z48" s="983"/>
      <c r="AA48" s="983"/>
      <c r="AB48" s="983"/>
      <c r="AC48" s="983"/>
      <c r="AD48" s="983"/>
      <c r="AE48" s="983"/>
      <c r="AF48" s="983"/>
      <c r="AG48" s="983"/>
      <c r="AH48" s="983"/>
      <c r="AI48" s="983"/>
      <c r="AJ48" s="983"/>
      <c r="AK48" s="983"/>
      <c r="AL48" s="983"/>
      <c r="AM48" s="984"/>
    </row>
  </sheetData>
  <sheetProtection formatCells="0" formatColumns="0" formatRows="0" insertRows="0"/>
  <protectedRanges>
    <protectedRange sqref="AM14 AM40 A47" name="Range1"/>
    <protectedRange sqref="A22" name="Range1_1"/>
  </protectedRanges>
  <mergeCells count="62">
    <mergeCell ref="AM40:AM43"/>
    <mergeCell ref="AM15:AM18"/>
    <mergeCell ref="A46:O46"/>
    <mergeCell ref="P46:AD46"/>
    <mergeCell ref="AE46:AM46"/>
    <mergeCell ref="G37:G38"/>
    <mergeCell ref="H37:H38"/>
    <mergeCell ref="H36:AF36"/>
    <mergeCell ref="G39:G43"/>
    <mergeCell ref="A39:A43"/>
    <mergeCell ref="B39:B43"/>
    <mergeCell ref="C39:C43"/>
    <mergeCell ref="D39:D43"/>
    <mergeCell ref="E39:E43"/>
    <mergeCell ref="F39:F43"/>
    <mergeCell ref="P21:AD21"/>
    <mergeCell ref="A47:AM48"/>
    <mergeCell ref="A22:AM23"/>
    <mergeCell ref="I37:N38"/>
    <mergeCell ref="O37:T38"/>
    <mergeCell ref="U37:Z38"/>
    <mergeCell ref="AA37:AF38"/>
    <mergeCell ref="AG37:AL38"/>
    <mergeCell ref="C33:D33"/>
    <mergeCell ref="A35:AG35"/>
    <mergeCell ref="A36:A38"/>
    <mergeCell ref="B36:B38"/>
    <mergeCell ref="C36:C38"/>
    <mergeCell ref="D36:G36"/>
    <mergeCell ref="AM36:AM38"/>
    <mergeCell ref="E37:E38"/>
    <mergeCell ref="F37:F38"/>
    <mergeCell ref="AE21:AM21"/>
    <mergeCell ref="AG12:AL13"/>
    <mergeCell ref="A28:O28"/>
    <mergeCell ref="B14:B18"/>
    <mergeCell ref="A14:A18"/>
    <mergeCell ref="O12:T13"/>
    <mergeCell ref="U12:Z13"/>
    <mergeCell ref="AA12:AF13"/>
    <mergeCell ref="C14:C18"/>
    <mergeCell ref="AM11:AM13"/>
    <mergeCell ref="F14:F18"/>
    <mergeCell ref="E14:E18"/>
    <mergeCell ref="D14:D18"/>
    <mergeCell ref="G14:G18"/>
    <mergeCell ref="A2:O2"/>
    <mergeCell ref="C7:D7"/>
    <mergeCell ref="A10:AG10"/>
    <mergeCell ref="A11:A13"/>
    <mergeCell ref="B11:B13"/>
    <mergeCell ref="C11:C13"/>
    <mergeCell ref="D11:G11"/>
    <mergeCell ref="H11:AF11"/>
    <mergeCell ref="I12:N13"/>
    <mergeCell ref="H12:H13"/>
    <mergeCell ref="C8:D8"/>
    <mergeCell ref="C34:D34"/>
    <mergeCell ref="E12:E13"/>
    <mergeCell ref="F12:F13"/>
    <mergeCell ref="G12:G13"/>
    <mergeCell ref="A21:O21"/>
  </mergeCells>
  <conditionalFormatting sqref="AM40">
    <cfRule type="cellIs" dxfId="230" priority="142" operator="equal">
      <formula>5</formula>
    </cfRule>
    <cfRule type="cellIs" dxfId="229" priority="143" operator="equal">
      <formula>4</formula>
    </cfRule>
    <cfRule type="cellIs" dxfId="228" priority="144" operator="equal">
      <formula>3</formula>
    </cfRule>
    <cfRule type="cellIs" dxfId="227" priority="145" operator="equal">
      <formula>2</formula>
    </cfRule>
    <cfRule type="cellIs" dxfId="226" priority="146" operator="equal">
      <formula>1</formula>
    </cfRule>
  </conditionalFormatting>
  <conditionalFormatting sqref="AM15">
    <cfRule type="cellIs" dxfId="225" priority="137" operator="equal">
      <formula>5</formula>
    </cfRule>
    <cfRule type="cellIs" dxfId="224" priority="138" operator="equal">
      <formula>4</formula>
    </cfRule>
    <cfRule type="cellIs" dxfId="223" priority="139" operator="equal">
      <formula>3</formula>
    </cfRule>
    <cfRule type="cellIs" dxfId="222" priority="140" operator="equal">
      <formula>2</formula>
    </cfRule>
    <cfRule type="cellIs" dxfId="221" priority="141" operator="equal">
      <formula>1</formula>
    </cfRule>
  </conditionalFormatting>
  <conditionalFormatting sqref="D39:G43">
    <cfRule type="cellIs" dxfId="220" priority="112" operator="equal">
      <formula>5</formula>
    </cfRule>
    <cfRule type="cellIs" dxfId="219" priority="113" operator="equal">
      <formula>4</formula>
    </cfRule>
    <cfRule type="cellIs" dxfId="218" priority="114" operator="equal">
      <formula>3</formula>
    </cfRule>
    <cfRule type="cellIs" dxfId="217" priority="115" operator="equal">
      <formula>2</formula>
    </cfRule>
    <cfRule type="cellIs" dxfId="216" priority="116" operator="equal">
      <formula>1</formula>
    </cfRule>
  </conditionalFormatting>
  <conditionalFormatting sqref="AM39">
    <cfRule type="containsText" dxfId="215" priority="95" operator="containsText" text="***">
      <formula>NOT(ISERROR(SEARCH("***",AM39)))</formula>
    </cfRule>
    <cfRule type="containsText" dxfId="214" priority="96" operator="containsText" text="**">
      <formula>NOT(ISERROR(SEARCH("**",AM39)))</formula>
    </cfRule>
    <cfRule type="containsText" dxfId="213" priority="97" operator="containsText" text="*">
      <formula>NOT(ISERROR(SEARCH("*",AM39)))</formula>
    </cfRule>
  </conditionalFormatting>
  <conditionalFormatting sqref="AM14">
    <cfRule type="containsText" dxfId="212" priority="92" operator="containsText" text="***">
      <formula>NOT(ISERROR(SEARCH("***",AM14)))</formula>
    </cfRule>
    <cfRule type="containsText" dxfId="211" priority="93" operator="containsText" text="**">
      <formula>NOT(ISERROR(SEARCH("**",AM14)))</formula>
    </cfRule>
    <cfRule type="containsText" dxfId="210" priority="94" operator="containsText" text="*">
      <formula>NOT(ISERROR(SEARCH("*",AM14)))</formula>
    </cfRule>
  </conditionalFormatting>
  <conditionalFormatting sqref="D14:G18">
    <cfRule type="cellIs" dxfId="209" priority="57" operator="equal">
      <formula>5</formula>
    </cfRule>
    <cfRule type="cellIs" dxfId="208" priority="58" operator="equal">
      <formula>4</formula>
    </cfRule>
    <cfRule type="cellIs" dxfId="207" priority="59" operator="equal">
      <formula>3</formula>
    </cfRule>
    <cfRule type="cellIs" dxfId="206" priority="60" operator="equal">
      <formula>2</formula>
    </cfRule>
    <cfRule type="cellIs" dxfId="205" priority="61" operator="equal">
      <formula>1</formula>
    </cfRule>
  </conditionalFormatting>
  <conditionalFormatting sqref="I15:AL18">
    <cfRule type="cellIs" dxfId="204" priority="18" operator="equal">
      <formula>0</formula>
    </cfRule>
  </conditionalFormatting>
  <conditionalFormatting sqref="I15:K18 O15:Q18 U15:W18 AA15:AC18 AG15:AI18">
    <cfRule type="containsText" dxfId="203" priority="17" operator="containsText" text="x">
      <formula>NOT(ISERROR(SEARCH("x",I15)))</formula>
    </cfRule>
  </conditionalFormatting>
  <conditionalFormatting sqref="L15:N18 R15:T18 X15:Z18 AD15:AF18 AJ15:AL18">
    <cfRule type="containsText" dxfId="202" priority="16" operator="containsText" text="x">
      <formula>NOT(ISERROR(SEARCH("x",L15)))</formula>
    </cfRule>
  </conditionalFormatting>
  <conditionalFormatting sqref="I40:AL43">
    <cfRule type="cellIs" dxfId="201" priority="15" operator="equal">
      <formula>0</formula>
    </cfRule>
  </conditionalFormatting>
  <conditionalFormatting sqref="I40:K43 O40:Q43 U40:W43 AA40:AC43 AG40:AI43">
    <cfRule type="containsText" dxfId="200" priority="14" operator="containsText" text="x">
      <formula>NOT(ISERROR(SEARCH("x",I40)))</formula>
    </cfRule>
  </conditionalFormatting>
  <conditionalFormatting sqref="L40:N43 R40:T43 X40:Z43 AD40:AF43 AJ40:AL43">
    <cfRule type="containsText" dxfId="199" priority="13" operator="containsText" text="x">
      <formula>NOT(ISERROR(SEARCH("x",L40)))</formula>
    </cfRule>
  </conditionalFormatting>
  <conditionalFormatting sqref="H40">
    <cfRule type="cellIs" dxfId="198" priority="8" operator="equal">
      <formula>5</formula>
    </cfRule>
    <cfRule type="cellIs" dxfId="197" priority="9" operator="equal">
      <formula>4</formula>
    </cfRule>
    <cfRule type="cellIs" dxfId="196" priority="10" operator="equal">
      <formula>2</formula>
    </cfRule>
    <cfRule type="cellIs" dxfId="195" priority="11" operator="equal">
      <formula>3</formula>
    </cfRule>
    <cfRule type="cellIs" dxfId="194" priority="12" operator="equal">
      <formula>2</formula>
    </cfRule>
  </conditionalFormatting>
  <conditionalFormatting sqref="H40">
    <cfRule type="cellIs" dxfId="193" priority="7" operator="equal">
      <formula>1</formula>
    </cfRule>
  </conditionalFormatting>
  <conditionalFormatting sqref="H15">
    <cfRule type="cellIs" dxfId="192" priority="2" operator="equal">
      <formula>5</formula>
    </cfRule>
    <cfRule type="cellIs" dxfId="191" priority="3" operator="equal">
      <formula>4</formula>
    </cfRule>
    <cfRule type="cellIs" dxfId="190" priority="4" operator="equal">
      <formula>2</formula>
    </cfRule>
    <cfRule type="cellIs" dxfId="189" priority="5" operator="equal">
      <formula>3</formula>
    </cfRule>
    <cfRule type="cellIs" dxfId="188" priority="6" operator="equal">
      <formula>2</formula>
    </cfRule>
  </conditionalFormatting>
  <conditionalFormatting sqref="H15">
    <cfRule type="cellIs" dxfId="187" priority="1" operator="equal">
      <formula>1</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B70"/>
  <sheetViews>
    <sheetView topLeftCell="A52" zoomScale="80" zoomScaleNormal="80" workbookViewId="0">
      <selection activeCell="J79" sqref="J79"/>
    </sheetView>
  </sheetViews>
  <sheetFormatPr defaultColWidth="11.42578125" defaultRowHeight="15" x14ac:dyDescent="0.25"/>
  <cols>
    <col min="1" max="1" width="13.7109375" customWidth="1"/>
    <col min="2" max="3" width="16" customWidth="1"/>
    <col min="4" max="4" width="16.7109375" customWidth="1"/>
    <col min="5" max="5" width="14.42578125" style="125" customWidth="1"/>
    <col min="6" max="9" width="11.42578125" style="125"/>
    <col min="11" max="11" width="12.85546875" customWidth="1"/>
    <col min="12" max="12" width="15.7109375" customWidth="1"/>
    <col min="13" max="13" width="12.85546875" customWidth="1"/>
    <col min="14" max="14" width="14.28515625" customWidth="1"/>
    <col min="16" max="16" width="14.140625" customWidth="1"/>
    <col min="17" max="17" width="14.28515625" customWidth="1"/>
    <col min="23" max="23" width="14.28515625" customWidth="1"/>
    <col min="24" max="24" width="15.28515625" customWidth="1"/>
    <col min="25" max="25" width="13.28515625" customWidth="1"/>
    <col min="28" max="28" width="15.5703125" customWidth="1"/>
  </cols>
  <sheetData>
    <row r="1" spans="1:28" ht="26.25" x14ac:dyDescent="0.4">
      <c r="A1" s="533" t="s">
        <v>248</v>
      </c>
      <c r="B1" s="534"/>
      <c r="C1" s="534"/>
      <c r="D1" s="534"/>
      <c r="E1" s="534"/>
      <c r="F1" s="534"/>
      <c r="G1" s="534"/>
      <c r="H1" s="534"/>
      <c r="I1" s="534"/>
      <c r="J1" s="534"/>
      <c r="K1" s="534"/>
      <c r="L1" s="534"/>
      <c r="M1" s="534"/>
      <c r="N1" s="534"/>
      <c r="O1" s="65"/>
      <c r="P1" s="65"/>
      <c r="Q1" s="65"/>
      <c r="R1" s="65"/>
      <c r="S1" s="65"/>
      <c r="T1" s="65"/>
      <c r="U1" s="65"/>
      <c r="V1" s="65"/>
      <c r="W1" s="65"/>
      <c r="X1" s="65"/>
      <c r="Y1" s="65"/>
      <c r="Z1" s="65"/>
      <c r="AA1" s="65"/>
      <c r="AB1" s="65"/>
    </row>
    <row r="2" spans="1:28" ht="15.75" x14ac:dyDescent="0.25">
      <c r="A2" s="58"/>
      <c r="B2" s="112"/>
      <c r="C2" s="112"/>
      <c r="D2" s="112"/>
      <c r="E2" s="225"/>
      <c r="F2" s="225"/>
      <c r="G2" s="225"/>
      <c r="H2" s="225"/>
      <c r="I2" s="225"/>
      <c r="J2" s="113"/>
      <c r="K2" s="114"/>
      <c r="L2" s="114"/>
      <c r="M2" s="114"/>
      <c r="N2" s="114"/>
      <c r="O2" s="65"/>
      <c r="P2" s="65"/>
      <c r="Q2" s="65"/>
      <c r="R2" s="65"/>
      <c r="S2" s="65"/>
      <c r="T2" s="65"/>
      <c r="U2" s="65"/>
      <c r="V2" s="65"/>
      <c r="W2" s="65"/>
      <c r="X2" s="65"/>
      <c r="Y2" s="65"/>
      <c r="Z2" s="65"/>
      <c r="AA2" s="65"/>
      <c r="AB2" s="65"/>
    </row>
    <row r="3" spans="1:28" s="17" customFormat="1" ht="15.75" x14ac:dyDescent="0.25">
      <c r="A3" s="485" t="s">
        <v>72</v>
      </c>
      <c r="B3" s="66"/>
      <c r="C3" s="66"/>
      <c r="D3" s="176" t="str">
        <f>'Table 1-B  Context Analysis'!$C$5</f>
        <v xml:space="preserve"> Nigeria</v>
      </c>
      <c r="E3" s="213"/>
      <c r="F3" s="214"/>
      <c r="G3" s="214"/>
      <c r="H3" s="214"/>
      <c r="I3" s="214"/>
      <c r="J3" s="67"/>
      <c r="K3" s="65"/>
      <c r="L3" s="65"/>
      <c r="M3" s="65"/>
      <c r="N3" s="65"/>
      <c r="O3" s="65"/>
      <c r="P3" s="65"/>
      <c r="Q3" s="65"/>
      <c r="R3" s="65"/>
      <c r="S3" s="65"/>
      <c r="T3" s="65"/>
      <c r="U3" s="65"/>
      <c r="V3" s="65"/>
      <c r="W3" s="65"/>
      <c r="X3" s="65"/>
      <c r="Y3" s="65"/>
      <c r="Z3" s="65"/>
      <c r="AA3" s="65"/>
      <c r="AB3" s="65"/>
    </row>
    <row r="4" spans="1:28" s="17" customFormat="1" ht="15.75" x14ac:dyDescent="0.25">
      <c r="A4" s="486" t="s">
        <v>80</v>
      </c>
      <c r="B4" s="66"/>
      <c r="C4" s="66"/>
      <c r="D4" s="176" t="str">
        <f>'Table 1-B  Context Analysis'!$C$6</f>
        <v>Borno</v>
      </c>
      <c r="E4" s="213"/>
      <c r="F4" s="214"/>
      <c r="G4" s="214"/>
      <c r="H4" s="214"/>
      <c r="I4" s="214"/>
      <c r="J4" s="67"/>
      <c r="K4" s="65"/>
      <c r="L4" s="65"/>
      <c r="M4" s="65"/>
      <c r="N4" s="65"/>
      <c r="O4" s="65"/>
      <c r="P4" s="65"/>
      <c r="Q4" s="65"/>
      <c r="R4" s="65"/>
      <c r="S4" s="65"/>
      <c r="T4" s="65"/>
      <c r="U4" s="65"/>
      <c r="V4" s="65"/>
      <c r="W4" s="65"/>
      <c r="X4" s="65"/>
      <c r="Y4" s="65"/>
      <c r="Z4" s="65"/>
      <c r="AA4" s="65"/>
      <c r="AB4" s="65"/>
    </row>
    <row r="5" spans="1:28" s="17" customFormat="1" ht="15.75" x14ac:dyDescent="0.25">
      <c r="A5" s="486" t="s">
        <v>81</v>
      </c>
      <c r="B5" s="66"/>
      <c r="C5" s="66"/>
      <c r="D5" s="176" t="str">
        <f>'Table 1-B  Context Analysis'!$C$7</f>
        <v>Shani</v>
      </c>
      <c r="E5" s="213"/>
      <c r="F5" s="214"/>
      <c r="G5" s="214"/>
      <c r="H5" s="214"/>
      <c r="I5" s="214"/>
      <c r="J5" s="67"/>
      <c r="K5" s="65"/>
      <c r="L5" s="65"/>
      <c r="M5" s="65"/>
      <c r="N5" s="65"/>
      <c r="O5" s="65"/>
      <c r="P5" s="65"/>
      <c r="Q5" s="65"/>
      <c r="R5" s="65"/>
      <c r="S5" s="65"/>
      <c r="T5" s="65"/>
      <c r="U5" s="65"/>
      <c r="V5" s="65"/>
      <c r="W5" s="65"/>
      <c r="X5" s="65"/>
      <c r="Y5" s="65"/>
      <c r="Z5" s="65"/>
      <c r="AA5" s="65"/>
      <c r="AB5" s="65"/>
    </row>
    <row r="6" spans="1:28" s="17" customFormat="1" x14ac:dyDescent="0.25">
      <c r="A6" s="523" t="s">
        <v>123</v>
      </c>
      <c r="B6" s="66"/>
      <c r="C6" s="66"/>
      <c r="D6" s="1071" t="str">
        <f>'Table 1-B  Context Analysis'!$C$9</f>
        <v xml:space="preserve"> oct-19</v>
      </c>
      <c r="E6" s="1072"/>
      <c r="F6" s="214"/>
      <c r="G6" s="214"/>
      <c r="H6" s="214"/>
      <c r="I6" s="214"/>
      <c r="J6" s="67"/>
      <c r="K6" s="65"/>
      <c r="L6" s="65"/>
      <c r="M6" s="65"/>
      <c r="N6" s="65"/>
      <c r="O6" s="65"/>
      <c r="P6" s="65"/>
      <c r="Q6" s="65"/>
      <c r="R6" s="65"/>
      <c r="S6" s="65"/>
      <c r="T6" s="65"/>
      <c r="U6" s="65"/>
      <c r="V6" s="65"/>
      <c r="W6" s="65"/>
      <c r="X6" s="65"/>
      <c r="Y6" s="65"/>
      <c r="Z6" s="65"/>
      <c r="AA6" s="65"/>
      <c r="AB6" s="65"/>
    </row>
    <row r="7" spans="1:28" x14ac:dyDescent="0.25">
      <c r="A7" s="65"/>
      <c r="B7" s="65"/>
      <c r="C7" s="65"/>
      <c r="D7" s="65"/>
      <c r="E7" s="213"/>
      <c r="F7" s="213"/>
      <c r="G7" s="213"/>
      <c r="H7" s="213"/>
      <c r="I7" s="213"/>
      <c r="J7" s="65"/>
      <c r="K7" s="65"/>
      <c r="L7" s="65"/>
      <c r="M7" s="65"/>
      <c r="N7" s="65"/>
      <c r="O7" s="65"/>
      <c r="P7" s="65"/>
      <c r="Q7" s="65"/>
      <c r="R7" s="65"/>
      <c r="S7" s="65"/>
      <c r="T7" s="65"/>
      <c r="U7" s="65"/>
      <c r="V7" s="65"/>
      <c r="W7" s="65"/>
      <c r="X7" s="65"/>
      <c r="Y7" s="65"/>
      <c r="Z7" s="65"/>
      <c r="AA7" s="65"/>
      <c r="AB7" s="65"/>
    </row>
    <row r="8" spans="1:28" x14ac:dyDescent="0.25">
      <c r="A8" s="65"/>
      <c r="B8" s="65"/>
      <c r="C8" s="65"/>
      <c r="D8" s="65"/>
      <c r="E8" s="213"/>
      <c r="F8" s="213"/>
      <c r="G8" s="213"/>
      <c r="H8" s="213"/>
      <c r="I8" s="213"/>
      <c r="J8" s="65"/>
      <c r="K8" s="65"/>
      <c r="L8" s="65"/>
      <c r="M8" s="65"/>
      <c r="N8" s="65"/>
      <c r="O8" s="65"/>
      <c r="P8" s="65"/>
      <c r="Q8" s="65"/>
      <c r="R8" s="65"/>
      <c r="S8" s="65"/>
      <c r="T8" s="65"/>
      <c r="U8" s="65"/>
      <c r="V8" s="65"/>
      <c r="W8" s="65"/>
      <c r="X8" s="65"/>
      <c r="Y8" s="65"/>
      <c r="Z8" s="65"/>
      <c r="AA8" s="65"/>
      <c r="AB8" s="65"/>
    </row>
    <row r="9" spans="1:28" x14ac:dyDescent="0.25">
      <c r="A9" s="65"/>
      <c r="B9" s="65"/>
      <c r="C9" s="65"/>
      <c r="D9" s="65"/>
      <c r="E9" s="213"/>
      <c r="F9" s="213"/>
      <c r="G9" s="213"/>
      <c r="H9" s="213"/>
      <c r="I9" s="213"/>
      <c r="J9" s="65"/>
      <c r="K9" s="65"/>
      <c r="L9" s="65"/>
      <c r="M9" s="65"/>
      <c r="N9" s="65"/>
      <c r="O9" s="65"/>
      <c r="P9" s="65"/>
      <c r="Q9" s="65"/>
      <c r="R9" s="65"/>
      <c r="S9" s="65"/>
      <c r="T9" s="65"/>
      <c r="U9" s="65"/>
      <c r="V9" s="65"/>
      <c r="W9" s="65"/>
      <c r="X9" s="65"/>
      <c r="Y9" s="65"/>
      <c r="Z9" s="65"/>
      <c r="AA9" s="65"/>
      <c r="AB9" s="65"/>
    </row>
    <row r="10" spans="1:28" ht="19.5" thickBot="1" x14ac:dyDescent="0.35">
      <c r="B10" s="1074" t="s">
        <v>249</v>
      </c>
      <c r="C10" s="1074"/>
      <c r="D10" s="1074"/>
      <c r="E10" s="1074"/>
      <c r="F10" s="1074"/>
      <c r="G10" s="1074"/>
      <c r="H10" s="1074"/>
      <c r="I10" s="1074"/>
      <c r="J10" s="1074"/>
      <c r="K10" s="1074"/>
      <c r="L10" s="1074"/>
      <c r="M10" s="1074"/>
      <c r="N10" s="1074"/>
      <c r="O10" s="1074"/>
      <c r="P10" s="1074"/>
      <c r="Q10" s="1074"/>
    </row>
    <row r="11" spans="1:28" ht="21.75" thickBot="1" x14ac:dyDescent="0.3">
      <c r="B11" s="30" t="s">
        <v>139</v>
      </c>
      <c r="C11" s="30"/>
      <c r="D11" s="778" t="s">
        <v>202</v>
      </c>
      <c r="E11" s="779"/>
      <c r="F11" s="779"/>
      <c r="G11" s="779"/>
      <c r="H11" s="779"/>
      <c r="I11" s="1075"/>
      <c r="K11" s="30" t="s">
        <v>139</v>
      </c>
      <c r="L11" s="778" t="s">
        <v>203</v>
      </c>
      <c r="M11" s="779"/>
      <c r="N11" s="779"/>
      <c r="O11" s="779"/>
      <c r="P11" s="779"/>
      <c r="Q11" s="1075"/>
    </row>
    <row r="12" spans="1:28" ht="15.75" customHeight="1" thickBot="1" x14ac:dyDescent="0.3">
      <c r="B12" s="1076" t="s">
        <v>144</v>
      </c>
      <c r="C12" s="407"/>
      <c r="D12" s="1079" t="s">
        <v>251</v>
      </c>
      <c r="E12" s="1063"/>
      <c r="F12" s="1063"/>
      <c r="G12" s="1063"/>
      <c r="H12" s="1063"/>
      <c r="I12" s="1080"/>
      <c r="K12" s="1076" t="s">
        <v>144</v>
      </c>
      <c r="L12" s="1079" t="s">
        <v>251</v>
      </c>
      <c r="M12" s="1063"/>
      <c r="N12" s="1063"/>
      <c r="O12" s="1063"/>
      <c r="P12" s="1063"/>
      <c r="Q12" s="1080"/>
    </row>
    <row r="13" spans="1:28" ht="15.75" thickBot="1" x14ac:dyDescent="0.3">
      <c r="B13" s="1058"/>
      <c r="C13" s="407"/>
      <c r="D13" s="814" t="s">
        <v>259</v>
      </c>
      <c r="E13" s="815"/>
      <c r="F13" s="815"/>
      <c r="G13" s="815"/>
      <c r="H13" s="815"/>
      <c r="I13" s="873"/>
      <c r="K13" s="1058"/>
      <c r="L13" s="814" t="s">
        <v>259</v>
      </c>
      <c r="M13" s="815"/>
      <c r="N13" s="815"/>
      <c r="O13" s="815"/>
      <c r="P13" s="815"/>
      <c r="Q13" s="873"/>
    </row>
    <row r="14" spans="1:28" ht="15.75" thickBot="1" x14ac:dyDescent="0.3">
      <c r="B14" s="1058"/>
      <c r="C14" s="406"/>
      <c r="D14" s="19" t="s">
        <v>219</v>
      </c>
      <c r="E14" s="312" t="s">
        <v>17</v>
      </c>
      <c r="F14" s="229" t="s">
        <v>18</v>
      </c>
      <c r="G14" s="171" t="s">
        <v>19</v>
      </c>
      <c r="H14" s="172" t="s">
        <v>20</v>
      </c>
      <c r="I14" s="173" t="s">
        <v>21</v>
      </c>
      <c r="K14" s="1058"/>
      <c r="L14" s="19" t="s">
        <v>23</v>
      </c>
      <c r="M14" s="304" t="s">
        <v>17</v>
      </c>
      <c r="N14" s="332" t="s">
        <v>18</v>
      </c>
      <c r="O14" s="90" t="s">
        <v>19</v>
      </c>
      <c r="P14" s="177" t="s">
        <v>20</v>
      </c>
      <c r="Q14" s="178" t="s">
        <v>21</v>
      </c>
    </row>
    <row r="15" spans="1:28" ht="15.75" thickBot="1" x14ac:dyDescent="0.3">
      <c r="B15" s="1058"/>
      <c r="C15" s="407"/>
      <c r="D15" s="232" t="s">
        <v>183</v>
      </c>
      <c r="E15" s="1073">
        <f>'Table 2 -B -Outcome Analysis '!G14</f>
        <v>0.7</v>
      </c>
      <c r="F15" s="1073"/>
      <c r="G15" s="433">
        <f>'Table 2 -B -Outcome Analysis '!I14</f>
        <v>0.25</v>
      </c>
      <c r="H15" s="1073">
        <f>'Table 2 -B -Outcome Analysis '!J14</f>
        <v>0.05</v>
      </c>
      <c r="I15" s="1073"/>
      <c r="K15" s="1058"/>
      <c r="L15" s="93"/>
      <c r="M15" s="1081"/>
      <c r="N15" s="1082"/>
      <c r="O15" s="331"/>
      <c r="P15" s="95"/>
      <c r="Q15" s="96"/>
    </row>
    <row r="16" spans="1:28" ht="15.75" thickBot="1" x14ac:dyDescent="0.3">
      <c r="B16" s="1058"/>
      <c r="C16" s="407"/>
      <c r="D16" s="232" t="s">
        <v>3</v>
      </c>
      <c r="E16" s="433">
        <f>'Table 2 -B -Outcome Analysis '!G15</f>
        <v>0.66300000000000003</v>
      </c>
      <c r="F16" s="433">
        <f>'Table 2 -B -Outcome Analysis '!H15</f>
        <v>0.19700000000000001</v>
      </c>
      <c r="G16" s="433">
        <f>'Table 2 -B -Outcome Analysis '!I15</f>
        <v>0.11700000000000001</v>
      </c>
      <c r="H16" s="433">
        <f>'Table 2 -B -Outcome Analysis '!J15</f>
        <v>0.02</v>
      </c>
      <c r="I16" s="433">
        <f>'Table 2 -B -Outcome Analysis '!K15</f>
        <v>3.0000000000000001E-3</v>
      </c>
      <c r="K16" s="1058"/>
      <c r="L16" s="93"/>
      <c r="M16" s="94"/>
      <c r="N16" s="94"/>
      <c r="O16" s="94"/>
      <c r="P16" s="95"/>
      <c r="Q16" s="96"/>
    </row>
    <row r="17" spans="1:18" ht="15.75" thickBot="1" x14ac:dyDescent="0.3">
      <c r="B17" s="1058"/>
      <c r="C17" s="407"/>
      <c r="D17" s="232" t="s">
        <v>4</v>
      </c>
      <c r="E17" s="433">
        <f>'Table 2 -B -Outcome Analysis '!G16</f>
        <v>0.49299999999999999</v>
      </c>
      <c r="F17" s="433">
        <f>'Table 2 -B -Outcome Analysis '!H16</f>
        <v>0.27700000000000002</v>
      </c>
      <c r="G17" s="433">
        <f>'Table 2 -B -Outcome Analysis '!I16</f>
        <v>0.23</v>
      </c>
      <c r="H17" s="433">
        <f>'Table 2 -B -Outcome Analysis '!J16</f>
        <v>0</v>
      </c>
      <c r="I17" s="433">
        <f>'Table 2 -B -Outcome Analysis '!K16</f>
        <v>0</v>
      </c>
      <c r="K17" s="1058"/>
      <c r="L17" s="93"/>
      <c r="M17" s="94"/>
      <c r="N17" s="94"/>
      <c r="O17" s="94"/>
      <c r="P17" s="94"/>
      <c r="Q17" s="96"/>
    </row>
    <row r="18" spans="1:18" ht="15.75" thickBot="1" x14ac:dyDescent="0.3">
      <c r="B18" s="1058"/>
      <c r="C18" s="407"/>
      <c r="D18" s="232" t="s">
        <v>5</v>
      </c>
      <c r="E18" s="433">
        <f>'Table 2 -B -Outcome Analysis '!G17</f>
        <v>0.17</v>
      </c>
      <c r="F18" s="433">
        <f>'Table 2 -B -Outcome Analysis '!H17</f>
        <v>0.49</v>
      </c>
      <c r="G18" s="1064">
        <f>'Table 2 -B -Outcome Analysis '!I17</f>
        <v>0.34</v>
      </c>
      <c r="H18" s="1065"/>
      <c r="I18" s="1066"/>
      <c r="K18" s="1058"/>
      <c r="L18" s="93"/>
      <c r="M18" s="94"/>
      <c r="N18" s="94"/>
      <c r="O18" s="1060"/>
      <c r="P18" s="1061"/>
      <c r="Q18" s="1062"/>
    </row>
    <row r="19" spans="1:18" ht="7.5" customHeight="1" thickBot="1" x14ac:dyDescent="0.3">
      <c r="B19" s="1058"/>
      <c r="C19" s="407"/>
      <c r="D19" s="350"/>
      <c r="E19" s="351"/>
      <c r="F19" s="351"/>
      <c r="G19" s="351"/>
      <c r="H19" s="352"/>
      <c r="I19" s="353"/>
      <c r="K19" s="1058"/>
      <c r="L19" s="354"/>
      <c r="M19" s="355"/>
      <c r="N19" s="355"/>
      <c r="O19" s="355"/>
      <c r="P19" s="356"/>
      <c r="Q19" s="357"/>
    </row>
    <row r="20" spans="1:18" ht="15.75" thickBot="1" x14ac:dyDescent="0.3">
      <c r="B20" s="1058"/>
      <c r="C20" s="407"/>
      <c r="D20" s="232" t="s">
        <v>6</v>
      </c>
      <c r="E20" s="323" t="s">
        <v>8</v>
      </c>
      <c r="F20" s="323" t="s">
        <v>65</v>
      </c>
      <c r="G20" s="323" t="s">
        <v>7</v>
      </c>
      <c r="H20" s="323" t="s">
        <v>66</v>
      </c>
      <c r="I20" s="417"/>
      <c r="K20" s="1058"/>
      <c r="L20" s="93" t="s">
        <v>6</v>
      </c>
      <c r="M20" s="323" t="s">
        <v>8</v>
      </c>
      <c r="N20" s="323" t="s">
        <v>65</v>
      </c>
      <c r="O20" s="323" t="s">
        <v>7</v>
      </c>
      <c r="P20" s="323" t="s">
        <v>66</v>
      </c>
      <c r="Q20" s="420"/>
    </row>
    <row r="21" spans="1:18" ht="15.75" thickBot="1" x14ac:dyDescent="0.3">
      <c r="B21" s="1058"/>
      <c r="C21" s="406"/>
      <c r="D21" s="93" t="s">
        <v>35</v>
      </c>
      <c r="E21" s="379">
        <f>'Table 2 -B -Outcome Analysis '!C19</f>
        <v>0.01</v>
      </c>
      <c r="F21" s="379">
        <f>'Table 2 -B -Outcome Analysis '!D19</f>
        <v>0.01</v>
      </c>
      <c r="G21" s="379">
        <f>'Table 2 -B -Outcome Analysis '!E19</f>
        <v>0.01</v>
      </c>
      <c r="H21" s="379">
        <f>'Table 2 -B -Outcome Analysis '!F19</f>
        <v>0.01</v>
      </c>
      <c r="I21" s="418"/>
      <c r="K21" s="1058"/>
      <c r="L21" s="93" t="s">
        <v>35</v>
      </c>
      <c r="M21" s="380">
        <f>'Table 2 -B -Outcome Analysis '!N19</f>
        <v>0.02</v>
      </c>
      <c r="N21" s="380">
        <f>'Table 2 -B -Outcome Analysis '!O19</f>
        <v>0.02</v>
      </c>
      <c r="O21" s="380">
        <f>'Table 2 -B -Outcome Analysis '!P19</f>
        <v>0.02</v>
      </c>
      <c r="P21" s="380">
        <f>'Table 2 -B -Outcome Analysis '!Q19</f>
        <v>0.02</v>
      </c>
      <c r="Q21" s="421"/>
    </row>
    <row r="22" spans="1:18" ht="15.75" thickBot="1" x14ac:dyDescent="0.3">
      <c r="B22" s="1058"/>
      <c r="C22" s="406"/>
      <c r="D22" s="93" t="s">
        <v>36</v>
      </c>
      <c r="E22" s="379">
        <f>'Table 2 -B -Outcome Analysis '!C20</f>
        <v>0.03</v>
      </c>
      <c r="F22" s="379">
        <f>'Table 2 -B -Outcome Analysis '!D20</f>
        <v>0.03</v>
      </c>
      <c r="G22" s="379">
        <f>'Table 2 -B -Outcome Analysis '!E20</f>
        <v>0.03</v>
      </c>
      <c r="H22" s="379">
        <f>'Table 2 -B -Outcome Analysis '!F20</f>
        <v>0.03</v>
      </c>
      <c r="I22" s="418"/>
      <c r="K22" s="1058"/>
      <c r="L22" s="93" t="s">
        <v>36</v>
      </c>
      <c r="M22" s="380">
        <f>'Table 2 -B -Outcome Analysis '!N20</f>
        <v>0.04</v>
      </c>
      <c r="N22" s="380">
        <f>'Table 2 -B -Outcome Analysis '!O20</f>
        <v>0.04</v>
      </c>
      <c r="O22" s="380">
        <f>'Table 2 -B -Outcome Analysis '!P20</f>
        <v>0.04</v>
      </c>
      <c r="P22" s="380">
        <f>'Table 2 -B -Outcome Analysis '!Q20</f>
        <v>0.04</v>
      </c>
      <c r="Q22" s="421"/>
    </row>
    <row r="23" spans="1:18" ht="15.75" thickBot="1" x14ac:dyDescent="0.3">
      <c r="B23" s="1058"/>
      <c r="C23" s="406"/>
      <c r="D23" s="93" t="s">
        <v>37</v>
      </c>
      <c r="E23" s="379">
        <f>'Table 2 -B -Outcome Analysis '!C21</f>
        <v>0.05</v>
      </c>
      <c r="F23" s="379">
        <f>'Table 2 -B -Outcome Analysis '!D21</f>
        <v>0.05</v>
      </c>
      <c r="G23" s="379">
        <f>'Table 2 -B -Outcome Analysis '!E21</f>
        <v>0.05</v>
      </c>
      <c r="H23" s="379">
        <f>'Table 2 -B -Outcome Analysis '!F21</f>
        <v>0.05</v>
      </c>
      <c r="I23" s="418"/>
      <c r="K23" s="1058"/>
      <c r="L23" s="93" t="s">
        <v>37</v>
      </c>
      <c r="M23" s="380">
        <f>'Table 2 -B -Outcome Analysis '!N21</f>
        <v>0.06</v>
      </c>
      <c r="N23" s="380">
        <f>'Table 2 -B -Outcome Analysis '!O21</f>
        <v>0.06</v>
      </c>
      <c r="O23" s="380">
        <f>'Table 2 -B -Outcome Analysis '!P21</f>
        <v>0.06</v>
      </c>
      <c r="P23" s="380">
        <f>'Table 2 -B -Outcome Analysis '!Q21</f>
        <v>0.06</v>
      </c>
      <c r="Q23" s="421"/>
    </row>
    <row r="24" spans="1:18" ht="15.75" thickBot="1" x14ac:dyDescent="0.3">
      <c r="A24" t="s">
        <v>69</v>
      </c>
      <c r="B24" s="1058"/>
      <c r="C24" s="406"/>
      <c r="D24" s="97" t="s">
        <v>38</v>
      </c>
      <c r="E24" s="379">
        <f>'Table 2 -B -Outcome Analysis '!C22</f>
        <v>7.0000000000000007E-2</v>
      </c>
      <c r="F24" s="379">
        <f>'Table 2 -B -Outcome Analysis '!D22</f>
        <v>7.0000000000000007E-2</v>
      </c>
      <c r="G24" s="379">
        <f>'Table 2 -B -Outcome Analysis '!E22</f>
        <v>7.0000000000000007E-2</v>
      </c>
      <c r="H24" s="379">
        <f>'Table 2 -B -Outcome Analysis '!F22</f>
        <v>7.0000000000000007E-2</v>
      </c>
      <c r="I24" s="419"/>
      <c r="K24" s="1058"/>
      <c r="L24" s="97" t="s">
        <v>38</v>
      </c>
      <c r="M24" s="380">
        <f>'Table 2 -B -Outcome Analysis '!N22</f>
        <v>0.08</v>
      </c>
      <c r="N24" s="380">
        <f>'Table 2 -B -Outcome Analysis '!O22</f>
        <v>0.08</v>
      </c>
      <c r="O24" s="380">
        <f>'Table 2 -B -Outcome Analysis '!P22</f>
        <v>0.08</v>
      </c>
      <c r="P24" s="380">
        <f>'Table 2 -B -Outcome Analysis '!Q22</f>
        <v>0.08</v>
      </c>
      <c r="Q24" s="422"/>
    </row>
    <row r="25" spans="1:18" ht="15.75" thickBot="1" x14ac:dyDescent="0.3">
      <c r="B25" s="1058"/>
      <c r="C25" s="407"/>
      <c r="D25" s="780"/>
      <c r="E25" s="1063"/>
      <c r="F25" s="1063"/>
      <c r="G25" s="1063"/>
      <c r="H25" s="1063"/>
      <c r="I25" s="1063"/>
      <c r="K25" s="1058"/>
      <c r="L25" s="780"/>
      <c r="M25" s="781"/>
      <c r="N25" s="781"/>
      <c r="O25" s="781"/>
      <c r="P25" s="781"/>
      <c r="Q25" s="781"/>
    </row>
    <row r="26" spans="1:18" ht="15.75" thickBot="1" x14ac:dyDescent="0.3">
      <c r="B26" s="1077"/>
      <c r="C26" s="407"/>
      <c r="D26" s="349"/>
      <c r="E26" s="312" t="s">
        <v>17</v>
      </c>
      <c r="F26" s="229" t="s">
        <v>18</v>
      </c>
      <c r="G26" s="171" t="s">
        <v>19</v>
      </c>
      <c r="H26" s="172" t="s">
        <v>20</v>
      </c>
      <c r="I26" s="173" t="s">
        <v>21</v>
      </c>
      <c r="K26" s="1077"/>
      <c r="L26" s="18"/>
      <c r="M26" s="304" t="s">
        <v>17</v>
      </c>
      <c r="N26" s="332" t="s">
        <v>18</v>
      </c>
      <c r="O26" s="90" t="s">
        <v>19</v>
      </c>
      <c r="P26" s="177" t="s">
        <v>20</v>
      </c>
      <c r="Q26" s="178" t="s">
        <v>21</v>
      </c>
    </row>
    <row r="27" spans="1:18" ht="42" customHeight="1" thickBot="1" x14ac:dyDescent="0.3">
      <c r="B27" s="1077"/>
      <c r="C27" s="407"/>
      <c r="D27" s="429" t="s">
        <v>253</v>
      </c>
      <c r="E27" s="386">
        <f>'Table 2 -B -Outcome Analysis '!G34</f>
        <v>0</v>
      </c>
      <c r="F27" s="386">
        <f>'Table 2 -B -Outcome Analysis '!H34</f>
        <v>0</v>
      </c>
      <c r="G27" s="386">
        <f>'Table 2 -B -Outcome Analysis '!I34</f>
        <v>0</v>
      </c>
      <c r="H27" s="386">
        <f>'Table 2 -B -Outcome Analysis '!J34</f>
        <v>0</v>
      </c>
      <c r="I27" s="386">
        <f>'Table 2 -B -Outcome Analysis '!K34</f>
        <v>0</v>
      </c>
      <c r="K27" s="1077"/>
      <c r="L27" s="235" t="s">
        <v>253</v>
      </c>
      <c r="M27" s="386">
        <f>'Table 2 -B -Outcome Analysis '!O34</f>
        <v>0</v>
      </c>
      <c r="N27" s="386">
        <f>'Table 2 -B -Outcome Analysis '!S34</f>
        <v>0</v>
      </c>
      <c r="O27" s="386">
        <f>'Table 2 -B -Outcome Analysis '!T34</f>
        <v>0</v>
      </c>
      <c r="P27" s="386">
        <f>'Table 2 -B -Outcome Analysis '!U34</f>
        <v>0</v>
      </c>
      <c r="Q27" s="386">
        <f>'Table 2 -B -Outcome Analysis '!V34</f>
        <v>0</v>
      </c>
    </row>
    <row r="28" spans="1:18" ht="15.75" thickBot="1" x14ac:dyDescent="0.3">
      <c r="B28" s="1078"/>
      <c r="C28" s="407"/>
      <c r="D28" s="426" t="s">
        <v>252</v>
      </c>
      <c r="E28" s="342">
        <f>1-SUM(F28:I28)</f>
        <v>1</v>
      </c>
      <c r="F28" s="427"/>
      <c r="G28" s="427"/>
      <c r="H28" s="427"/>
      <c r="I28" s="428"/>
      <c r="K28" s="1078"/>
      <c r="L28" s="426" t="s">
        <v>252</v>
      </c>
      <c r="M28" s="330">
        <f>1-SUM(N28:Q28)</f>
        <v>1</v>
      </c>
      <c r="N28" s="322"/>
      <c r="O28" s="322"/>
      <c r="P28" s="322"/>
      <c r="Q28" s="322"/>
      <c r="R28" t="str">
        <f>IF(SUM(M28:Q28)=1,"OK","Erreur")</f>
        <v>OK</v>
      </c>
    </row>
    <row r="29" spans="1:18" ht="15.75" thickBot="1" x14ac:dyDescent="0.3">
      <c r="B29" s="98"/>
      <c r="C29" s="98"/>
      <c r="D29" s="22"/>
      <c r="E29" s="337"/>
      <c r="F29" s="337"/>
      <c r="G29" s="337"/>
      <c r="H29" s="337"/>
      <c r="I29" s="338"/>
      <c r="K29" s="98"/>
      <c r="L29" s="22"/>
      <c r="M29" s="23"/>
      <c r="N29" s="23"/>
      <c r="O29" s="23"/>
      <c r="P29" s="23"/>
      <c r="Q29" s="236"/>
    </row>
    <row r="30" spans="1:18" ht="15.75" customHeight="1" thickBot="1" x14ac:dyDescent="0.3">
      <c r="B30" s="1067" t="s">
        <v>250</v>
      </c>
      <c r="C30" s="408"/>
      <c r="D30" s="780" t="s">
        <v>254</v>
      </c>
      <c r="E30" s="781"/>
      <c r="F30" s="781"/>
      <c r="G30" s="781"/>
      <c r="H30" s="781"/>
      <c r="I30" s="1057"/>
      <c r="K30" s="1067" t="s">
        <v>250</v>
      </c>
      <c r="L30" s="780" t="s">
        <v>254</v>
      </c>
      <c r="M30" s="781"/>
      <c r="N30" s="781"/>
      <c r="O30" s="781"/>
      <c r="P30" s="781"/>
      <c r="Q30" s="1057"/>
    </row>
    <row r="31" spans="1:18" ht="15.75" thickBot="1" x14ac:dyDescent="0.3">
      <c r="B31" s="1068"/>
      <c r="C31" s="409"/>
      <c r="D31" s="800" t="s">
        <v>259</v>
      </c>
      <c r="E31" s="801"/>
      <c r="F31" s="801"/>
      <c r="G31" s="801"/>
      <c r="H31" s="801"/>
      <c r="I31" s="801"/>
      <c r="K31" s="1068"/>
      <c r="L31" s="814" t="s">
        <v>259</v>
      </c>
      <c r="M31" s="815"/>
      <c r="N31" s="815"/>
      <c r="O31" s="815"/>
      <c r="P31" s="815"/>
      <c r="Q31" s="815"/>
    </row>
    <row r="32" spans="1:18" ht="15.75" thickBot="1" x14ac:dyDescent="0.3">
      <c r="B32" s="1068"/>
      <c r="C32" s="410"/>
      <c r="D32" s="339" t="s">
        <v>219</v>
      </c>
      <c r="E32" s="327" t="s">
        <v>17</v>
      </c>
      <c r="F32" s="328" t="s">
        <v>18</v>
      </c>
      <c r="G32" s="275" t="s">
        <v>19</v>
      </c>
      <c r="H32" s="276" t="s">
        <v>20</v>
      </c>
      <c r="I32" s="277" t="s">
        <v>21</v>
      </c>
      <c r="K32" s="1068"/>
      <c r="L32" s="19" t="s">
        <v>219</v>
      </c>
      <c r="M32" s="312" t="s">
        <v>17</v>
      </c>
      <c r="N32" s="229" t="s">
        <v>18</v>
      </c>
      <c r="O32" s="171" t="s">
        <v>19</v>
      </c>
      <c r="P32" s="172" t="s">
        <v>20</v>
      </c>
      <c r="Q32" s="29" t="s">
        <v>21</v>
      </c>
    </row>
    <row r="33" spans="2:17" ht="27" customHeight="1" thickBot="1" x14ac:dyDescent="0.3">
      <c r="B33" s="1068"/>
      <c r="C33" s="410"/>
      <c r="D33" s="68" t="s">
        <v>255</v>
      </c>
      <c r="E33" s="432">
        <f>'Table 2 -B -Outcome Analysis '!G39</f>
        <v>0.18</v>
      </c>
      <c r="F33" s="431">
        <f>'Table 2 -B -Outcome Analysis '!H39</f>
        <v>0.45</v>
      </c>
      <c r="G33" s="431">
        <f>'Table 2 -B -Outcome Analysis '!I39</f>
        <v>0.17299999999999999</v>
      </c>
      <c r="H33" s="431">
        <f>'Table 2 -B -Outcome Analysis '!J39</f>
        <v>0.19700000000000001</v>
      </c>
      <c r="I33" s="228"/>
      <c r="K33" s="1068"/>
      <c r="L33" s="99" t="s">
        <v>255</v>
      </c>
      <c r="M33" s="386">
        <f>'Table 2 -B -Outcome Analysis '!O49</f>
        <v>0</v>
      </c>
      <c r="N33" s="386">
        <f>'Table 2 -B -Outcome Analysis '!S49</f>
        <v>0</v>
      </c>
      <c r="O33" s="386">
        <f>'Table 2 -B -Outcome Analysis '!T49</f>
        <v>0</v>
      </c>
      <c r="P33" s="386">
        <f>'Table 2 -B -Outcome Analysis '!U49</f>
        <v>0</v>
      </c>
      <c r="Q33" s="382"/>
    </row>
    <row r="34" spans="2:17" ht="15.75" thickBot="1" x14ac:dyDescent="0.3">
      <c r="B34" s="299"/>
      <c r="C34" s="411"/>
      <c r="D34" s="22"/>
      <c r="E34" s="337"/>
      <c r="F34" s="337"/>
      <c r="G34" s="337"/>
      <c r="H34" s="337"/>
      <c r="I34" s="338"/>
      <c r="K34" s="299"/>
      <c r="L34" s="22"/>
      <c r="M34" s="24"/>
      <c r="N34" s="24"/>
      <c r="O34" s="24"/>
      <c r="P34" s="24"/>
      <c r="Q34" s="25"/>
    </row>
    <row r="35" spans="2:17" ht="15.75" customHeight="1" thickBot="1" x14ac:dyDescent="0.3">
      <c r="B35" s="1058" t="s">
        <v>146</v>
      </c>
      <c r="C35" s="407"/>
      <c r="D35" s="780" t="s">
        <v>218</v>
      </c>
      <c r="E35" s="781"/>
      <c r="F35" s="781"/>
      <c r="G35" s="781"/>
      <c r="H35" s="781"/>
      <c r="I35" s="1057"/>
      <c r="K35" s="1058" t="s">
        <v>146</v>
      </c>
      <c r="L35" s="780" t="s">
        <v>218</v>
      </c>
      <c r="M35" s="781"/>
      <c r="N35" s="781"/>
      <c r="O35" s="781"/>
      <c r="P35" s="781"/>
      <c r="Q35" s="1057"/>
    </row>
    <row r="36" spans="2:17" ht="15.75" thickBot="1" x14ac:dyDescent="0.3">
      <c r="B36" s="1058"/>
      <c r="C36" s="407"/>
      <c r="D36" s="814" t="s">
        <v>259</v>
      </c>
      <c r="E36" s="815"/>
      <c r="F36" s="815"/>
      <c r="G36" s="815"/>
      <c r="H36" s="815"/>
      <c r="I36" s="815"/>
      <c r="K36" s="1058"/>
      <c r="L36" s="814" t="s">
        <v>259</v>
      </c>
      <c r="M36" s="815"/>
      <c r="N36" s="815"/>
      <c r="O36" s="815"/>
      <c r="P36" s="815"/>
      <c r="Q36" s="815"/>
    </row>
    <row r="37" spans="2:17" ht="15.75" thickBot="1" x14ac:dyDescent="0.3">
      <c r="B37" s="1058"/>
      <c r="C37" s="406"/>
      <c r="D37" s="19" t="s">
        <v>219</v>
      </c>
      <c r="E37" s="312" t="s">
        <v>17</v>
      </c>
      <c r="F37" s="229" t="s">
        <v>18</v>
      </c>
      <c r="G37" s="171" t="s">
        <v>19</v>
      </c>
      <c r="H37" s="172" t="s">
        <v>20</v>
      </c>
      <c r="I37" s="173" t="s">
        <v>21</v>
      </c>
      <c r="K37" s="1058"/>
      <c r="L37" s="19" t="s">
        <v>219</v>
      </c>
      <c r="M37" s="303" t="s">
        <v>17</v>
      </c>
      <c r="N37" s="229" t="s">
        <v>18</v>
      </c>
      <c r="O37" s="44" t="s">
        <v>19</v>
      </c>
      <c r="P37" s="45" t="s">
        <v>20</v>
      </c>
      <c r="Q37" s="46" t="s">
        <v>21</v>
      </c>
    </row>
    <row r="38" spans="2:17" x14ac:dyDescent="0.25">
      <c r="B38" s="1058"/>
      <c r="C38" s="407"/>
      <c r="D38" s="100" t="s">
        <v>223</v>
      </c>
      <c r="E38" s="431" t="str">
        <f>IF('Table 2 -B -Outcome Analysis '!G54=1,'Table 2 -B -Outcome Analysis '!$C$54,"")</f>
        <v/>
      </c>
      <c r="F38" s="431" t="str">
        <f>IF('Table 2 -B -Outcome Analysis '!H54=2,'Table 2 -B -Outcome Analysis '!$C$54,"")</f>
        <v/>
      </c>
      <c r="G38" s="431" t="str">
        <f>IF('Table 2 -B -Outcome Analysis '!I54=3,'Table 2 -B -Outcome Analysis '!$C$54,"")</f>
        <v/>
      </c>
      <c r="H38" s="431" t="str">
        <f>IF('Table 2 -B -Outcome Analysis '!J54=4,'Table 2 -B -Outcome Analysis '!$C$54,"")</f>
        <v/>
      </c>
      <c r="I38" s="431" t="str">
        <f>IF('Table 2 -B -Outcome Analysis '!K54=5,'Table 2 -B -Outcome Analysis '!$C$54,"")</f>
        <v/>
      </c>
      <c r="K38" s="1058"/>
      <c r="L38" s="101"/>
      <c r="M38" s="102"/>
      <c r="N38" s="102"/>
      <c r="O38" s="102"/>
      <c r="P38" s="102"/>
      <c r="Q38" s="102"/>
    </row>
    <row r="39" spans="2:17" x14ac:dyDescent="0.25">
      <c r="B39" s="1058"/>
      <c r="C39" s="406"/>
      <c r="D39" s="103" t="s">
        <v>256</v>
      </c>
      <c r="E39" s="431" t="str">
        <f>IF('Table 2 -B -Outcome Analysis '!G55=1,'Table 2 -B -Outcome Analysis '!$C$55,"")</f>
        <v/>
      </c>
      <c r="F39" s="431" t="str">
        <f>IF('Table 2 -B -Outcome Analysis '!H55=2,'Table 2 -B -Outcome Analysis '!$C$55,"")</f>
        <v/>
      </c>
      <c r="G39" s="431" t="str">
        <f>IF('Table 2 -B -Outcome Analysis '!I55=3,'Table 2 -B -Outcome Analysis '!$C$55,"")</f>
        <v/>
      </c>
      <c r="H39" s="431" t="str">
        <f>IF('Table 2 -B -Outcome Analysis '!J55=4,'Table 2 -B -Outcome Analysis '!$C$55,"")</f>
        <v/>
      </c>
      <c r="I39" s="431" t="str">
        <f>IF('Table 2 -B -Outcome Analysis '!K55=5,'Table 2 -B -Outcome Analysis '!$C$55,"")</f>
        <v/>
      </c>
      <c r="K39" s="1058"/>
      <c r="L39" s="103" t="s">
        <v>256</v>
      </c>
      <c r="M39" s="434" t="str">
        <f>IF('Table 2 -B -Outcome Analysis '!O56=1,'Table 2 -B -Outcome Analysis '!$N$56,"")</f>
        <v/>
      </c>
      <c r="N39" s="434" t="str">
        <f>IF('Table 2 -B -Outcome Analysis '!S56=2,'Table 2 -B -Outcome Analysis '!$N$56,"")</f>
        <v/>
      </c>
      <c r="O39" s="434" t="str">
        <f>IF('Table 2 -B -Outcome Analysis '!T56=3,'Table 2 -B -Outcome Analysis '!$N$56,"")</f>
        <v/>
      </c>
      <c r="P39" s="434" t="str">
        <f>IF('Table 2 -B -Outcome Analysis '!U56=4,'Table 2 -B -Outcome Analysis '!$N$56,"")</f>
        <v/>
      </c>
      <c r="Q39" s="434" t="str">
        <f>IF('Table 2 -B -Outcome Analysis '!V56=5,'Table 2 -B -Outcome Analysis '!$N$56,"")</f>
        <v/>
      </c>
    </row>
    <row r="40" spans="2:17" ht="15.75" thickBot="1" x14ac:dyDescent="0.3">
      <c r="B40" s="1058"/>
      <c r="C40" s="407"/>
      <c r="D40" s="104" t="s">
        <v>166</v>
      </c>
      <c r="E40" s="431" t="str">
        <f>IF('Table 2 -B -Outcome Analysis '!G56=1,'Table 2 -B -Outcome Analysis '!$C$56,"")</f>
        <v/>
      </c>
      <c r="F40" s="431" t="str">
        <f>IF('Table 2 -B -Outcome Analysis '!H56=2,'Table 2 -B -Outcome Analysis '!$C$56,"")</f>
        <v/>
      </c>
      <c r="G40" s="431" t="str">
        <f>IF('Table 2 -B -Outcome Analysis '!I56=3,'Table 2 -B -Outcome Analysis '!$C$56,"")</f>
        <v/>
      </c>
      <c r="H40" s="431" t="str">
        <f>IF('Table 2 -B -Outcome Analysis '!J56=4,'Table 2 -B -Outcome Analysis '!$C$56,"")</f>
        <v/>
      </c>
      <c r="I40" s="431" t="str">
        <f>IF('Table 2 -B -Outcome Analysis '!K56=5,'Table 2 -B -Outcome Analysis '!$C$56,"")</f>
        <v/>
      </c>
      <c r="K40" s="1058"/>
      <c r="L40" s="105"/>
      <c r="M40" s="102"/>
      <c r="N40" s="102"/>
      <c r="O40" s="102"/>
      <c r="P40" s="102"/>
      <c r="Q40" s="102"/>
    </row>
    <row r="41" spans="2:17" ht="15.75" thickBot="1" x14ac:dyDescent="0.3">
      <c r="B41" s="1058"/>
      <c r="C41" s="407"/>
      <c r="D41" s="780" t="s">
        <v>258</v>
      </c>
      <c r="E41" s="1069"/>
      <c r="F41" s="1069"/>
      <c r="G41" s="1069"/>
      <c r="H41" s="1069"/>
      <c r="I41" s="1070"/>
      <c r="K41" s="1058"/>
      <c r="L41" s="780"/>
      <c r="M41" s="1069"/>
      <c r="N41" s="1069"/>
      <c r="O41" s="1069"/>
      <c r="P41" s="1069"/>
      <c r="Q41" s="1070"/>
    </row>
    <row r="42" spans="2:17" ht="23.25" thickBot="1" x14ac:dyDescent="0.3">
      <c r="B42" s="1058"/>
      <c r="C42" s="407"/>
      <c r="D42" s="106" t="s">
        <v>10</v>
      </c>
      <c r="E42" s="212" t="str">
        <f>IF('Table 2 -B -Outcome Analysis '!G58=1,'Table 2 -B -Outcome Analysis '!$C$58,"")</f>
        <v/>
      </c>
      <c r="F42" s="212" t="str">
        <f>IF('Table 2 -B -Outcome Analysis '!H58=2,'Table 2 -B -Outcome Analysis '!$C$58,"")</f>
        <v/>
      </c>
      <c r="G42" s="212" t="str">
        <f>IF('Table 2 -B -Outcome Analysis '!I58=3,'Table 2 -B -Outcome Analysis '!$C$58,"")</f>
        <v/>
      </c>
      <c r="H42" s="212" t="str">
        <f>IF('Table 2 -B -Outcome Analysis '!J58=4,'Table 2 -B -Outcome Analysis '!$C$58,"")</f>
        <v/>
      </c>
      <c r="I42" s="212" t="str">
        <f>IF('Table 2 -B -Outcome Analysis '!K58=5,'Table 2 -B -Outcome Analysis '!$C$58,"")</f>
        <v/>
      </c>
      <c r="K42" s="1058"/>
      <c r="L42" s="99" t="s">
        <v>41</v>
      </c>
      <c r="M42" s="386">
        <f>'Table 2 -B -Outcome Analysis '!O68</f>
        <v>0</v>
      </c>
      <c r="N42" s="386">
        <f>'Table 2 -B -Outcome Analysis '!S68</f>
        <v>0</v>
      </c>
      <c r="O42" s="386">
        <f>'Table 2 -B -Outcome Analysis '!T68</f>
        <v>0</v>
      </c>
      <c r="P42" s="386">
        <f>'Table 2 -B -Outcome Analysis '!U68</f>
        <v>0</v>
      </c>
      <c r="Q42" s="386">
        <f>'Table 2 -B -Outcome Analysis '!V68</f>
        <v>0</v>
      </c>
    </row>
    <row r="43" spans="2:17" ht="15.75" thickBot="1" x14ac:dyDescent="0.3">
      <c r="B43" s="299"/>
      <c r="C43" s="411"/>
      <c r="D43" s="22"/>
      <c r="E43" s="226"/>
      <c r="F43" s="226"/>
      <c r="G43" s="226"/>
      <c r="H43" s="226"/>
      <c r="I43" s="227"/>
      <c r="K43" s="21"/>
      <c r="L43" s="22"/>
      <c r="M43" s="24"/>
      <c r="N43" s="24"/>
      <c r="O43" s="24"/>
      <c r="P43" s="24"/>
      <c r="Q43" s="25"/>
    </row>
    <row r="44" spans="2:17" ht="15.75" customHeight="1" thickBot="1" x14ac:dyDescent="0.3">
      <c r="B44" s="1058" t="s">
        <v>147</v>
      </c>
      <c r="C44" s="407"/>
      <c r="D44" s="780" t="s">
        <v>257</v>
      </c>
      <c r="E44" s="781"/>
      <c r="F44" s="781"/>
      <c r="G44" s="781"/>
      <c r="H44" s="781"/>
      <c r="I44" s="1057"/>
      <c r="K44" s="1058" t="s">
        <v>147</v>
      </c>
      <c r="L44" s="780" t="s">
        <v>257</v>
      </c>
      <c r="M44" s="781"/>
      <c r="N44" s="781"/>
      <c r="O44" s="781"/>
      <c r="P44" s="781"/>
      <c r="Q44" s="1057"/>
    </row>
    <row r="45" spans="2:17" ht="15.75" thickBot="1" x14ac:dyDescent="0.3">
      <c r="B45" s="1058"/>
      <c r="C45" s="407"/>
      <c r="D45" s="814" t="s">
        <v>259</v>
      </c>
      <c r="E45" s="815"/>
      <c r="F45" s="815"/>
      <c r="G45" s="815"/>
      <c r="H45" s="815"/>
      <c r="I45" s="873"/>
      <c r="K45" s="1058"/>
      <c r="L45" s="814" t="s">
        <v>259</v>
      </c>
      <c r="M45" s="815"/>
      <c r="N45" s="815"/>
      <c r="O45" s="815"/>
      <c r="P45" s="815"/>
      <c r="Q45" s="873"/>
    </row>
    <row r="46" spans="2:17" ht="15.75" thickBot="1" x14ac:dyDescent="0.3">
      <c r="B46" s="1058"/>
      <c r="C46" s="406"/>
      <c r="D46" s="19" t="s">
        <v>219</v>
      </c>
      <c r="E46" s="312" t="s">
        <v>17</v>
      </c>
      <c r="F46" s="229" t="s">
        <v>18</v>
      </c>
      <c r="G46" s="171" t="s">
        <v>19</v>
      </c>
      <c r="H46" s="172" t="s">
        <v>20</v>
      </c>
      <c r="I46" s="173" t="s">
        <v>21</v>
      </c>
      <c r="K46" s="1058"/>
      <c r="L46" s="19" t="s">
        <v>219</v>
      </c>
      <c r="M46" s="303" t="s">
        <v>17</v>
      </c>
      <c r="N46" s="229" t="s">
        <v>18</v>
      </c>
      <c r="O46" s="44" t="s">
        <v>19</v>
      </c>
      <c r="P46" s="45" t="s">
        <v>20</v>
      </c>
      <c r="Q46" s="46" t="s">
        <v>21</v>
      </c>
    </row>
    <row r="47" spans="2:17" ht="23.25" thickBot="1" x14ac:dyDescent="0.3">
      <c r="B47" s="1058"/>
      <c r="C47" s="407"/>
      <c r="D47" s="107" t="s">
        <v>11</v>
      </c>
      <c r="E47" s="430" t="str">
        <f>IF('Table 2 -B -Outcome Analysis '!G73=1,'Table 2 -B -Outcome Analysis '!$C$73,"")</f>
        <v/>
      </c>
      <c r="F47" s="430" t="str">
        <f>IF('Table 2 -B -Outcome Analysis '!H73=2,'Table 2 -B -Outcome Analysis '!$C$73,"")</f>
        <v/>
      </c>
      <c r="G47" s="430" t="str">
        <f>IF('Table 2 -B -Outcome Analysis '!I73=3,'Table 2 -B -Outcome Analysis '!$C$73,"")</f>
        <v/>
      </c>
      <c r="H47" s="430" t="str">
        <f>IF('Table 2 -B -Outcome Analysis '!J73=4,'Table 2 -B -Outcome Analysis '!$C$73,"")</f>
        <v/>
      </c>
      <c r="I47" s="430" t="str">
        <f>IF('Table 2 -B -Outcome Analysis '!K73=5,'Table 2 -B -Outcome Analysis '!$C$73,"")</f>
        <v/>
      </c>
      <c r="K47" s="1058"/>
      <c r="L47" s="99" t="s">
        <v>41</v>
      </c>
      <c r="M47" s="386">
        <f>'Table 2 -B -Outcome Analysis '!O84</f>
        <v>0</v>
      </c>
      <c r="N47" s="386">
        <f>'Table 2 -B -Outcome Analysis '!S84</f>
        <v>0</v>
      </c>
      <c r="O47" s="386">
        <f>'Table 2 -B -Outcome Analysis '!T84</f>
        <v>0</v>
      </c>
      <c r="P47" s="386">
        <f>'Table 2 -B -Outcome Analysis '!U84</f>
        <v>0</v>
      </c>
      <c r="Q47" s="386">
        <f>'Table 2 -B -Outcome Analysis '!V84</f>
        <v>0</v>
      </c>
    </row>
    <row r="48" spans="2:17" ht="15.75" thickBot="1" x14ac:dyDescent="0.3">
      <c r="B48" s="1059"/>
      <c r="C48" s="407"/>
      <c r="D48" s="107" t="s">
        <v>12</v>
      </c>
      <c r="E48" s="430" t="str">
        <f>IF('Table 2 -B -Outcome Analysis '!G74=1,'Table 2 -B -Outcome Analysis '!$C$74,"")</f>
        <v/>
      </c>
      <c r="F48" s="430" t="str">
        <f>IF('Table 2 -B -Outcome Analysis '!H74=2,'Table 2 -B -Outcome Analysis '!$C$74,"")</f>
        <v/>
      </c>
      <c r="G48" s="430" t="str">
        <f>IF('Table 2 -B -Outcome Analysis '!I74=3,'Table 2 -B -Outcome Analysis '!$C$74,"")</f>
        <v/>
      </c>
      <c r="H48" s="430" t="str">
        <f>IF('Table 2 -B -Outcome Analysis '!J74=4,'Table 2 -B -Outcome Analysis '!$C$74,"")</f>
        <v/>
      </c>
      <c r="I48" s="430" t="str">
        <f>IF('Table 2 -B -Outcome Analysis '!K74=5,'Table 2 -B -Outcome Analysis '!$C$74,"")</f>
        <v/>
      </c>
      <c r="K48" s="1059"/>
      <c r="L48" s="108"/>
      <c r="M48" s="109"/>
      <c r="N48" s="109"/>
      <c r="O48" s="109"/>
      <c r="P48" s="109"/>
      <c r="Q48" s="109"/>
    </row>
    <row r="49" spans="1:28" ht="15.75" thickBot="1" x14ac:dyDescent="0.3">
      <c r="B49" s="21"/>
      <c r="C49" s="21"/>
      <c r="D49" s="110"/>
      <c r="E49" s="230"/>
      <c r="F49" s="230"/>
      <c r="G49" s="230"/>
      <c r="H49" s="230"/>
      <c r="I49" s="230"/>
      <c r="K49" s="21"/>
      <c r="L49" s="110"/>
      <c r="M49" s="110"/>
      <c r="N49" s="110"/>
      <c r="O49" s="110"/>
      <c r="P49" s="110"/>
      <c r="Q49" s="110"/>
    </row>
    <row r="50" spans="1:28" ht="75.95" customHeight="1" thickTop="1" thickBot="1" x14ac:dyDescent="0.3">
      <c r="B50" s="1052" t="s">
        <v>260</v>
      </c>
      <c r="C50" s="1053"/>
      <c r="D50" s="1054"/>
      <c r="E50" s="1003" t="s">
        <v>263</v>
      </c>
      <c r="F50" s="1004"/>
      <c r="G50" s="1004"/>
      <c r="H50" s="1004"/>
      <c r="I50" s="1005"/>
      <c r="K50" s="1052" t="s">
        <v>260</v>
      </c>
      <c r="L50" s="1054"/>
      <c r="M50" s="1055" t="s">
        <v>42</v>
      </c>
      <c r="N50" s="1055"/>
      <c r="O50" s="1055"/>
      <c r="P50" s="1055"/>
      <c r="Q50" s="1056"/>
    </row>
    <row r="51" spans="1:28" ht="56.1" customHeight="1" thickTop="1" thickBot="1" x14ac:dyDescent="0.3">
      <c r="B51" s="1000" t="s">
        <v>132</v>
      </c>
      <c r="C51" s="1001"/>
      <c r="D51" s="1002"/>
      <c r="E51" s="1003" t="s">
        <v>263</v>
      </c>
      <c r="F51" s="1004"/>
      <c r="G51" s="1004"/>
      <c r="H51" s="1004"/>
      <c r="I51" s="1005"/>
      <c r="K51" s="1000" t="s">
        <v>132</v>
      </c>
      <c r="L51" s="1002"/>
      <c r="M51" s="1006" t="s">
        <v>42</v>
      </c>
      <c r="N51" s="1006"/>
      <c r="O51" s="1006"/>
      <c r="P51" s="1006"/>
      <c r="Q51" s="1007"/>
    </row>
    <row r="52" spans="1:28" ht="56.1" customHeight="1" thickTop="1" thickBot="1" x14ac:dyDescent="0.3">
      <c r="B52" s="1000" t="s">
        <v>133</v>
      </c>
      <c r="C52" s="1001"/>
      <c r="D52" s="1002"/>
      <c r="E52" s="1003" t="s">
        <v>263</v>
      </c>
      <c r="F52" s="1004"/>
      <c r="G52" s="1004"/>
      <c r="H52" s="1004"/>
      <c r="I52" s="1005"/>
      <c r="K52" s="1000" t="s">
        <v>133</v>
      </c>
      <c r="L52" s="1002"/>
      <c r="M52" s="1006" t="s">
        <v>42</v>
      </c>
      <c r="N52" s="1006"/>
      <c r="O52" s="1006"/>
      <c r="P52" s="1006"/>
      <c r="Q52" s="1007"/>
    </row>
    <row r="53" spans="1:28" ht="56.1" customHeight="1" thickTop="1" thickBot="1" x14ac:dyDescent="0.3">
      <c r="B53" s="1000" t="s">
        <v>261</v>
      </c>
      <c r="C53" s="1001"/>
      <c r="D53" s="1002"/>
      <c r="E53" s="1003" t="s">
        <v>263</v>
      </c>
      <c r="F53" s="1004"/>
      <c r="G53" s="1004"/>
      <c r="H53" s="1004"/>
      <c r="I53" s="1005"/>
      <c r="K53" s="1000" t="s">
        <v>261</v>
      </c>
      <c r="L53" s="1002"/>
      <c r="M53" s="1006" t="s">
        <v>42</v>
      </c>
      <c r="N53" s="1006"/>
      <c r="O53" s="1006"/>
      <c r="P53" s="1006"/>
      <c r="Q53" s="1007"/>
    </row>
    <row r="54" spans="1:28" ht="56.1" customHeight="1" thickTop="1" thickBot="1" x14ac:dyDescent="0.3">
      <c r="B54" s="1000" t="s">
        <v>135</v>
      </c>
      <c r="C54" s="1001"/>
      <c r="D54" s="1002"/>
      <c r="E54" s="1003" t="s">
        <v>263</v>
      </c>
      <c r="F54" s="1004"/>
      <c r="G54" s="1004"/>
      <c r="H54" s="1004"/>
      <c r="I54" s="1005"/>
      <c r="K54" s="1048" t="s">
        <v>135</v>
      </c>
      <c r="L54" s="1049"/>
      <c r="M54" s="1050" t="s">
        <v>64</v>
      </c>
      <c r="N54" s="1050"/>
      <c r="O54" s="1050"/>
      <c r="P54" s="1050"/>
      <c r="Q54" s="1051"/>
    </row>
    <row r="55" spans="1:28" ht="29.25" customHeight="1" thickBot="1" x14ac:dyDescent="0.3">
      <c r="B55" s="1043" t="s">
        <v>262</v>
      </c>
      <c r="C55" s="1047"/>
      <c r="D55" s="1044"/>
      <c r="E55" s="381" t="str">
        <f>IF('Table 3 - Synthesis &amp; Classif'!$AM$15=1,'Table 3 - Synthesis &amp; Classif'!$AM$15,"")</f>
        <v/>
      </c>
      <c r="F55" s="383" t="str">
        <f>IF('Table 3 - Synthesis &amp; Classif'!$AM$15=2,'Table 3 - Synthesis &amp; Classif'!$AM$15,"")</f>
        <v/>
      </c>
      <c r="G55" s="383" t="str">
        <f>IF('Table 3 - Synthesis &amp; Classif'!$AM$14=3,'Table 3 - Synthesis &amp; Classif'!$AM$14,"")</f>
        <v/>
      </c>
      <c r="H55" s="383" t="str">
        <f>IF('Table 3 - Synthesis &amp; Classif'!$AM$14=4,'Table 3 - Synthesis &amp; Classif'!$AM$14,"")</f>
        <v/>
      </c>
      <c r="I55" s="384" t="str">
        <f>IF('Table 3 - Synthesis &amp; Classif'!$AM$14=5,'Table 3 - Synthesis &amp; Classif'!$AM$14,"")</f>
        <v/>
      </c>
      <c r="J55" t="str">
        <f>IF(SUM(E56:I56)=1,"OK","Erreur")</f>
        <v>OK</v>
      </c>
      <c r="K55" s="1043" t="s">
        <v>264</v>
      </c>
      <c r="L55" s="1044"/>
      <c r="M55" s="383" t="str">
        <f>IF('Table 3 - Synthesis &amp; Classif'!$AM$40=1,'Table 3 - Synthesis &amp; Classif'!$AM$40,"")</f>
        <v/>
      </c>
      <c r="N55" s="383" t="str">
        <f>IF('Table 3 - Synthesis &amp; Classif'!$AM$40=2,'Table 3 - Synthesis &amp; Classif'!$AM$40,"")</f>
        <v/>
      </c>
      <c r="O55" s="383" t="str">
        <f>IF('Table 3 - Synthesis &amp; Classif'!$AM$40=3,'Table 3 - Synthesis &amp; Classif'!$AM$40,"")</f>
        <v/>
      </c>
      <c r="P55" s="383" t="str">
        <f>IF('Table 3 - Synthesis &amp; Classif'!$AM$40=4,'Table 3 - Synthesis &amp; Classif'!$AM$40,"")</f>
        <v/>
      </c>
      <c r="Q55" s="384" t="str">
        <f>IF('Table 3 - Synthesis &amp; Classif'!$AM$40=5,'Table 3 - Synthesis &amp; Classif'!$AM$40,"")</f>
        <v/>
      </c>
    </row>
    <row r="56" spans="1:28" ht="29.25" customHeight="1" thickBot="1" x14ac:dyDescent="0.3">
      <c r="B56" s="1040" t="s">
        <v>265</v>
      </c>
      <c r="C56" s="1041"/>
      <c r="D56" s="1042"/>
      <c r="E56" s="348">
        <f>1-SUM(F56:I56)</f>
        <v>1</v>
      </c>
      <c r="F56" s="343"/>
      <c r="G56" s="343"/>
      <c r="H56" s="343"/>
      <c r="I56" s="344"/>
      <c r="K56" s="1045" t="s">
        <v>265</v>
      </c>
      <c r="L56" s="1046"/>
      <c r="M56" s="345">
        <f>1-SUM(N56:Q56)</f>
        <v>1</v>
      </c>
      <c r="N56" s="346"/>
      <c r="O56" s="346"/>
      <c r="P56" s="346"/>
      <c r="Q56" s="347"/>
      <c r="R56" t="str">
        <f>IF(SUM(M56:Q56)=1,"OK","Erreur")</f>
        <v>OK</v>
      </c>
    </row>
    <row r="57" spans="1:28" ht="17.25" customHeight="1" x14ac:dyDescent="0.25">
      <c r="D57" s="111"/>
    </row>
    <row r="58" spans="1:28" ht="15.75" thickBot="1" x14ac:dyDescent="0.3"/>
    <row r="59" spans="1:28" ht="26.25" x14ac:dyDescent="0.4">
      <c r="A59" s="533" t="s">
        <v>266</v>
      </c>
      <c r="B59" s="534"/>
      <c r="C59" s="534"/>
      <c r="D59" s="534"/>
      <c r="E59" s="534"/>
      <c r="F59" s="534"/>
      <c r="G59" s="534"/>
      <c r="H59" s="534"/>
      <c r="I59" s="534"/>
      <c r="J59" s="534"/>
      <c r="K59" s="534"/>
      <c r="L59" s="534"/>
      <c r="M59" s="534"/>
      <c r="N59" s="534"/>
      <c r="O59" s="65"/>
      <c r="P59" s="65"/>
      <c r="Q59" s="65"/>
      <c r="R59" s="65"/>
      <c r="S59" s="65"/>
      <c r="T59" s="65"/>
      <c r="U59" s="65"/>
      <c r="V59" s="65"/>
      <c r="W59" s="65"/>
      <c r="X59" s="65"/>
      <c r="Y59" s="65"/>
      <c r="Z59" s="65"/>
      <c r="AA59" s="65"/>
      <c r="AB59" s="65"/>
    </row>
    <row r="60" spans="1:28" ht="15.75" x14ac:dyDescent="0.25">
      <c r="A60" s="58"/>
      <c r="B60" s="112"/>
      <c r="C60" s="112"/>
      <c r="D60" s="112"/>
      <c r="E60" s="225"/>
      <c r="F60" s="225"/>
      <c r="G60" s="225"/>
      <c r="H60" s="225"/>
      <c r="I60" s="225"/>
      <c r="J60" s="113"/>
      <c r="K60" s="114"/>
      <c r="L60" s="114"/>
      <c r="M60" s="114"/>
      <c r="N60" s="114"/>
      <c r="O60" s="65"/>
      <c r="P60" s="65"/>
      <c r="Q60" s="65"/>
      <c r="R60" s="65"/>
      <c r="S60" s="65"/>
      <c r="T60" s="65"/>
      <c r="U60" s="65"/>
      <c r="V60" s="65"/>
      <c r="W60" s="65"/>
      <c r="X60" s="65"/>
      <c r="Y60" s="65"/>
      <c r="Z60" s="65"/>
      <c r="AA60" s="65"/>
      <c r="AB60" s="65"/>
    </row>
    <row r="61" spans="1:28" ht="15.75" x14ac:dyDescent="0.25">
      <c r="A61" s="485" t="s">
        <v>72</v>
      </c>
      <c r="B61" s="116"/>
      <c r="C61" s="116"/>
      <c r="D61" s="210" t="str">
        <f>'Table 1-B  Context Analysis'!$C$5</f>
        <v xml:space="preserve"> Nigeria</v>
      </c>
      <c r="E61" s="128"/>
      <c r="F61" s="128"/>
      <c r="G61" s="128"/>
      <c r="H61" s="128"/>
      <c r="I61" s="128"/>
      <c r="J61" s="114"/>
      <c r="K61" s="114"/>
      <c r="L61" s="114"/>
      <c r="M61" s="114"/>
      <c r="N61" s="114"/>
      <c r="O61" s="65"/>
      <c r="P61" s="65"/>
      <c r="Q61" s="65"/>
      <c r="R61" s="65"/>
      <c r="S61" s="65"/>
      <c r="T61" s="65"/>
      <c r="U61" s="65"/>
      <c r="V61" s="65"/>
      <c r="W61" s="65"/>
      <c r="X61" s="65"/>
      <c r="Y61" s="65"/>
      <c r="Z61" s="65"/>
      <c r="AA61" s="65"/>
      <c r="AB61" s="65"/>
    </row>
    <row r="62" spans="1:28" ht="15.75" x14ac:dyDescent="0.25">
      <c r="A62" s="485" t="s">
        <v>123</v>
      </c>
      <c r="B62" s="116"/>
      <c r="C62" s="116"/>
      <c r="D62" s="211" t="str">
        <f>'Table 1-B  Context Analysis'!$C$9</f>
        <v xml:space="preserve"> oct-19</v>
      </c>
      <c r="E62" s="128"/>
      <c r="F62" s="128"/>
      <c r="G62" s="128"/>
      <c r="H62" s="128"/>
      <c r="I62" s="128"/>
      <c r="J62" s="114"/>
      <c r="K62" s="114"/>
      <c r="L62" s="114"/>
      <c r="M62" s="114"/>
      <c r="N62" s="114"/>
      <c r="O62" s="65"/>
      <c r="P62" s="65"/>
      <c r="Q62" s="65"/>
      <c r="R62" s="65"/>
      <c r="S62" s="65"/>
      <c r="T62" s="65"/>
      <c r="U62" s="65"/>
      <c r="V62" s="65"/>
      <c r="W62" s="65"/>
      <c r="X62" s="65"/>
      <c r="Y62" s="65"/>
      <c r="Z62" s="65"/>
      <c r="AA62" s="65"/>
      <c r="AB62" s="65"/>
    </row>
    <row r="63" spans="1:28" x14ac:dyDescent="0.25">
      <c r="A63" s="65"/>
      <c r="B63" s="65"/>
      <c r="C63" s="65"/>
      <c r="D63" s="65"/>
      <c r="E63" s="213"/>
      <c r="F63" s="213"/>
      <c r="G63" s="213"/>
      <c r="H63" s="213"/>
      <c r="I63" s="213"/>
      <c r="J63" s="65"/>
      <c r="K63" s="65"/>
      <c r="L63" s="65"/>
      <c r="M63" s="65"/>
      <c r="N63" s="65"/>
      <c r="O63" s="65"/>
      <c r="P63" s="65"/>
      <c r="Q63" s="65"/>
      <c r="R63" s="65"/>
      <c r="S63" s="65"/>
      <c r="T63" s="65"/>
      <c r="U63" s="65"/>
      <c r="V63" s="65"/>
      <c r="W63" s="65"/>
      <c r="X63" s="65"/>
      <c r="Y63" s="65"/>
      <c r="Z63" s="65"/>
      <c r="AA63" s="65"/>
      <c r="AB63" s="65"/>
    </row>
    <row r="64" spans="1:28" x14ac:dyDescent="0.25">
      <c r="A64" s="65"/>
      <c r="B64" s="65"/>
      <c r="C64" s="65"/>
      <c r="D64" s="65"/>
      <c r="E64" s="213"/>
      <c r="F64" s="213"/>
      <c r="G64" s="213"/>
      <c r="H64" s="213"/>
      <c r="I64" s="213"/>
      <c r="J64" s="65"/>
      <c r="K64" s="65"/>
      <c r="L64" s="65"/>
      <c r="M64" s="65"/>
      <c r="N64" s="65"/>
      <c r="O64" s="65"/>
      <c r="P64" s="65"/>
      <c r="Q64" s="65"/>
      <c r="R64" s="65"/>
      <c r="S64" s="65"/>
      <c r="T64" s="65"/>
      <c r="U64" s="65"/>
      <c r="V64" s="65"/>
      <c r="W64" s="65"/>
      <c r="X64" s="65"/>
      <c r="Y64" s="65"/>
      <c r="Z64" s="65"/>
      <c r="AA64" s="65"/>
      <c r="AB64" s="65"/>
    </row>
    <row r="65" spans="1:28" ht="16.5" customHeight="1" thickBot="1" x14ac:dyDescent="0.3">
      <c r="A65" s="1022" t="s">
        <v>267</v>
      </c>
      <c r="B65" s="1022" t="s">
        <v>268</v>
      </c>
      <c r="C65" s="1039" t="s">
        <v>67</v>
      </c>
      <c r="D65" s="1023" t="s">
        <v>82</v>
      </c>
      <c r="E65" s="1024" t="s">
        <v>272</v>
      </c>
      <c r="F65" s="1025"/>
      <c r="G65" s="1025"/>
      <c r="H65" s="1025"/>
      <c r="I65" s="1025"/>
      <c r="J65" s="1025"/>
      <c r="K65" s="1025"/>
      <c r="L65" s="1025"/>
      <c r="M65" s="1025"/>
      <c r="N65" s="1025"/>
      <c r="O65" s="1025"/>
      <c r="P65" s="1026"/>
      <c r="Q65" s="1014" t="s">
        <v>33</v>
      </c>
      <c r="R65" s="1015"/>
      <c r="S65" s="1015"/>
      <c r="T65" s="1015"/>
      <c r="U65" s="1015"/>
      <c r="V65" s="1015"/>
      <c r="W65" s="1015"/>
      <c r="X65" s="1015"/>
      <c r="Y65" s="1015"/>
      <c r="Z65" s="1015"/>
      <c r="AA65" s="1015"/>
      <c r="AB65" s="1015"/>
    </row>
    <row r="66" spans="1:28" ht="25.5" customHeight="1" x14ac:dyDescent="0.25">
      <c r="A66" s="1022"/>
      <c r="B66" s="1022"/>
      <c r="C66" s="1039"/>
      <c r="D66" s="1023"/>
      <c r="E66" s="1030" t="s">
        <v>269</v>
      </c>
      <c r="F66" s="1033" t="s">
        <v>270</v>
      </c>
      <c r="G66" s="1034"/>
      <c r="H66" s="1034"/>
      <c r="I66" s="1034"/>
      <c r="J66" s="1035"/>
      <c r="K66" s="1036" t="s">
        <v>273</v>
      </c>
      <c r="L66" s="1008" t="s">
        <v>274</v>
      </c>
      <c r="M66" s="1008" t="s">
        <v>275</v>
      </c>
      <c r="N66" s="1008" t="s">
        <v>276</v>
      </c>
      <c r="O66" s="1008" t="s">
        <v>277</v>
      </c>
      <c r="P66" s="1011" t="s">
        <v>278</v>
      </c>
      <c r="Q66" s="484" t="s">
        <v>269</v>
      </c>
      <c r="R66" s="1016" t="s">
        <v>270</v>
      </c>
      <c r="S66" s="1017"/>
      <c r="T66" s="1017"/>
      <c r="U66" s="1017"/>
      <c r="V66" s="1018"/>
      <c r="W66" s="1036" t="s">
        <v>273</v>
      </c>
      <c r="X66" s="1008" t="s">
        <v>274</v>
      </c>
      <c r="Y66" s="1008" t="s">
        <v>275</v>
      </c>
      <c r="Z66" s="1008" t="s">
        <v>276</v>
      </c>
      <c r="AA66" s="1008" t="s">
        <v>277</v>
      </c>
      <c r="AB66" s="1011" t="s">
        <v>278</v>
      </c>
    </row>
    <row r="67" spans="1:28" x14ac:dyDescent="0.25">
      <c r="A67" s="1022"/>
      <c r="B67" s="1022"/>
      <c r="C67" s="1039"/>
      <c r="D67" s="1023"/>
      <c r="E67" s="1031"/>
      <c r="F67" s="1027" t="s">
        <v>271</v>
      </c>
      <c r="G67" s="1028"/>
      <c r="H67" s="1028"/>
      <c r="I67" s="1028"/>
      <c r="J67" s="1029"/>
      <c r="K67" s="1037"/>
      <c r="L67" s="1009"/>
      <c r="M67" s="1009"/>
      <c r="N67" s="1009"/>
      <c r="O67" s="1009"/>
      <c r="P67" s="1012"/>
      <c r="Q67" s="73" t="s">
        <v>87</v>
      </c>
      <c r="R67" s="1019" t="s">
        <v>279</v>
      </c>
      <c r="S67" s="1020"/>
      <c r="T67" s="1020"/>
      <c r="U67" s="1020"/>
      <c r="V67" s="1021"/>
      <c r="W67" s="1037"/>
      <c r="X67" s="1009"/>
      <c r="Y67" s="1009"/>
      <c r="Z67" s="1009"/>
      <c r="AA67" s="1009"/>
      <c r="AB67" s="1012"/>
    </row>
    <row r="68" spans="1:28" ht="15.75" thickBot="1" x14ac:dyDescent="0.3">
      <c r="A68" s="1022"/>
      <c r="B68" s="1022"/>
      <c r="C68" s="1039"/>
      <c r="D68" s="1023"/>
      <c r="E68" s="1032"/>
      <c r="F68" s="327" t="s">
        <v>53</v>
      </c>
      <c r="G68" s="328" t="s">
        <v>54</v>
      </c>
      <c r="H68" s="275" t="s">
        <v>55</v>
      </c>
      <c r="I68" s="276" t="s">
        <v>56</v>
      </c>
      <c r="J68" s="277" t="s">
        <v>57</v>
      </c>
      <c r="K68" s="1038"/>
      <c r="L68" s="1010"/>
      <c r="M68" s="1010"/>
      <c r="N68" s="1010"/>
      <c r="O68" s="1010"/>
      <c r="P68" s="1013"/>
      <c r="Q68" s="117"/>
      <c r="R68" s="327" t="s">
        <v>53</v>
      </c>
      <c r="S68" s="328" t="s">
        <v>54</v>
      </c>
      <c r="T68" s="275" t="s">
        <v>55</v>
      </c>
      <c r="U68" s="276" t="s">
        <v>56</v>
      </c>
      <c r="V68" s="277" t="s">
        <v>57</v>
      </c>
      <c r="W68" s="1038"/>
      <c r="X68" s="1010"/>
      <c r="Y68" s="1010"/>
      <c r="Z68" s="1010"/>
      <c r="AA68" s="1010"/>
      <c r="AB68" s="1013"/>
    </row>
    <row r="69" spans="1:28" ht="15.75" thickBot="1" x14ac:dyDescent="0.3">
      <c r="A69" s="300" t="str">
        <f>D4</f>
        <v>Borno</v>
      </c>
      <c r="B69" s="301" t="str">
        <f>D5</f>
        <v>Shani</v>
      </c>
      <c r="C69" s="301"/>
      <c r="D69" s="340">
        <f>'Table 1-B  Context Analysis'!$F$6</f>
        <v>230119</v>
      </c>
      <c r="E69" s="435">
        <f>'Table 3 - Synthesis &amp; Classif'!AM15</f>
        <v>0</v>
      </c>
      <c r="F69" s="374">
        <f>E56</f>
        <v>1</v>
      </c>
      <c r="G69" s="375">
        <f>F56</f>
        <v>0</v>
      </c>
      <c r="H69" s="376">
        <f>G56</f>
        <v>0</v>
      </c>
      <c r="I69" s="377">
        <f>H56</f>
        <v>0</v>
      </c>
      <c r="J69" s="378">
        <f>I56</f>
        <v>0</v>
      </c>
      <c r="K69" s="33">
        <f>D69*F69</f>
        <v>230119</v>
      </c>
      <c r="L69" s="34">
        <f>D69*G69</f>
        <v>0</v>
      </c>
      <c r="M69" s="34">
        <f>D69*H69</f>
        <v>0</v>
      </c>
      <c r="N69" s="34">
        <f t="shared" ref="N69" si="0">D69*I69</f>
        <v>0</v>
      </c>
      <c r="O69" s="34">
        <f t="shared" ref="O69" si="1">D69*J69</f>
        <v>0</v>
      </c>
      <c r="P69" s="37">
        <f t="shared" ref="P69" si="2">SUM(M69:O69)</f>
        <v>0</v>
      </c>
      <c r="Q69" s="125">
        <f>'Table 3 - Synthesis &amp; Classif'!AM40</f>
        <v>0</v>
      </c>
      <c r="R69" s="374">
        <f>M56</f>
        <v>1</v>
      </c>
      <c r="S69" s="375">
        <f>N56</f>
        <v>0</v>
      </c>
      <c r="T69" s="376">
        <f>O56</f>
        <v>0</v>
      </c>
      <c r="U69" s="377">
        <f>P56</f>
        <v>0</v>
      </c>
      <c r="V69" s="378">
        <f>Q56</f>
        <v>0</v>
      </c>
      <c r="W69" s="33">
        <f t="shared" ref="W69" si="3">D69*R69</f>
        <v>230119</v>
      </c>
      <c r="X69" s="33">
        <f t="shared" ref="X69" si="4">D69*S69</f>
        <v>0</v>
      </c>
      <c r="Y69" s="33">
        <f t="shared" ref="Y69" si="5">D69*T69</f>
        <v>0</v>
      </c>
      <c r="Z69" s="33">
        <f t="shared" ref="Z69" si="6">D69*U69</f>
        <v>0</v>
      </c>
      <c r="AA69" s="33">
        <f t="shared" ref="AA69" si="7">D69*V69</f>
        <v>0</v>
      </c>
      <c r="AB69" s="38">
        <f t="shared" ref="AB69" si="8">SUM(Y69:AA69)</f>
        <v>0</v>
      </c>
    </row>
    <row r="70" spans="1:28" ht="15.75" thickBot="1" x14ac:dyDescent="0.3">
      <c r="A70" s="31" t="s">
        <v>34</v>
      </c>
      <c r="B70" s="32"/>
      <c r="C70" s="412"/>
      <c r="D70" s="341">
        <f>SUM(D69:D69)</f>
        <v>230119</v>
      </c>
      <c r="E70" s="231"/>
      <c r="F70" s="329"/>
      <c r="G70" s="329"/>
      <c r="H70" s="329"/>
      <c r="I70" s="329"/>
      <c r="J70" s="326"/>
      <c r="K70" s="35">
        <f t="shared" ref="K70:P70" si="9">SUM(K69:K69)</f>
        <v>230119</v>
      </c>
      <c r="L70" s="35">
        <f t="shared" si="9"/>
        <v>0</v>
      </c>
      <c r="M70" s="35">
        <f t="shared" si="9"/>
        <v>0</v>
      </c>
      <c r="N70" s="35">
        <f t="shared" si="9"/>
        <v>0</v>
      </c>
      <c r="O70" s="35">
        <f t="shared" si="9"/>
        <v>0</v>
      </c>
      <c r="P70" s="36">
        <f t="shared" si="9"/>
        <v>0</v>
      </c>
      <c r="Q70" s="32"/>
      <c r="R70" s="324"/>
      <c r="S70" s="325"/>
      <c r="T70" s="324"/>
      <c r="U70" s="324"/>
      <c r="V70" s="326"/>
      <c r="W70" s="35">
        <f t="shared" ref="W70:AB70" si="10">SUM(W69:W69)</f>
        <v>230119</v>
      </c>
      <c r="X70" s="35">
        <f t="shared" si="10"/>
        <v>0</v>
      </c>
      <c r="Y70" s="35">
        <f t="shared" si="10"/>
        <v>0</v>
      </c>
      <c r="Z70" s="35">
        <f t="shared" si="10"/>
        <v>0</v>
      </c>
      <c r="AA70" s="35">
        <f t="shared" si="10"/>
        <v>0</v>
      </c>
      <c r="AB70" s="39">
        <f t="shared" si="10"/>
        <v>0</v>
      </c>
    </row>
  </sheetData>
  <sheetProtection formatCells="0" formatColumns="0" formatRows="0" insertRows="0"/>
  <protectedRanges>
    <protectedRange sqref="F28:I28 N28:Q28 E50:I54 M50:Q54 F56:I56 N56:Q56" name="Range1"/>
  </protectedRanges>
  <mergeCells count="86">
    <mergeCell ref="A1:N1"/>
    <mergeCell ref="D6:E6"/>
    <mergeCell ref="X66:X68"/>
    <mergeCell ref="W66:W68"/>
    <mergeCell ref="E15:F15"/>
    <mergeCell ref="H15:I15"/>
    <mergeCell ref="B10:Q10"/>
    <mergeCell ref="D11:I11"/>
    <mergeCell ref="L11:Q11"/>
    <mergeCell ref="B12:B28"/>
    <mergeCell ref="D12:I12"/>
    <mergeCell ref="K12:K28"/>
    <mergeCell ref="L12:Q12"/>
    <mergeCell ref="D13:I13"/>
    <mergeCell ref="L13:Q13"/>
    <mergeCell ref="M15:N15"/>
    <mergeCell ref="O18:Q18"/>
    <mergeCell ref="D25:I25"/>
    <mergeCell ref="L25:Q25"/>
    <mergeCell ref="G18:I18"/>
    <mergeCell ref="B35:B42"/>
    <mergeCell ref="D35:I35"/>
    <mergeCell ref="K35:K42"/>
    <mergeCell ref="D31:I31"/>
    <mergeCell ref="B30:B33"/>
    <mergeCell ref="K30:K33"/>
    <mergeCell ref="D36:I36"/>
    <mergeCell ref="D41:I41"/>
    <mergeCell ref="L41:Q41"/>
    <mergeCell ref="D30:I30"/>
    <mergeCell ref="L31:Q31"/>
    <mergeCell ref="L30:Q30"/>
    <mergeCell ref="B50:D50"/>
    <mergeCell ref="E50:I50"/>
    <mergeCell ref="K50:L50"/>
    <mergeCell ref="M50:Q50"/>
    <mergeCell ref="L35:Q35"/>
    <mergeCell ref="L36:Q36"/>
    <mergeCell ref="B44:B48"/>
    <mergeCell ref="D44:I44"/>
    <mergeCell ref="K44:K48"/>
    <mergeCell ref="L44:Q44"/>
    <mergeCell ref="D45:I45"/>
    <mergeCell ref="L45:Q45"/>
    <mergeCell ref="M54:Q54"/>
    <mergeCell ref="B53:D53"/>
    <mergeCell ref="E53:I53"/>
    <mergeCell ref="K53:L53"/>
    <mergeCell ref="M53:Q53"/>
    <mergeCell ref="B56:D56"/>
    <mergeCell ref="K55:L55"/>
    <mergeCell ref="K56:L56"/>
    <mergeCell ref="B55:D55"/>
    <mergeCell ref="B54:D54"/>
    <mergeCell ref="E54:I54"/>
    <mergeCell ref="K54:L54"/>
    <mergeCell ref="A59:N59"/>
    <mergeCell ref="A65:A68"/>
    <mergeCell ref="B65:B68"/>
    <mergeCell ref="D65:D68"/>
    <mergeCell ref="E65:P65"/>
    <mergeCell ref="F67:J67"/>
    <mergeCell ref="E66:E68"/>
    <mergeCell ref="F66:J66"/>
    <mergeCell ref="K66:K68"/>
    <mergeCell ref="L66:L68"/>
    <mergeCell ref="M66:M68"/>
    <mergeCell ref="N66:N68"/>
    <mergeCell ref="O66:O68"/>
    <mergeCell ref="P66:P68"/>
    <mergeCell ref="C65:C68"/>
    <mergeCell ref="AA66:AA68"/>
    <mergeCell ref="AB66:AB68"/>
    <mergeCell ref="Q65:AB65"/>
    <mergeCell ref="R66:V66"/>
    <mergeCell ref="R67:V67"/>
    <mergeCell ref="Y66:Y68"/>
    <mergeCell ref="Z66:Z68"/>
    <mergeCell ref="B51:D51"/>
    <mergeCell ref="E51:I51"/>
    <mergeCell ref="K51:L51"/>
    <mergeCell ref="M51:Q51"/>
    <mergeCell ref="M52:Q52"/>
    <mergeCell ref="B52:D52"/>
    <mergeCell ref="E52:I52"/>
    <mergeCell ref="K52:L52"/>
  </mergeCells>
  <conditionalFormatting sqref="F28:I28">
    <cfRule type="cellIs" dxfId="186" priority="367" operator="equal">
      <formula>5</formula>
    </cfRule>
    <cfRule type="cellIs" dxfId="185" priority="368" operator="equal">
      <formula>4</formula>
    </cfRule>
    <cfRule type="cellIs" dxfId="184" priority="369" operator="equal">
      <formula>2</formula>
    </cfRule>
    <cfRule type="cellIs" dxfId="183" priority="370" operator="equal">
      <formula>1</formula>
    </cfRule>
    <cfRule type="cellIs" dxfId="182" priority="371" operator="equal">
      <formula>3</formula>
    </cfRule>
    <cfRule type="cellIs" dxfId="181" priority="372" operator="equal">
      <formula>2</formula>
    </cfRule>
    <cfRule type="cellIs" dxfId="180" priority="373" operator="equal">
      <formula>1</formula>
    </cfRule>
  </conditionalFormatting>
  <conditionalFormatting sqref="F28:I28">
    <cfRule type="cellIs" dxfId="179" priority="366" operator="equal">
      <formula>1</formula>
    </cfRule>
  </conditionalFormatting>
  <conditionalFormatting sqref="E39:I40">
    <cfRule type="cellIs" dxfId="178" priority="359" operator="equal">
      <formula>5</formula>
    </cfRule>
    <cfRule type="cellIs" dxfId="177" priority="360" operator="equal">
      <formula>4</formula>
    </cfRule>
    <cfRule type="cellIs" dxfId="176" priority="361" operator="equal">
      <formula>2</formula>
    </cfRule>
    <cfRule type="cellIs" dxfId="175" priority="362" operator="equal">
      <formula>1</formula>
    </cfRule>
    <cfRule type="cellIs" dxfId="174" priority="363" operator="equal">
      <formula>3</formula>
    </cfRule>
    <cfRule type="cellIs" dxfId="173" priority="364" operator="equal">
      <formula>2</formula>
    </cfRule>
    <cfRule type="cellIs" dxfId="172" priority="365" operator="equal">
      <formula>1</formula>
    </cfRule>
  </conditionalFormatting>
  <conditionalFormatting sqref="H21:H24">
    <cfRule type="expression" dxfId="171" priority="391">
      <formula>AND(SUM(#REF!)&gt;=0.2,SUM(#REF!)&lt;0.2)</formula>
    </cfRule>
  </conditionalFormatting>
  <conditionalFormatting sqref="G21:H24">
    <cfRule type="expression" dxfId="170" priority="392">
      <formula>AND(SUM(#REF!)&gt;=0.2,SUM(#REF!)&lt;0.2)</formula>
    </cfRule>
  </conditionalFormatting>
  <conditionalFormatting sqref="E21:H24">
    <cfRule type="expression" dxfId="169" priority="393">
      <formula>SUM(#REF!)&gt;0.8</formula>
    </cfRule>
  </conditionalFormatting>
  <conditionalFormatting sqref="E21:H24">
    <cfRule type="expression" dxfId="168" priority="394">
      <formula>SUM(#REF!)&gt;1</formula>
    </cfRule>
  </conditionalFormatting>
  <conditionalFormatting sqref="F28:I28">
    <cfRule type="expression" dxfId="167" priority="395">
      <formula>SUM(#REF!)&gt;1</formula>
    </cfRule>
    <cfRule type="cellIs" dxfId="166" priority="396" operator="equal">
      <formula>5</formula>
    </cfRule>
    <cfRule type="cellIs" dxfId="165" priority="397" operator="equal">
      <formula>4</formula>
    </cfRule>
    <cfRule type="cellIs" dxfId="164" priority="398" operator="equal">
      <formula>2</formula>
    </cfRule>
    <cfRule type="cellIs" dxfId="163" priority="399" operator="equal">
      <formula>1</formula>
    </cfRule>
    <cfRule type="cellIs" dxfId="162" priority="400" operator="equal">
      <formula>3</formula>
    </cfRule>
    <cfRule type="cellIs" dxfId="161" priority="401" operator="equal">
      <formula>2</formula>
    </cfRule>
    <cfRule type="cellIs" dxfId="160" priority="402" operator="equal">
      <formula>1</formula>
    </cfRule>
  </conditionalFormatting>
  <conditionalFormatting sqref="I28 I33">
    <cfRule type="expression" dxfId="159" priority="403">
      <formula>#REF!&gt;=0.2</formula>
    </cfRule>
  </conditionalFormatting>
  <conditionalFormatting sqref="H28 H33">
    <cfRule type="expression" dxfId="158" priority="404">
      <formula>AND(SUM(#REF!)&gt;=0.2,#REF!&lt;0.2)</formula>
    </cfRule>
  </conditionalFormatting>
  <conditionalFormatting sqref="G28">
    <cfRule type="expression" dxfId="157" priority="405">
      <formula>AND(SUM(#REF!)&gt;=0.2,SUM(#REF!)&lt;0.2)</formula>
    </cfRule>
  </conditionalFormatting>
  <conditionalFormatting sqref="F28">
    <cfRule type="expression" dxfId="156" priority="406">
      <formula>AND(SUM(#REF!)&gt;=0.2,SUM(#REF!)&lt;0.2)</formula>
    </cfRule>
  </conditionalFormatting>
  <conditionalFormatting sqref="F33:H33">
    <cfRule type="expression" dxfId="155" priority="407">
      <formula>#REF!&gt;0.8</formula>
    </cfRule>
  </conditionalFormatting>
  <conditionalFormatting sqref="F33:I33">
    <cfRule type="expression" dxfId="154" priority="408">
      <formula>SUM(#REF!)&gt;1</formula>
    </cfRule>
  </conditionalFormatting>
  <conditionalFormatting sqref="F33">
    <cfRule type="expression" dxfId="153" priority="409">
      <formula>AND(SUM(#REF!)&gt;=0.2,SUM(#REF!)&lt;0.2)</formula>
    </cfRule>
  </conditionalFormatting>
  <conditionalFormatting sqref="G33">
    <cfRule type="expression" dxfId="152" priority="410">
      <formula>AND(SUM(#REF!)&gt;=0.2,SUM(#REF!)&lt;0.2)</formula>
    </cfRule>
  </conditionalFormatting>
  <conditionalFormatting sqref="E40:I40">
    <cfRule type="expression" dxfId="151" priority="411">
      <formula>#REF!&gt;=0.4</formula>
    </cfRule>
    <cfRule type="expression" dxfId="150" priority="412">
      <formula>AND(#REF!&gt;=0.2,#REF!&lt;0.4)</formula>
    </cfRule>
    <cfRule type="expression" dxfId="149" priority="413">
      <formula>AND(#REF!&gt;=0.1,#REF!&lt;0.2)</formula>
    </cfRule>
    <cfRule type="expression" dxfId="148" priority="414">
      <formula>AND(#REF!&lt;&gt;"",#REF!&lt;0.1)</formula>
    </cfRule>
  </conditionalFormatting>
  <conditionalFormatting sqref="M40">
    <cfRule type="cellIs" dxfId="147" priority="270" operator="equal">
      <formula>5</formula>
    </cfRule>
    <cfRule type="cellIs" dxfId="146" priority="271" operator="equal">
      <formula>4</formula>
    </cfRule>
    <cfRule type="cellIs" dxfId="145" priority="272" operator="equal">
      <formula>2</formula>
    </cfRule>
    <cfRule type="cellIs" dxfId="144" priority="273" operator="equal">
      <formula>1</formula>
    </cfRule>
    <cfRule type="cellIs" dxfId="143" priority="274" operator="equal">
      <formula>3</formula>
    </cfRule>
    <cfRule type="cellIs" dxfId="142" priority="275" operator="equal">
      <formula>2</formula>
    </cfRule>
    <cfRule type="cellIs" dxfId="141" priority="276" operator="equal">
      <formula>1</formula>
    </cfRule>
  </conditionalFormatting>
  <conditionalFormatting sqref="Q17">
    <cfRule type="expression" dxfId="140" priority="267">
      <formula>$H$25&gt;=0.2</formula>
    </cfRule>
  </conditionalFormatting>
  <conditionalFormatting sqref="P17">
    <cfRule type="expression" dxfId="139" priority="266">
      <formula>AND($H$25+$G$25&gt;=0.2,$H$25&lt;0.2)</formula>
    </cfRule>
  </conditionalFormatting>
  <conditionalFormatting sqref="O17">
    <cfRule type="expression" dxfId="138" priority="265">
      <formula>AND($H$25+$G$25+$F$25&gt;=0.2,$H$25+$G$25&lt;0.2)</formula>
    </cfRule>
  </conditionalFormatting>
  <conditionalFormatting sqref="N17">
    <cfRule type="expression" dxfId="137" priority="264">
      <formula>AND($H$25+$G$25+$F$25+$E$25&gt;=0.2,$H$25+$G$25+$F$25&lt;0.2)</formula>
    </cfRule>
  </conditionalFormatting>
  <conditionalFormatting sqref="O15">
    <cfRule type="expression" dxfId="136" priority="257">
      <formula>SUM($D$23:$H$23)&gt;1</formula>
    </cfRule>
  </conditionalFormatting>
  <conditionalFormatting sqref="N16:Q16 P15:Q15">
    <cfRule type="expression" dxfId="135" priority="252">
      <formula>SUM($D$24:$H$24)&gt;1</formula>
    </cfRule>
  </conditionalFormatting>
  <conditionalFormatting sqref="N17:Q17">
    <cfRule type="expression" dxfId="134" priority="251">
      <formula>SUM($D$25:$H$25)&gt;1</formula>
    </cfRule>
  </conditionalFormatting>
  <conditionalFormatting sqref="O21:P24">
    <cfRule type="expression" dxfId="133" priority="302">
      <formula>AND(SUM(#REF!)&gt;=0.2,SUM(#REF!)&lt;0.2)</formula>
    </cfRule>
  </conditionalFormatting>
  <conditionalFormatting sqref="N21:P24">
    <cfRule type="expression" dxfId="132" priority="303">
      <formula>AND(SUM(#REF!)&gt;=0.2,SUM(#REF!)&lt;0.2)</formula>
    </cfRule>
  </conditionalFormatting>
  <conditionalFormatting sqref="M21:P24">
    <cfRule type="expression" dxfId="131" priority="304">
      <formula>SUM(#REF!)&gt;0.8</formula>
    </cfRule>
  </conditionalFormatting>
  <conditionalFormatting sqref="M21:P24">
    <cfRule type="expression" dxfId="130" priority="305">
      <formula>SUM(#REF!)&gt;1</formula>
    </cfRule>
  </conditionalFormatting>
  <conditionalFormatting sqref="Q33">
    <cfRule type="expression" dxfId="129" priority="314">
      <formula>#REF!&gt;=0.2</formula>
    </cfRule>
  </conditionalFormatting>
  <conditionalFormatting sqref="Q33">
    <cfRule type="expression" dxfId="128" priority="319">
      <formula>SUM(#REF!)&gt;1</formula>
    </cfRule>
  </conditionalFormatting>
  <conditionalFormatting sqref="M40:Q40">
    <cfRule type="expression" dxfId="127" priority="322">
      <formula>#REF!&gt;=0.4</formula>
    </cfRule>
    <cfRule type="expression" dxfId="126" priority="323">
      <formula>AND(#REF!&gt;=0.2,#REF!&lt;0.4)</formula>
    </cfRule>
    <cfRule type="expression" dxfId="125" priority="324">
      <formula>AND(#REF!&gt;=0.1,#REF!&lt;0.2)</formula>
    </cfRule>
    <cfRule type="expression" dxfId="124" priority="325">
      <formula>AND(#REF!&lt;&gt;"",#REF!&lt;0.1)</formula>
    </cfRule>
  </conditionalFormatting>
  <conditionalFormatting sqref="M48:Q48">
    <cfRule type="expression" dxfId="123" priority="334">
      <formula>#REF!&gt;=4</formula>
    </cfRule>
    <cfRule type="expression" dxfId="122" priority="335">
      <formula>AND(#REF!&gt;=2,#REF!&lt;4)</formula>
    </cfRule>
    <cfRule type="expression" dxfId="121" priority="336">
      <formula>AND(#REF!&gt;=1,#REF!&lt;2)</formula>
    </cfRule>
    <cfRule type="expression" dxfId="120" priority="337">
      <formula>AND(#REF!&lt;&gt;"",#REF!&lt;1)</formula>
    </cfRule>
  </conditionalFormatting>
  <conditionalFormatting sqref="E38:I40">
    <cfRule type="cellIs" dxfId="119" priority="242" operator="equal">
      <formula>0</formula>
    </cfRule>
  </conditionalFormatting>
  <conditionalFormatting sqref="F28:I28">
    <cfRule type="expression" dxfId="118" priority="184">
      <formula>#REF!&gt;0.8</formula>
    </cfRule>
  </conditionalFormatting>
  <conditionalFormatting sqref="E33">
    <cfRule type="cellIs" dxfId="117" priority="173" operator="equal">
      <formula>1</formula>
    </cfRule>
  </conditionalFormatting>
  <conditionalFormatting sqref="E42:I42">
    <cfRule type="cellIs" dxfId="116" priority="154" operator="equal">
      <formula>5</formula>
    </cfRule>
    <cfRule type="cellIs" dxfId="115" priority="155" operator="equal">
      <formula>4</formula>
    </cfRule>
    <cfRule type="cellIs" dxfId="114" priority="156" operator="equal">
      <formula>2</formula>
    </cfRule>
    <cfRule type="cellIs" dxfId="113" priority="157" operator="equal">
      <formula>1</formula>
    </cfRule>
    <cfRule type="cellIs" dxfId="112" priority="158" operator="equal">
      <formula>3</formula>
    </cfRule>
    <cfRule type="cellIs" dxfId="111" priority="159" operator="equal">
      <formula>2</formula>
    </cfRule>
    <cfRule type="cellIs" dxfId="110" priority="160" operator="equal">
      <formula>1</formula>
    </cfRule>
  </conditionalFormatting>
  <conditionalFormatting sqref="E42:I42">
    <cfRule type="expression" dxfId="109" priority="161">
      <formula>#REF!&gt;=0.4</formula>
    </cfRule>
    <cfRule type="expression" dxfId="108" priority="162">
      <formula>AND(#REF!&gt;=0.2,#REF!&lt;0.4)</formula>
    </cfRule>
    <cfRule type="expression" dxfId="107" priority="163">
      <formula>AND(#REF!&gt;=0.1,#REF!&lt;0.2)</formula>
    </cfRule>
    <cfRule type="expression" dxfId="106" priority="164">
      <formula>AND(#REF!&lt;&gt;"",#REF!&lt;0.1)</formula>
    </cfRule>
  </conditionalFormatting>
  <conditionalFormatting sqref="E42:I42">
    <cfRule type="cellIs" dxfId="105" priority="153" operator="equal">
      <formula>0</formula>
    </cfRule>
  </conditionalFormatting>
  <conditionalFormatting sqref="E47:I47">
    <cfRule type="cellIs" dxfId="104" priority="140" operator="equal">
      <formula>0</formula>
    </cfRule>
  </conditionalFormatting>
  <conditionalFormatting sqref="E48:I48">
    <cfRule type="cellIs" dxfId="103" priority="139" operator="equal">
      <formula>0</formula>
    </cfRule>
  </conditionalFormatting>
  <conditionalFormatting sqref="E46:I46">
    <cfRule type="containsText" dxfId="102" priority="138" operator="containsText" text="N/A">
      <formula>NOT(ISERROR(SEARCH("N/A",E46)))</formula>
    </cfRule>
  </conditionalFormatting>
  <conditionalFormatting sqref="E37:I37">
    <cfRule type="containsText" dxfId="101" priority="137" operator="containsText" text="N/A">
      <formula>NOT(ISERROR(SEARCH("N/A",E37)))</formula>
    </cfRule>
  </conditionalFormatting>
  <conditionalFormatting sqref="E32:I32">
    <cfRule type="containsText" dxfId="100" priority="136" operator="containsText" text="N/A">
      <formula>NOT(ISERROR(SEARCH("N/A",E32)))</formula>
    </cfRule>
  </conditionalFormatting>
  <conditionalFormatting sqref="E26:I26">
    <cfRule type="containsText" dxfId="99" priority="134" operator="containsText" text="N/A">
      <formula>NOT(ISERROR(SEARCH("N/A",E26)))</formula>
    </cfRule>
  </conditionalFormatting>
  <conditionalFormatting sqref="E14:I14">
    <cfRule type="containsText" dxfId="98" priority="133" operator="containsText" text="N/A">
      <formula>NOT(ISERROR(SEARCH("N/A",E14)))</formula>
    </cfRule>
  </conditionalFormatting>
  <conditionalFormatting sqref="M14:Q14">
    <cfRule type="containsText" dxfId="97" priority="132" operator="containsText" text="N/A">
      <formula>NOT(ISERROR(SEARCH("N/A",M14)))</formula>
    </cfRule>
  </conditionalFormatting>
  <conditionalFormatting sqref="M26:Q26">
    <cfRule type="containsText" dxfId="96" priority="131" operator="containsText" text="N/A">
      <formula>NOT(ISERROR(SEARCH("N/A",M26)))</formula>
    </cfRule>
  </conditionalFormatting>
  <conditionalFormatting sqref="F68:J68">
    <cfRule type="containsText" dxfId="95" priority="130" operator="containsText" text="N/A">
      <formula>NOT(ISERROR(SEARCH("N/A",F68)))</formula>
    </cfRule>
  </conditionalFormatting>
  <conditionalFormatting sqref="R68:V68">
    <cfRule type="containsText" dxfId="94" priority="129" operator="containsText" text="N/A">
      <formula>NOT(ISERROR(SEARCH("N/A",R68)))</formula>
    </cfRule>
  </conditionalFormatting>
  <conditionalFormatting sqref="V69">
    <cfRule type="containsText" dxfId="93" priority="128" operator="containsText" text="N/A">
      <formula>NOT(ISERROR(SEARCH("N/A",V69)))</formula>
    </cfRule>
  </conditionalFormatting>
  <conditionalFormatting sqref="J69">
    <cfRule type="containsText" dxfId="92" priority="127" operator="containsText" text="N/A">
      <formula>NOT(ISERROR(SEARCH("N/A",J69)))</formula>
    </cfRule>
  </conditionalFormatting>
  <conditionalFormatting sqref="J55:J56">
    <cfRule type="containsText" dxfId="91" priority="123" operator="containsText" text="OK">
      <formula>NOT(ISERROR(SEARCH("OK",J55)))</formula>
    </cfRule>
    <cfRule type="containsText" dxfId="90" priority="126" operator="containsText" text="Erreur">
      <formula>NOT(ISERROR(SEARCH("Erreur",J55)))</formula>
    </cfRule>
  </conditionalFormatting>
  <conditionalFormatting sqref="R55:R56">
    <cfRule type="containsText" dxfId="89" priority="121" operator="containsText" text="OK">
      <formula>NOT(ISERROR(SEARCH("OK",R55)))</formula>
    </cfRule>
    <cfRule type="containsText" dxfId="88" priority="122" operator="containsText" text="Erreur">
      <formula>NOT(ISERROR(SEARCH("Erreur",R55)))</formula>
    </cfRule>
  </conditionalFormatting>
  <conditionalFormatting sqref="M47">
    <cfRule type="cellIs" dxfId="87" priority="109" operator="equal">
      <formula>0</formula>
    </cfRule>
    <cfRule type="cellIs" dxfId="86" priority="111" operator="equal">
      <formula>5</formula>
    </cfRule>
    <cfRule type="cellIs" dxfId="85" priority="112" operator="equal">
      <formula>4</formula>
    </cfRule>
    <cfRule type="cellIs" dxfId="84" priority="113" operator="equal">
      <formula>2</formula>
    </cfRule>
    <cfRule type="cellIs" dxfId="83" priority="114" operator="equal">
      <formula>3</formula>
    </cfRule>
  </conditionalFormatting>
  <conditionalFormatting sqref="M47">
    <cfRule type="cellIs" dxfId="82" priority="110" operator="equal">
      <formula>1</formula>
    </cfRule>
  </conditionalFormatting>
  <conditionalFormatting sqref="N47:Q47">
    <cfRule type="cellIs" dxfId="81" priority="103" operator="equal">
      <formula>0</formula>
    </cfRule>
    <cfRule type="cellIs" dxfId="80" priority="105" operator="equal">
      <formula>5</formula>
    </cfRule>
    <cfRule type="cellIs" dxfId="79" priority="106" operator="equal">
      <formula>4</formula>
    </cfRule>
    <cfRule type="cellIs" dxfId="78" priority="107" operator="equal">
      <formula>2</formula>
    </cfRule>
    <cfRule type="cellIs" dxfId="77" priority="108" operator="equal">
      <formula>3</formula>
    </cfRule>
  </conditionalFormatting>
  <conditionalFormatting sqref="N47:Q47">
    <cfRule type="cellIs" dxfId="76" priority="104" operator="equal">
      <formula>1</formula>
    </cfRule>
  </conditionalFormatting>
  <conditionalFormatting sqref="M42:Q42">
    <cfRule type="cellIs" dxfId="75" priority="97" operator="equal">
      <formula>0</formula>
    </cfRule>
    <cfRule type="cellIs" dxfId="74" priority="99" operator="equal">
      <formula>5</formula>
    </cfRule>
    <cfRule type="cellIs" dxfId="73" priority="100" operator="equal">
      <formula>4</formula>
    </cfRule>
    <cfRule type="cellIs" dxfId="72" priority="101" operator="equal">
      <formula>2</formula>
    </cfRule>
    <cfRule type="cellIs" dxfId="71" priority="102" operator="equal">
      <formula>3</formula>
    </cfRule>
  </conditionalFormatting>
  <conditionalFormatting sqref="M42:Q42">
    <cfRule type="cellIs" dxfId="70" priority="98" operator="equal">
      <formula>1</formula>
    </cfRule>
  </conditionalFormatting>
  <conditionalFormatting sqref="M39:Q39">
    <cfRule type="cellIs" dxfId="69" priority="90" operator="equal">
      <formula>5</formula>
    </cfRule>
    <cfRule type="cellIs" dxfId="68" priority="91" operator="equal">
      <formula>4</formula>
    </cfRule>
    <cfRule type="cellIs" dxfId="67" priority="92" operator="equal">
      <formula>2</formula>
    </cfRule>
    <cfRule type="cellIs" dxfId="66" priority="93" operator="equal">
      <formula>1</formula>
    </cfRule>
    <cfRule type="cellIs" dxfId="65" priority="94" operator="equal">
      <formula>3</formula>
    </cfRule>
    <cfRule type="cellIs" dxfId="64" priority="95" operator="equal">
      <formula>2</formula>
    </cfRule>
    <cfRule type="cellIs" dxfId="63" priority="96" operator="equal">
      <formula>1</formula>
    </cfRule>
  </conditionalFormatting>
  <conditionalFormatting sqref="M39:Q39">
    <cfRule type="cellIs" dxfId="62" priority="89" operator="equal">
      <formula>0</formula>
    </cfRule>
  </conditionalFormatting>
  <conditionalFormatting sqref="N28:Q28">
    <cfRule type="cellIs" dxfId="61" priority="52" operator="equal">
      <formula>5</formula>
    </cfRule>
    <cfRule type="cellIs" dxfId="60" priority="53" operator="equal">
      <formula>4</formula>
    </cfRule>
    <cfRule type="cellIs" dxfId="59" priority="54" operator="equal">
      <formula>2</formula>
    </cfRule>
    <cfRule type="cellIs" dxfId="58" priority="55" operator="equal">
      <formula>1</formula>
    </cfRule>
    <cfRule type="cellIs" dxfId="57" priority="56" operator="equal">
      <formula>3</formula>
    </cfRule>
    <cfRule type="cellIs" dxfId="56" priority="57" operator="equal">
      <formula>2</formula>
    </cfRule>
    <cfRule type="cellIs" dxfId="55" priority="58" operator="equal">
      <formula>1</formula>
    </cfRule>
  </conditionalFormatting>
  <conditionalFormatting sqref="N28:Q28">
    <cfRule type="cellIs" dxfId="54" priority="51" operator="equal">
      <formula>1</formula>
    </cfRule>
  </conditionalFormatting>
  <conditionalFormatting sqref="N28:Q28">
    <cfRule type="expression" dxfId="53" priority="59">
      <formula>SUM(#REF!)&gt;1</formula>
    </cfRule>
    <cfRule type="cellIs" dxfId="52" priority="60" operator="equal">
      <formula>5</formula>
    </cfRule>
    <cfRule type="cellIs" dxfId="51" priority="61" operator="equal">
      <formula>4</formula>
    </cfRule>
    <cfRule type="cellIs" dxfId="50" priority="62" operator="equal">
      <formula>2</formula>
    </cfRule>
    <cfRule type="cellIs" dxfId="49" priority="63" operator="equal">
      <formula>1</formula>
    </cfRule>
    <cfRule type="cellIs" dxfId="48" priority="64" operator="equal">
      <formula>3</formula>
    </cfRule>
    <cfRule type="cellIs" dxfId="47" priority="65" operator="equal">
      <formula>2</formula>
    </cfRule>
    <cfRule type="cellIs" dxfId="46" priority="66" operator="equal">
      <formula>1</formula>
    </cfRule>
  </conditionalFormatting>
  <conditionalFormatting sqref="Q28">
    <cfRule type="expression" dxfId="45" priority="67">
      <formula>#REF!&gt;=0.2</formula>
    </cfRule>
  </conditionalFormatting>
  <conditionalFormatting sqref="P28">
    <cfRule type="expression" dxfId="44" priority="68">
      <formula>AND(SUM(#REF!)&gt;=0.2,#REF!&lt;0.2)</formula>
    </cfRule>
  </conditionalFormatting>
  <conditionalFormatting sqref="O28">
    <cfRule type="expression" dxfId="43" priority="69">
      <formula>AND(SUM(#REF!)&gt;=0.2,SUM(#REF!)&lt;0.2)</formula>
    </cfRule>
  </conditionalFormatting>
  <conditionalFormatting sqref="N28">
    <cfRule type="expression" dxfId="42" priority="70">
      <formula>AND(SUM(#REF!)&gt;=0.2,SUM(#REF!)&lt;0.2)</formula>
    </cfRule>
  </conditionalFormatting>
  <conditionalFormatting sqref="N28:Q28">
    <cfRule type="expression" dxfId="41" priority="50">
      <formula>#REF!&gt;0.8</formula>
    </cfRule>
  </conditionalFormatting>
  <conditionalFormatting sqref="R28">
    <cfRule type="containsText" dxfId="40" priority="36" operator="containsText" text="OK">
      <formula>NOT(ISERROR(SEARCH("OK",R28)))</formula>
    </cfRule>
    <cfRule type="containsText" dxfId="39" priority="37" operator="containsText" text="Erreur">
      <formula>NOT(ISERROR(SEARCH("Erreur",R28)))</formula>
    </cfRule>
  </conditionalFormatting>
  <conditionalFormatting sqref="M55:Q55">
    <cfRule type="cellIs" dxfId="38" priority="30" operator="equal">
      <formula>0</formula>
    </cfRule>
    <cfRule type="cellIs" dxfId="37" priority="32" operator="equal">
      <formula>5</formula>
    </cfRule>
    <cfRule type="cellIs" dxfId="36" priority="33" operator="equal">
      <formula>4</formula>
    </cfRule>
    <cfRule type="cellIs" dxfId="35" priority="34" operator="equal">
      <formula>2</formula>
    </cfRule>
    <cfRule type="cellIs" dxfId="34" priority="35" operator="equal">
      <formula>3</formula>
    </cfRule>
  </conditionalFormatting>
  <conditionalFormatting sqref="M55:Q55">
    <cfRule type="cellIs" dxfId="33" priority="31" operator="equal">
      <formula>1</formula>
    </cfRule>
  </conditionalFormatting>
  <conditionalFormatting sqref="E55:I55">
    <cfRule type="cellIs" dxfId="32" priority="24" operator="equal">
      <formula>0</formula>
    </cfRule>
    <cfRule type="cellIs" dxfId="31" priority="26" operator="equal">
      <formula>5</formula>
    </cfRule>
    <cfRule type="cellIs" dxfId="30" priority="27" operator="equal">
      <formula>4</formula>
    </cfRule>
    <cfRule type="cellIs" dxfId="29" priority="28" operator="equal">
      <formula>2</formula>
    </cfRule>
    <cfRule type="cellIs" dxfId="28" priority="29" operator="equal">
      <formula>3</formula>
    </cfRule>
  </conditionalFormatting>
  <conditionalFormatting sqref="E55:I55">
    <cfRule type="cellIs" dxfId="27" priority="25" operator="equal">
      <formula>1</formula>
    </cfRule>
  </conditionalFormatting>
  <conditionalFormatting sqref="G23:H24">
    <cfRule type="containsText" dxfId="26" priority="23" operator="containsText" text="N/A">
      <formula>NOT(ISERROR(SEARCH("N/A",G23)))</formula>
    </cfRule>
  </conditionalFormatting>
  <conditionalFormatting sqref="N18:N19">
    <cfRule type="expression" dxfId="25" priority="962">
      <formula>AND(#REF!+#REF!&gt;=0.2,#REF!&lt;0.2)</formula>
    </cfRule>
  </conditionalFormatting>
  <conditionalFormatting sqref="O18:Q19">
    <cfRule type="expression" dxfId="24" priority="963">
      <formula>#REF!&gt;=0.2</formula>
    </cfRule>
  </conditionalFormatting>
  <conditionalFormatting sqref="N18:Q19">
    <cfRule type="expression" dxfId="23" priority="964">
      <formula>SUM($D$26:$D$26)&gt;1</formula>
    </cfRule>
  </conditionalFormatting>
  <conditionalFormatting sqref="O15">
    <cfRule type="expression" dxfId="22" priority="971">
      <formula>AND($G$23+$H$23&gt;=0.2,$H$23&lt;0.2)</formula>
    </cfRule>
  </conditionalFormatting>
  <conditionalFormatting sqref="Q15:Q16">
    <cfRule type="expression" dxfId="21" priority="973">
      <formula>#REF!&gt;=0.2</formula>
    </cfRule>
  </conditionalFormatting>
  <conditionalFormatting sqref="P15:P16">
    <cfRule type="expression" dxfId="20" priority="974">
      <formula>AND(SUM($H$24:$H$24)&gt;=0.2,#REF!&lt;0.2)</formula>
    </cfRule>
  </conditionalFormatting>
  <conditionalFormatting sqref="O16">
    <cfRule type="expression" dxfId="19" priority="975">
      <formula>AND(SUM($G$24:$H$24)&gt;=0.2,SUM($H$24:$H$24)&lt;0.2)</formula>
    </cfRule>
  </conditionalFormatting>
  <conditionalFormatting sqref="N16">
    <cfRule type="expression" dxfId="18" priority="976">
      <formula>AND(SUM($E$24:$H$24)&gt;=0.2,SUM($G$24:$H$24)&lt;0.2)</formula>
    </cfRule>
  </conditionalFormatting>
  <conditionalFormatting sqref="E27:I27">
    <cfRule type="cellIs" dxfId="17" priority="14" operator="equal">
      <formula>0</formula>
    </cfRule>
    <cfRule type="cellIs" dxfId="16" priority="16" operator="equal">
      <formula>5</formula>
    </cfRule>
    <cfRule type="cellIs" dxfId="15" priority="17" operator="equal">
      <formula>4</formula>
    </cfRule>
    <cfRule type="cellIs" dxfId="14" priority="18" operator="equal">
      <formula>2</formula>
    </cfRule>
    <cfRule type="cellIs" dxfId="13" priority="19" operator="equal">
      <formula>3</formula>
    </cfRule>
  </conditionalFormatting>
  <conditionalFormatting sqref="E27:I27">
    <cfRule type="cellIs" dxfId="12" priority="15" operator="equal">
      <formula>1</formula>
    </cfRule>
  </conditionalFormatting>
  <conditionalFormatting sqref="M27:Q27">
    <cfRule type="cellIs" dxfId="11" priority="7" operator="equal">
      <formula>0</formula>
    </cfRule>
    <cfRule type="cellIs" dxfId="10" priority="9" operator="equal">
      <formula>5</formula>
    </cfRule>
    <cfRule type="cellIs" dxfId="9" priority="10" operator="equal">
      <formula>4</formula>
    </cfRule>
    <cfRule type="cellIs" dxfId="8" priority="11" operator="equal">
      <formula>2</formula>
    </cfRule>
    <cfRule type="cellIs" dxfId="7" priority="12" operator="equal">
      <formula>3</formula>
    </cfRule>
  </conditionalFormatting>
  <conditionalFormatting sqref="M27:Q27">
    <cfRule type="cellIs" dxfId="6" priority="8" operator="equal">
      <formula>1</formula>
    </cfRule>
  </conditionalFormatting>
  <conditionalFormatting sqref="M33:P33">
    <cfRule type="cellIs" dxfId="5" priority="1" operator="equal">
      <formula>0</formula>
    </cfRule>
    <cfRule type="cellIs" dxfId="4" priority="3" operator="equal">
      <formula>5</formula>
    </cfRule>
    <cfRule type="cellIs" dxfId="3" priority="4" operator="equal">
      <formula>4</formula>
    </cfRule>
    <cfRule type="cellIs" dxfId="2" priority="5" operator="equal">
      <formula>2</formula>
    </cfRule>
    <cfRule type="cellIs" dxfId="1" priority="6" operator="equal">
      <formula>3</formula>
    </cfRule>
  </conditionalFormatting>
  <conditionalFormatting sqref="M33:P33">
    <cfRule type="cellIs" dxfId="0" priority="2" operator="equal">
      <formula>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9E21B46B6510944ACCC1A9E9D09B45B" ma:contentTypeVersion="11" ma:contentTypeDescription="Create a new document." ma:contentTypeScope="" ma:versionID="ac60f745ae4ec29869ac3257edf2075d">
  <xsd:schema xmlns:xsd="http://www.w3.org/2001/XMLSchema" xmlns:xs="http://www.w3.org/2001/XMLSchema" xmlns:p="http://schemas.microsoft.com/office/2006/metadata/properties" xmlns:ns3="0aae8104-2775-47bf-a616-40d8eadd5188" xmlns:ns4="8dd5283b-55c2-4f3c-990c-ab18dea8320e" targetNamespace="http://schemas.microsoft.com/office/2006/metadata/properties" ma:root="true" ma:fieldsID="b3a4931681b7990de5f6f99ed9ef07ff" ns3:_="" ns4:_="">
    <xsd:import namespace="0aae8104-2775-47bf-a616-40d8eadd5188"/>
    <xsd:import namespace="8dd5283b-55c2-4f3c-990c-ab18dea8320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ae8104-2775-47bf-a616-40d8eadd51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dd5283b-55c2-4f3c-990c-ab18dea8320e"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3F7FC73-C2B1-419C-AB1E-3399DED82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ae8104-2775-47bf-a616-40d8eadd5188"/>
    <ds:schemaRef ds:uri="8dd5283b-55c2-4f3c-990c-ab18dea832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F1EB05-F2CF-4023-A1C1-4C3AAEA2E3B6}">
  <ds:schemaRefs>
    <ds:schemaRef ds:uri="http://schemas.microsoft.com/sharepoint/v3/contenttype/forms"/>
  </ds:schemaRefs>
</ds:datastoreItem>
</file>

<file path=customXml/itemProps3.xml><?xml version="1.0" encoding="utf-8"?>
<ds:datastoreItem xmlns:ds="http://schemas.openxmlformats.org/officeDocument/2006/customXml" ds:itemID="{FC45A26E-C220-47C8-AC4C-E2756A9AB9B6}">
  <ds:schemaRefs>
    <ds:schemaRef ds:uri="http://purl.org/dc/dcmitype/"/>
    <ds:schemaRef ds:uri="0aae8104-2775-47bf-a616-40d8eadd5188"/>
    <ds:schemaRef ds:uri="http://purl.org/dc/elements/1.1/"/>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8dd5283b-55c2-4f3c-990c-ab18dea8320e"/>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Table 1-A Sources of evidences</vt:lpstr>
      <vt:lpstr>Table 1-B  Context Analysis</vt:lpstr>
      <vt:lpstr>Table 1-C  Cont Factors</vt:lpstr>
      <vt:lpstr>Table 1-D-Outcomes</vt:lpstr>
      <vt:lpstr>Table 2-A- FC Analysis</vt:lpstr>
      <vt:lpstr>Table 2 -B -Outcome Analysis </vt:lpstr>
      <vt:lpstr>Table 3 - Synthesis &amp; Classif</vt:lpstr>
      <vt:lpstr>Tableau 4 - Estimation Pop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ISSOUFOU BAOUA;Atsuvi GAMLI</dc:creator>
  <cp:keywords>ch</cp:keywords>
  <cp:lastModifiedBy>OLANDER William</cp:lastModifiedBy>
  <dcterms:created xsi:type="dcterms:W3CDTF">2018-01-25T14:45:53Z</dcterms:created>
  <dcterms:modified xsi:type="dcterms:W3CDTF">2020-02-13T17:22:59Z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0x010100D9E21B46B6510944ACCC1A9E9D09B45B</vt:lpwstr>
  </property>
</Properties>
</file>